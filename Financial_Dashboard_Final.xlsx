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8.xml" ContentType="application/vnd.openxmlformats-officedocument.drawingml.chart+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nebrwesleyan-my.sharepoint.com/personal/kdang_nebrwesleyan_edu/Documents/Professional &amp; Important Documents/Professional Portfolio/Stock Financial Modelling/"/>
    </mc:Choice>
  </mc:AlternateContent>
  <xr:revisionPtr revIDLastSave="19" documentId="13_ncr:1_{376E415C-1792-434F-BD1B-FEF45303B6F6}" xr6:coauthVersionLast="47" xr6:coauthVersionMax="47" xr10:uidLastSave="{48209772-5FDC-4B58-A867-0E0A5ABF0072}"/>
  <bookViews>
    <workbookView xWindow="-108" yWindow="-108" windowWidth="41496" windowHeight="16776" firstSheet="3" activeTab="3" xr2:uid="{00000000-000D-0000-FFFF-FFFF00000000}"/>
  </bookViews>
  <sheets>
    <sheet name="Dashboard" sheetId="1" r:id="rId1"/>
    <sheet name="Analysis" sheetId="2" r:id="rId2"/>
    <sheet name="Valuation" sheetId="8" r:id="rId3"/>
    <sheet name="Data Schema" sheetId="5" r:id="rId4"/>
    <sheet name="Calculations" sheetId="4" r:id="rId5"/>
    <sheet name="Raw Data Pasting"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2" l="1"/>
  <c r="B38" i="2"/>
  <c r="D38" i="2" s="1"/>
  <c r="E38" i="2" s="1"/>
  <c r="C38" i="2"/>
  <c r="B39" i="2"/>
  <c r="C39" i="2"/>
  <c r="D39" i="2"/>
  <c r="E39" i="2" s="1"/>
  <c r="B40" i="2"/>
  <c r="C40" i="2"/>
  <c r="D40" i="2"/>
  <c r="E40" i="2"/>
  <c r="B41" i="2"/>
  <c r="C41" i="2"/>
  <c r="D41" i="2"/>
  <c r="E41" i="2"/>
  <c r="B42" i="2"/>
  <c r="C42" i="2"/>
  <c r="D42" i="2"/>
  <c r="E42" i="2"/>
  <c r="J31" i="1"/>
  <c r="J32" i="1"/>
  <c r="H29" i="1"/>
  <c r="I29" i="1"/>
  <c r="J29" i="1" s="1"/>
  <c r="H30" i="1"/>
  <c r="I30" i="1"/>
  <c r="J30" i="1" s="1"/>
  <c r="H31" i="1"/>
  <c r="I31" i="1"/>
  <c r="H32" i="1"/>
  <c r="J23" i="1"/>
  <c r="H18" i="1"/>
  <c r="B48" i="1"/>
  <c r="C48" i="1"/>
  <c r="B49" i="1"/>
  <c r="C49" i="1"/>
  <c r="B50" i="1"/>
  <c r="C50" i="1"/>
  <c r="E2" i="1"/>
  <c r="E3" i="1"/>
  <c r="H24" i="1"/>
  <c r="H26" i="1" s="1"/>
  <c r="K49" i="8"/>
  <c r="B51" i="1"/>
  <c r="C51" i="1"/>
  <c r="F50" i="1"/>
  <c r="E50" i="1"/>
  <c r="D50" i="1"/>
  <c r="F58" i="1"/>
  <c r="E58" i="1"/>
  <c r="D58" i="1"/>
  <c r="C58" i="1"/>
  <c r="B58" i="1"/>
  <c r="B57" i="1"/>
  <c r="C57" i="1"/>
  <c r="D57" i="1"/>
  <c r="E57" i="1"/>
  <c r="F57" i="1"/>
  <c r="F56" i="1"/>
  <c r="E56" i="1"/>
  <c r="D56" i="1"/>
  <c r="C56" i="1"/>
  <c r="B56" i="1"/>
  <c r="F52" i="1"/>
  <c r="C52" i="1"/>
  <c r="D52" i="1"/>
  <c r="E52" i="1"/>
  <c r="B52" i="1"/>
  <c r="F51" i="1"/>
  <c r="E51" i="1"/>
  <c r="D51" i="1"/>
  <c r="D49" i="1"/>
  <c r="E49" i="1"/>
  <c r="F49" i="1"/>
  <c r="B14" i="1"/>
  <c r="C14" i="1" s="1"/>
  <c r="J24" i="1"/>
  <c r="J26" i="1" s="1"/>
  <c r="J21" i="1"/>
  <c r="J22" i="1" s="1"/>
  <c r="I3" i="1"/>
  <c r="E7" i="2"/>
  <c r="D7" i="2"/>
  <c r="J18" i="1"/>
  <c r="J20" i="1" s="1"/>
  <c r="C2" i="1"/>
  <c r="B2" i="2"/>
  <c r="N26" i="8"/>
  <c r="N22" i="8"/>
  <c r="B149" i="8"/>
  <c r="E142" i="8" a="1"/>
  <c r="E142" i="8" s="1"/>
  <c r="D142" i="8" a="1"/>
  <c r="D142" i="8" s="1"/>
  <c r="E141" i="8" a="1"/>
  <c r="E141" i="8" s="1"/>
  <c r="D141" i="8" a="1"/>
  <c r="D141" i="8" s="1"/>
  <c r="E140" i="8" a="1"/>
  <c r="E140" i="8" s="1"/>
  <c r="D140" i="8" a="1"/>
  <c r="D140" i="8" s="1"/>
  <c r="E139" i="8" a="1"/>
  <c r="E139" i="8" s="1"/>
  <c r="D139" i="8" a="1"/>
  <c r="D139" i="8" s="1"/>
  <c r="B2" i="8"/>
  <c r="B35" i="8" s="1"/>
  <c r="C2" i="8"/>
  <c r="D2" i="8"/>
  <c r="E2" i="8"/>
  <c r="F2" i="8"/>
  <c r="M1" i="8"/>
  <c r="N1" i="8"/>
  <c r="O1" i="8"/>
  <c r="P1" i="8"/>
  <c r="I2" i="8" a="1"/>
  <c r="I2" i="8" s="1"/>
  <c r="I4" i="8" a="1"/>
  <c r="I4" i="8" s="1"/>
  <c r="I5" i="8" a="1"/>
  <c r="I5" i="8" s="1"/>
  <c r="I6" i="8" a="1"/>
  <c r="I6" i="8" s="1"/>
  <c r="I8" i="8" a="1"/>
  <c r="I8" i="8" s="1"/>
  <c r="I9" i="8" a="1"/>
  <c r="I9" i="8" s="1"/>
  <c r="I10" i="8" a="1"/>
  <c r="I10" i="8" s="1"/>
  <c r="I11" i="8" a="1"/>
  <c r="I11" i="8" s="1"/>
  <c r="I12" i="8" a="1"/>
  <c r="I12" i="8" s="1"/>
  <c r="I13" i="8" a="1"/>
  <c r="I13" i="8" s="1"/>
  <c r="N14" i="8"/>
  <c r="I14" i="8" s="1" a="1"/>
  <c r="I14" i="8" s="1"/>
  <c r="K43" i="8" s="1"/>
  <c r="I43" i="8" s="1"/>
  <c r="S17" i="8"/>
  <c r="S32" i="8"/>
  <c r="C101" i="8"/>
  <c r="C102" i="8"/>
  <c r="C103" i="8"/>
  <c r="C104" i="8"/>
  <c r="C105" i="8"/>
  <c r="E43" i="5"/>
  <c r="D43" i="5"/>
  <c r="C43" i="5"/>
  <c r="B43" i="5"/>
  <c r="E43" i="2" l="1"/>
  <c r="J19" i="1"/>
  <c r="H25" i="1"/>
  <c r="J25" i="1"/>
  <c r="N23" i="8"/>
  <c r="N27" i="8"/>
  <c r="N28" i="8"/>
  <c r="J43" i="8"/>
  <c r="E263" i="8"/>
  <c r="E481" i="8"/>
  <c r="E1138" i="8"/>
  <c r="E669" i="8"/>
  <c r="E455" i="8"/>
  <c r="E410" i="8"/>
  <c r="E1159" i="8"/>
  <c r="E1112" i="8"/>
  <c r="E1061" i="8"/>
  <c r="E1014" i="8"/>
  <c r="E963" i="8"/>
  <c r="E916" i="8"/>
  <c r="E865" i="8"/>
  <c r="E818" i="8"/>
  <c r="E730" i="8"/>
  <c r="E718" i="8"/>
  <c r="E714" i="8"/>
  <c r="E685" i="8"/>
  <c r="E656" i="8"/>
  <c r="E652" i="8"/>
  <c r="E627" i="8"/>
  <c r="E593" i="8"/>
  <c r="E589" i="8"/>
  <c r="E459" i="8"/>
  <c r="E414" i="8"/>
  <c r="E343" i="8"/>
  <c r="E298" i="8"/>
  <c r="E776" i="8"/>
  <c r="E316" i="8"/>
  <c r="E1091" i="8"/>
  <c r="E993" i="8"/>
  <c r="E942" i="8"/>
  <c r="E797" i="8"/>
  <c r="E623" i="8"/>
  <c r="E512" i="8"/>
  <c r="E984" i="8"/>
  <c r="E886" i="8"/>
  <c r="E839" i="8"/>
  <c r="E788" i="8"/>
  <c r="E742" i="8"/>
  <c r="E734" i="8"/>
  <c r="E705" i="8"/>
  <c r="E701" i="8"/>
  <c r="E672" i="8"/>
  <c r="E631" i="8"/>
  <c r="E559" i="8"/>
  <c r="E463" i="8"/>
  <c r="E392" i="8"/>
  <c r="E347" i="8"/>
  <c r="E302" i="8"/>
  <c r="E747" i="8"/>
  <c r="E573" i="8"/>
  <c r="E1040" i="8"/>
  <c r="E516" i="8"/>
  <c r="E294" i="8"/>
  <c r="E1035" i="8"/>
  <c r="E937" i="8"/>
  <c r="E1154" i="8"/>
  <c r="E1103" i="8"/>
  <c r="E1056" i="8"/>
  <c r="E1005" i="8"/>
  <c r="E958" i="8"/>
  <c r="E907" i="8"/>
  <c r="E860" i="8"/>
  <c r="E809" i="8"/>
  <c r="E771" i="8"/>
  <c r="E763" i="8"/>
  <c r="E721" i="8"/>
  <c r="E676" i="8"/>
  <c r="E635" i="8"/>
  <c r="E467" i="8"/>
  <c r="E441" i="8"/>
  <c r="E396" i="8"/>
  <c r="E351" i="8"/>
  <c r="E921" i="8"/>
  <c r="E874" i="8"/>
  <c r="E406" i="8"/>
  <c r="E895" i="8"/>
  <c r="E844" i="8"/>
  <c r="E665" i="8"/>
  <c r="E365" i="8"/>
  <c r="E1133" i="8"/>
  <c r="E1082" i="8"/>
  <c r="E1175" i="8"/>
  <c r="E1124" i="8"/>
  <c r="E1077" i="8"/>
  <c r="E1026" i="8"/>
  <c r="E979" i="8"/>
  <c r="E928" i="8"/>
  <c r="E881" i="8"/>
  <c r="E830" i="8"/>
  <c r="E783" i="8"/>
  <c r="E754" i="8"/>
  <c r="E725" i="8"/>
  <c r="E680" i="8"/>
  <c r="E622" i="8"/>
  <c r="E601" i="8"/>
  <c r="E515" i="8"/>
  <c r="E511" i="8"/>
  <c r="E445" i="8"/>
  <c r="E400" i="8"/>
  <c r="E1070" i="8"/>
  <c r="E902" i="8"/>
  <c r="E758" i="8"/>
  <c r="E684" i="8"/>
  <c r="E651" i="8"/>
  <c r="E588" i="8"/>
  <c r="E567" i="8"/>
  <c r="E1166" i="8"/>
  <c r="E1068" i="8"/>
  <c r="E923" i="8"/>
  <c r="E774" i="8"/>
  <c r="E741" i="8"/>
  <c r="E700" i="8"/>
  <c r="E671" i="8"/>
  <c r="E642" i="8"/>
  <c r="E571" i="8"/>
  <c r="E536" i="8"/>
  <c r="E1140" i="8"/>
  <c r="E1089" i="8"/>
  <c r="E1042" i="8"/>
  <c r="E991" i="8"/>
  <c r="E944" i="8"/>
  <c r="E893" i="8"/>
  <c r="E846" i="8"/>
  <c r="E795" i="8"/>
  <c r="E770" i="8"/>
  <c r="E720" i="8"/>
  <c r="E691" i="8"/>
  <c r="E687" i="8"/>
  <c r="E617" i="8"/>
  <c r="E540" i="8"/>
  <c r="E518" i="8"/>
  <c r="E501" i="8"/>
  <c r="E214" i="8"/>
  <c r="E1161" i="8"/>
  <c r="E1110" i="8"/>
  <c r="E1063" i="8"/>
  <c r="E1012" i="8"/>
  <c r="E965" i="8"/>
  <c r="E914" i="8"/>
  <c r="E867" i="8"/>
  <c r="E816" i="8"/>
  <c r="E753" i="8"/>
  <c r="E608" i="8"/>
  <c r="E544" i="8"/>
  <c r="E522" i="8"/>
  <c r="E218" i="8"/>
  <c r="E1168" i="8"/>
  <c r="E1117" i="8"/>
  <c r="E1019" i="8"/>
  <c r="E972" i="8"/>
  <c r="E823" i="8"/>
  <c r="E772" i="8"/>
  <c r="E1145" i="8"/>
  <c r="E1098" i="8"/>
  <c r="E1047" i="8"/>
  <c r="E1000" i="8"/>
  <c r="E949" i="8"/>
  <c r="E804" i="8"/>
  <c r="E729" i="8"/>
  <c r="E655" i="8"/>
  <c r="E592" i="8"/>
  <c r="E554" i="8"/>
  <c r="E532" i="8"/>
  <c r="E449" i="8"/>
  <c r="E1119" i="8"/>
  <c r="E1021" i="8"/>
  <c r="E970" i="8"/>
  <c r="E872" i="8"/>
  <c r="E825" i="8"/>
  <c r="E704" i="8"/>
  <c r="E638" i="8"/>
  <c r="E558" i="8"/>
  <c r="E497" i="8"/>
  <c r="E210" i="8"/>
  <c r="E1131" i="8"/>
  <c r="E1084" i="8"/>
  <c r="E1033" i="8"/>
  <c r="E986" i="8"/>
  <c r="E935" i="8"/>
  <c r="E888" i="8"/>
  <c r="E837" i="8"/>
  <c r="E790" i="8"/>
  <c r="E736" i="8"/>
  <c r="E650" i="8"/>
  <c r="E574" i="8"/>
  <c r="E1152" i="8"/>
  <c r="E1105" i="8"/>
  <c r="E1054" i="8"/>
  <c r="E1007" i="8"/>
  <c r="E956" i="8"/>
  <c r="E909" i="8"/>
  <c r="E858" i="8"/>
  <c r="E811" i="8"/>
  <c r="E765" i="8"/>
  <c r="E740" i="8"/>
  <c r="E699" i="8"/>
  <c r="E670" i="8"/>
  <c r="E666" i="8"/>
  <c r="E641" i="8"/>
  <c r="E637" i="8"/>
  <c r="E578" i="8"/>
  <c r="E469" i="8"/>
  <c r="E259" i="8"/>
  <c r="E361" i="8"/>
  <c r="E851" i="8"/>
  <c r="E930" i="8"/>
  <c r="E879" i="8"/>
  <c r="E832" i="8"/>
  <c r="E781" i="8"/>
  <c r="E769" i="8"/>
  <c r="E719" i="8"/>
  <c r="E715" i="8"/>
  <c r="E690" i="8"/>
  <c r="E686" i="8"/>
  <c r="E657" i="8"/>
  <c r="E620" i="8"/>
  <c r="E616" i="8"/>
  <c r="E603" i="8"/>
  <c r="E582" i="8"/>
  <c r="E473" i="8"/>
  <c r="E308" i="8"/>
  <c r="E184" i="8"/>
  <c r="E191" i="8"/>
  <c r="E198" i="8"/>
  <c r="E205" i="8"/>
  <c r="E212" i="8"/>
  <c r="E219" i="8"/>
  <c r="E226" i="8"/>
  <c r="E233" i="8"/>
  <c r="E240" i="8"/>
  <c r="E247" i="8"/>
  <c r="E254" i="8"/>
  <c r="E261" i="8"/>
  <c r="E268" i="8"/>
  <c r="E275" i="8"/>
  <c r="E282" i="8"/>
  <c r="E289" i="8"/>
  <c r="E296" i="8"/>
  <c r="E303" i="8"/>
  <c r="E310" i="8"/>
  <c r="E317" i="8"/>
  <c r="E324" i="8"/>
  <c r="E331" i="8"/>
  <c r="E338" i="8"/>
  <c r="E345" i="8"/>
  <c r="E352" i="8"/>
  <c r="E359" i="8"/>
  <c r="E366" i="8"/>
  <c r="E373" i="8"/>
  <c r="E380" i="8"/>
  <c r="E387" i="8"/>
  <c r="E394" i="8"/>
  <c r="E401" i="8"/>
  <c r="E408" i="8"/>
  <c r="E415" i="8"/>
  <c r="E422" i="8"/>
  <c r="E429" i="8"/>
  <c r="E436" i="8"/>
  <c r="E443" i="8"/>
  <c r="E450" i="8"/>
  <c r="E457" i="8"/>
  <c r="E464" i="8"/>
  <c r="E471" i="8"/>
  <c r="E478" i="8"/>
  <c r="E485" i="8"/>
  <c r="E492" i="8"/>
  <c r="E499" i="8"/>
  <c r="E506" i="8"/>
  <c r="E513" i="8"/>
  <c r="E520" i="8"/>
  <c r="E527" i="8"/>
  <c r="E534" i="8"/>
  <c r="E541" i="8"/>
  <c r="E548" i="8"/>
  <c r="E555" i="8"/>
  <c r="E562" i="8"/>
  <c r="E569" i="8"/>
  <c r="E576" i="8"/>
  <c r="E583" i="8"/>
  <c r="E590" i="8"/>
  <c r="E597" i="8"/>
  <c r="E604" i="8"/>
  <c r="E611" i="8"/>
  <c r="E618" i="8"/>
  <c r="E625" i="8"/>
  <c r="E632" i="8"/>
  <c r="E639" i="8"/>
  <c r="E646" i="8"/>
  <c r="E653" i="8"/>
  <c r="E660" i="8"/>
  <c r="E667" i="8"/>
  <c r="E674" i="8"/>
  <c r="E681" i="8"/>
  <c r="E688" i="8"/>
  <c r="E695" i="8"/>
  <c r="E702" i="8"/>
  <c r="E709" i="8"/>
  <c r="E716" i="8"/>
  <c r="E723" i="8"/>
  <c r="E181" i="8"/>
  <c r="E188" i="8"/>
  <c r="E195" i="8"/>
  <c r="E202" i="8"/>
  <c r="E209" i="8"/>
  <c r="E216" i="8"/>
  <c r="E223" i="8"/>
  <c r="E230" i="8"/>
  <c r="E237" i="8"/>
  <c r="E244" i="8"/>
  <c r="E251" i="8"/>
  <c r="E258" i="8"/>
  <c r="E265" i="8"/>
  <c r="E272" i="8"/>
  <c r="E279" i="8"/>
  <c r="E286" i="8"/>
  <c r="E293" i="8"/>
  <c r="E300" i="8"/>
  <c r="E307" i="8"/>
  <c r="E314" i="8"/>
  <c r="E321" i="8"/>
  <c r="E328" i="8"/>
  <c r="E335" i="8"/>
  <c r="E342" i="8"/>
  <c r="E349" i="8"/>
  <c r="E356" i="8"/>
  <c r="E363" i="8"/>
  <c r="E370" i="8"/>
  <c r="E377" i="8"/>
  <c r="E384" i="8"/>
  <c r="E391" i="8"/>
  <c r="E398" i="8"/>
  <c r="E405" i="8"/>
  <c r="E412" i="8"/>
  <c r="E419" i="8"/>
  <c r="E426" i="8"/>
  <c r="E433" i="8"/>
  <c r="E440" i="8"/>
  <c r="E447" i="8"/>
  <c r="E454" i="8"/>
  <c r="E461" i="8"/>
  <c r="E468" i="8"/>
  <c r="E475" i="8"/>
  <c r="E482" i="8"/>
  <c r="E489" i="8"/>
  <c r="E496" i="8"/>
  <c r="E503" i="8"/>
  <c r="E510" i="8"/>
  <c r="E517" i="8"/>
  <c r="E524" i="8"/>
  <c r="E531" i="8"/>
  <c r="E538" i="8"/>
  <c r="E545" i="8"/>
  <c r="E552" i="8"/>
  <c r="E185" i="8"/>
  <c r="E192" i="8"/>
  <c r="E199" i="8"/>
  <c r="E206" i="8"/>
  <c r="E213" i="8"/>
  <c r="E220" i="8"/>
  <c r="E227" i="8"/>
  <c r="E234" i="8"/>
  <c r="E241" i="8"/>
  <c r="E248" i="8"/>
  <c r="E255" i="8"/>
  <c r="E262" i="8"/>
  <c r="E269" i="8"/>
  <c r="E276" i="8"/>
  <c r="E283" i="8"/>
  <c r="E290" i="8"/>
  <c r="E297" i="8"/>
  <c r="E304" i="8"/>
  <c r="E311" i="8"/>
  <c r="E318" i="8"/>
  <c r="E325" i="8"/>
  <c r="E332" i="8"/>
  <c r="E339" i="8"/>
  <c r="E346" i="8"/>
  <c r="E353" i="8"/>
  <c r="E360" i="8"/>
  <c r="E367" i="8"/>
  <c r="E374" i="8"/>
  <c r="E381" i="8"/>
  <c r="E388" i="8"/>
  <c r="E395" i="8"/>
  <c r="E402" i="8"/>
  <c r="E409" i="8"/>
  <c r="E416" i="8"/>
  <c r="E423" i="8"/>
  <c r="E430" i="8"/>
  <c r="E437" i="8"/>
  <c r="E444" i="8"/>
  <c r="E451" i="8"/>
  <c r="E458" i="8"/>
  <c r="E465" i="8"/>
  <c r="E472" i="8"/>
  <c r="E479" i="8"/>
  <c r="E486" i="8"/>
  <c r="E493" i="8"/>
  <c r="E500" i="8"/>
  <c r="E507" i="8"/>
  <c r="E514" i="8"/>
  <c r="E521" i="8"/>
  <c r="E528" i="8"/>
  <c r="E535" i="8"/>
  <c r="E542" i="8"/>
  <c r="E549" i="8"/>
  <c r="E556" i="8"/>
  <c r="E563" i="8"/>
  <c r="E570" i="8"/>
  <c r="E577" i="8"/>
  <c r="E584" i="8"/>
  <c r="E591" i="8"/>
  <c r="E598" i="8"/>
  <c r="E605" i="8"/>
  <c r="E612" i="8"/>
  <c r="E619" i="8"/>
  <c r="E626" i="8"/>
  <c r="E633" i="8"/>
  <c r="E640" i="8"/>
  <c r="E647" i="8"/>
  <c r="E654" i="8"/>
  <c r="E661" i="8"/>
  <c r="E668" i="8"/>
  <c r="E675" i="8"/>
  <c r="E682" i="8"/>
  <c r="E689" i="8"/>
  <c r="E696" i="8"/>
  <c r="E703" i="8"/>
  <c r="E710" i="8"/>
  <c r="E717" i="8"/>
  <c r="E724" i="8"/>
  <c r="E731" i="8"/>
  <c r="E738" i="8"/>
  <c r="E745" i="8"/>
  <c r="E752" i="8"/>
  <c r="E759" i="8"/>
  <c r="E766" i="8"/>
  <c r="E773" i="8"/>
  <c r="E187" i="8"/>
  <c r="E194" i="8"/>
  <c r="E201" i="8"/>
  <c r="E208" i="8"/>
  <c r="E215" i="8"/>
  <c r="E222" i="8"/>
  <c r="E229" i="8"/>
  <c r="E236" i="8"/>
  <c r="E243" i="8"/>
  <c r="E250" i="8"/>
  <c r="E257" i="8"/>
  <c r="E264" i="8"/>
  <c r="E271" i="8"/>
  <c r="E278" i="8"/>
  <c r="E285" i="8"/>
  <c r="E292" i="8"/>
  <c r="E299" i="8"/>
  <c r="E306" i="8"/>
  <c r="E313" i="8"/>
  <c r="E320" i="8"/>
  <c r="E327" i="8"/>
  <c r="E334" i="8"/>
  <c r="E341" i="8"/>
  <c r="E348" i="8"/>
  <c r="E355" i="8"/>
  <c r="E362" i="8"/>
  <c r="E369" i="8"/>
  <c r="E376" i="8"/>
  <c r="E383" i="8"/>
  <c r="E390" i="8"/>
  <c r="E397" i="8"/>
  <c r="E404" i="8"/>
  <c r="E411" i="8"/>
  <c r="E418" i="8"/>
  <c r="E425" i="8"/>
  <c r="E432" i="8"/>
  <c r="E439" i="8"/>
  <c r="E446" i="8"/>
  <c r="E453" i="8"/>
  <c r="E460" i="8"/>
  <c r="E217" i="8"/>
  <c r="E221" i="8"/>
  <c r="E225" i="8"/>
  <c r="E266" i="8"/>
  <c r="E270" i="8"/>
  <c r="E274" i="8"/>
  <c r="E315" i="8"/>
  <c r="E319" i="8"/>
  <c r="E323" i="8"/>
  <c r="E364" i="8"/>
  <c r="E368" i="8"/>
  <c r="E372" i="8"/>
  <c r="E413" i="8"/>
  <c r="E417" i="8"/>
  <c r="E421" i="8"/>
  <c r="E462" i="8"/>
  <c r="E466" i="8"/>
  <c r="E505" i="8"/>
  <c r="E509" i="8"/>
  <c r="E733" i="8"/>
  <c r="E751" i="8"/>
  <c r="E762" i="8"/>
  <c r="E780" i="8"/>
  <c r="E787" i="8"/>
  <c r="E794" i="8"/>
  <c r="E801" i="8"/>
  <c r="E808" i="8"/>
  <c r="E815" i="8"/>
  <c r="E822" i="8"/>
  <c r="E829" i="8"/>
  <c r="E836" i="8"/>
  <c r="E843" i="8"/>
  <c r="E850" i="8"/>
  <c r="E857" i="8"/>
  <c r="E864" i="8"/>
  <c r="E871" i="8"/>
  <c r="E878" i="8"/>
  <c r="E885" i="8"/>
  <c r="E892" i="8"/>
  <c r="E899" i="8"/>
  <c r="E906" i="8"/>
  <c r="E913" i="8"/>
  <c r="E920" i="8"/>
  <c r="E927" i="8"/>
  <c r="E934" i="8"/>
  <c r="E941" i="8"/>
  <c r="E948" i="8"/>
  <c r="E955" i="8"/>
  <c r="E962" i="8"/>
  <c r="E969" i="8"/>
  <c r="E976" i="8"/>
  <c r="E983" i="8"/>
  <c r="E990" i="8"/>
  <c r="E997" i="8"/>
  <c r="E1004" i="8"/>
  <c r="E1011" i="8"/>
  <c r="E1018" i="8"/>
  <c r="E1025" i="8"/>
  <c r="E1032" i="8"/>
  <c r="E1039" i="8"/>
  <c r="E1046" i="8"/>
  <c r="E1053" i="8"/>
  <c r="E1060" i="8"/>
  <c r="E1067" i="8"/>
  <c r="E1074" i="8"/>
  <c r="E1081" i="8"/>
  <c r="E1088" i="8"/>
  <c r="E1095" i="8"/>
  <c r="E1102" i="8"/>
  <c r="E1109" i="8"/>
  <c r="E1116" i="8"/>
  <c r="E1123" i="8"/>
  <c r="E1130" i="8"/>
  <c r="E1137" i="8"/>
  <c r="E1144" i="8"/>
  <c r="E1151" i="8"/>
  <c r="E1158" i="8"/>
  <c r="E1165" i="8"/>
  <c r="E1172" i="8"/>
  <c r="E1179" i="8"/>
  <c r="E502" i="8"/>
  <c r="E557" i="8"/>
  <c r="E568" i="8"/>
  <c r="E602" i="8"/>
  <c r="E621" i="8"/>
  <c r="E470" i="8"/>
  <c r="E474" i="8"/>
  <c r="E525" i="8"/>
  <c r="E529" i="8"/>
  <c r="E560" i="8"/>
  <c r="E564" i="8"/>
  <c r="E575" i="8"/>
  <c r="E579" i="8"/>
  <c r="E594" i="8"/>
  <c r="E609" i="8"/>
  <c r="E613" i="8"/>
  <c r="E624" i="8"/>
  <c r="E628" i="8"/>
  <c r="E643" i="8"/>
  <c r="E658" i="8"/>
  <c r="E662" i="8"/>
  <c r="E673" i="8"/>
  <c r="E677" i="8"/>
  <c r="E692" i="8"/>
  <c r="E707" i="8"/>
  <c r="E711" i="8"/>
  <c r="E722" i="8"/>
  <c r="E726" i="8"/>
  <c r="E744" i="8"/>
  <c r="E755" i="8"/>
  <c r="E498" i="8"/>
  <c r="E553" i="8"/>
  <c r="E572" i="8"/>
  <c r="E587" i="8"/>
  <c r="E606" i="8"/>
  <c r="E636" i="8"/>
  <c r="E189" i="8"/>
  <c r="E193" i="8"/>
  <c r="E197" i="8"/>
  <c r="E238" i="8"/>
  <c r="E242" i="8"/>
  <c r="E246" i="8"/>
  <c r="E287" i="8"/>
  <c r="E291" i="8"/>
  <c r="E295" i="8"/>
  <c r="E336" i="8"/>
  <c r="E340" i="8"/>
  <c r="E344" i="8"/>
  <c r="E385" i="8"/>
  <c r="E389" i="8"/>
  <c r="E393" i="8"/>
  <c r="E434" i="8"/>
  <c r="E438" i="8"/>
  <c r="E442" i="8"/>
  <c r="E490" i="8"/>
  <c r="E494" i="8"/>
  <c r="E533" i="8"/>
  <c r="E537" i="8"/>
  <c r="E737" i="8"/>
  <c r="E748" i="8"/>
  <c r="E777" i="8"/>
  <c r="E784" i="8"/>
  <c r="E791" i="8"/>
  <c r="E798" i="8"/>
  <c r="E805" i="8"/>
  <c r="E812" i="8"/>
  <c r="E819" i="8"/>
  <c r="E826" i="8"/>
  <c r="E833" i="8"/>
  <c r="E840" i="8"/>
  <c r="E847" i="8"/>
  <c r="E854" i="8"/>
  <c r="E861" i="8"/>
  <c r="E868" i="8"/>
  <c r="E875" i="8"/>
  <c r="E882" i="8"/>
  <c r="E889" i="8"/>
  <c r="E896" i="8"/>
  <c r="E903" i="8"/>
  <c r="E910" i="8"/>
  <c r="E917" i="8"/>
  <c r="E924" i="8"/>
  <c r="E931" i="8"/>
  <c r="E938" i="8"/>
  <c r="E945" i="8"/>
  <c r="E952" i="8"/>
  <c r="E959" i="8"/>
  <c r="E966" i="8"/>
  <c r="E973" i="8"/>
  <c r="E980" i="8"/>
  <c r="E987" i="8"/>
  <c r="E994" i="8"/>
  <c r="E1001" i="8"/>
  <c r="E1008" i="8"/>
  <c r="E1015" i="8"/>
  <c r="E1022" i="8"/>
  <c r="E1029" i="8"/>
  <c r="E1036" i="8"/>
  <c r="E1043" i="8"/>
  <c r="E1050" i="8"/>
  <c r="E1057" i="8"/>
  <c r="E1064" i="8"/>
  <c r="E1071" i="8"/>
  <c r="E1078" i="8"/>
  <c r="E1085" i="8"/>
  <c r="E1092" i="8"/>
  <c r="E1099" i="8"/>
  <c r="E1106" i="8"/>
  <c r="E1113" i="8"/>
  <c r="E1120" i="8"/>
  <c r="E1127" i="8"/>
  <c r="E1134" i="8"/>
  <c r="E1141" i="8"/>
  <c r="E1148" i="8"/>
  <c r="E1155" i="8"/>
  <c r="E1162" i="8"/>
  <c r="E1169" i="8"/>
  <c r="E1176" i="8"/>
  <c r="E483" i="8"/>
  <c r="E487" i="8"/>
  <c r="E526" i="8"/>
  <c r="E530" i="8"/>
  <c r="E561" i="8"/>
  <c r="E565" i="8"/>
  <c r="E580" i="8"/>
  <c r="E595" i="8"/>
  <c r="E599" i="8"/>
  <c r="E610" i="8"/>
  <c r="E614" i="8"/>
  <c r="E629" i="8"/>
  <c r="E644" i="8"/>
  <c r="E648" i="8"/>
  <c r="E659" i="8"/>
  <c r="E663" i="8"/>
  <c r="E678" i="8"/>
  <c r="E693" i="8"/>
  <c r="E697" i="8"/>
  <c r="E708" i="8"/>
  <c r="E712" i="8"/>
  <c r="E727" i="8"/>
  <c r="E756" i="8"/>
  <c r="E767" i="8"/>
  <c r="E182" i="8"/>
  <c r="E186" i="8"/>
  <c r="E190" i="8"/>
  <c r="E231" i="8"/>
  <c r="E235" i="8"/>
  <c r="E239" i="8"/>
  <c r="E280" i="8"/>
  <c r="E284" i="8"/>
  <c r="E288" i="8"/>
  <c r="E329" i="8"/>
  <c r="E333" i="8"/>
  <c r="E337" i="8"/>
  <c r="E378" i="8"/>
  <c r="E382" i="8"/>
  <c r="E386" i="8"/>
  <c r="E427" i="8"/>
  <c r="E431" i="8"/>
  <c r="E435" i="8"/>
  <c r="E491" i="8"/>
  <c r="E495" i="8"/>
  <c r="E546" i="8"/>
  <c r="E550" i="8"/>
  <c r="E749" i="8"/>
  <c r="E760" i="8"/>
  <c r="E778" i="8"/>
  <c r="E785" i="8"/>
  <c r="E792" i="8"/>
  <c r="E799" i="8"/>
  <c r="E806" i="8"/>
  <c r="E813" i="8"/>
  <c r="E820" i="8"/>
  <c r="E827" i="8"/>
  <c r="E834" i="8"/>
  <c r="E841" i="8"/>
  <c r="E848" i="8"/>
  <c r="E855" i="8"/>
  <c r="E862" i="8"/>
  <c r="E869" i="8"/>
  <c r="E876" i="8"/>
  <c r="E883" i="8"/>
  <c r="E890" i="8"/>
  <c r="E897" i="8"/>
  <c r="E904" i="8"/>
  <c r="E911" i="8"/>
  <c r="E918" i="8"/>
  <c r="E925" i="8"/>
  <c r="E932" i="8"/>
  <c r="E939" i="8"/>
  <c r="E946" i="8"/>
  <c r="E953" i="8"/>
  <c r="E960" i="8"/>
  <c r="E967" i="8"/>
  <c r="E974" i="8"/>
  <c r="E981" i="8"/>
  <c r="E988" i="8"/>
  <c r="E995" i="8"/>
  <c r="E1002" i="8"/>
  <c r="E1009" i="8"/>
  <c r="E1016" i="8"/>
  <c r="E1023" i="8"/>
  <c r="E1030" i="8"/>
  <c r="E1037" i="8"/>
  <c r="E1044" i="8"/>
  <c r="E1051" i="8"/>
  <c r="E1058" i="8"/>
  <c r="E1065" i="8"/>
  <c r="E1072" i="8"/>
  <c r="E1079" i="8"/>
  <c r="E1086" i="8"/>
  <c r="E1093" i="8"/>
  <c r="E1100" i="8"/>
  <c r="E1107" i="8"/>
  <c r="E1114" i="8"/>
  <c r="E1121" i="8"/>
  <c r="E1128" i="8"/>
  <c r="E1135" i="8"/>
  <c r="E1142" i="8"/>
  <c r="E1149" i="8"/>
  <c r="E1156" i="8"/>
  <c r="E1163" i="8"/>
  <c r="E1170" i="8"/>
  <c r="E1177" i="8"/>
  <c r="E203" i="8"/>
  <c r="E207" i="8"/>
  <c r="E211" i="8"/>
  <c r="E252" i="8"/>
  <c r="E256" i="8"/>
  <c r="E260" i="8"/>
  <c r="E301" i="8"/>
  <c r="E305" i="8"/>
  <c r="E309" i="8"/>
  <c r="E350" i="8"/>
  <c r="E354" i="8"/>
  <c r="E358" i="8"/>
  <c r="E399" i="8"/>
  <c r="E403" i="8"/>
  <c r="E407" i="8"/>
  <c r="E448" i="8"/>
  <c r="E452" i="8"/>
  <c r="E456" i="8"/>
  <c r="E476" i="8"/>
  <c r="E480" i="8"/>
  <c r="E519" i="8"/>
  <c r="E523" i="8"/>
  <c r="E735" i="8"/>
  <c r="E746" i="8"/>
  <c r="E764" i="8"/>
  <c r="E775" i="8"/>
  <c r="E782" i="8"/>
  <c r="E789" i="8"/>
  <c r="E796" i="8"/>
  <c r="E803" i="8"/>
  <c r="E810" i="8"/>
  <c r="E817" i="8"/>
  <c r="E824" i="8"/>
  <c r="E831" i="8"/>
  <c r="E838" i="8"/>
  <c r="E845" i="8"/>
  <c r="E852" i="8"/>
  <c r="E859" i="8"/>
  <c r="E866" i="8"/>
  <c r="E873" i="8"/>
  <c r="E880" i="8"/>
  <c r="E887" i="8"/>
  <c r="E894" i="8"/>
  <c r="E901" i="8"/>
  <c r="E908" i="8"/>
  <c r="E915" i="8"/>
  <c r="E922" i="8"/>
  <c r="E929" i="8"/>
  <c r="E936" i="8"/>
  <c r="E943" i="8"/>
  <c r="E950" i="8"/>
  <c r="E957" i="8"/>
  <c r="E964" i="8"/>
  <c r="E971" i="8"/>
  <c r="E978" i="8"/>
  <c r="E985" i="8"/>
  <c r="E992" i="8"/>
  <c r="E999" i="8"/>
  <c r="E1006" i="8"/>
  <c r="E1013" i="8"/>
  <c r="E1020" i="8"/>
  <c r="E1027" i="8"/>
  <c r="E1034" i="8"/>
  <c r="E1041" i="8"/>
  <c r="E1048" i="8"/>
  <c r="E1055" i="8"/>
  <c r="E1062" i="8"/>
  <c r="E1069" i="8"/>
  <c r="E1076" i="8"/>
  <c r="E1083" i="8"/>
  <c r="E1090" i="8"/>
  <c r="E1097" i="8"/>
  <c r="E1104" i="8"/>
  <c r="E1111" i="8"/>
  <c r="E1118" i="8"/>
  <c r="E1125" i="8"/>
  <c r="E1132" i="8"/>
  <c r="E1139" i="8"/>
  <c r="E1146" i="8"/>
  <c r="E1153" i="8"/>
  <c r="E1160" i="8"/>
  <c r="E1167" i="8"/>
  <c r="E1174" i="8"/>
  <c r="E484" i="8"/>
  <c r="E488" i="8"/>
  <c r="E539" i="8"/>
  <c r="E543" i="8"/>
  <c r="E566" i="8"/>
  <c r="E581" i="8"/>
  <c r="E585" i="8"/>
  <c r="E596" i="8"/>
  <c r="E600" i="8"/>
  <c r="E615" i="8"/>
  <c r="E630" i="8"/>
  <c r="E634" i="8"/>
  <c r="E645" i="8"/>
  <c r="E649" i="8"/>
  <c r="E664" i="8"/>
  <c r="E679" i="8"/>
  <c r="E683" i="8"/>
  <c r="E694" i="8"/>
  <c r="E698" i="8"/>
  <c r="E713" i="8"/>
  <c r="E728" i="8"/>
  <c r="E739" i="8"/>
  <c r="E757" i="8"/>
  <c r="E768" i="8"/>
  <c r="E183" i="8"/>
  <c r="E224" i="8"/>
  <c r="E228" i="8"/>
  <c r="E232" i="8"/>
  <c r="E273" i="8"/>
  <c r="E277" i="8"/>
  <c r="E281" i="8"/>
  <c r="E322" i="8"/>
  <c r="E326" i="8"/>
  <c r="E330" i="8"/>
  <c r="E371" i="8"/>
  <c r="E375" i="8"/>
  <c r="E379" i="8"/>
  <c r="E420" i="8"/>
  <c r="E424" i="8"/>
  <c r="E428" i="8"/>
  <c r="E504" i="8"/>
  <c r="E508" i="8"/>
  <c r="E547" i="8"/>
  <c r="E551" i="8"/>
  <c r="E732" i="8"/>
  <c r="E750" i="8"/>
  <c r="E761" i="8"/>
  <c r="E779" i="8"/>
  <c r="E786" i="8"/>
  <c r="E793" i="8"/>
  <c r="E800" i="8"/>
  <c r="E807" i="8"/>
  <c r="E814" i="8"/>
  <c r="E821" i="8"/>
  <c r="E828" i="8"/>
  <c r="E835" i="8"/>
  <c r="E842" i="8"/>
  <c r="E849" i="8"/>
  <c r="E856" i="8"/>
  <c r="E863" i="8"/>
  <c r="E870" i="8"/>
  <c r="E877" i="8"/>
  <c r="E884" i="8"/>
  <c r="E891" i="8"/>
  <c r="E898" i="8"/>
  <c r="E905" i="8"/>
  <c r="E912" i="8"/>
  <c r="E919" i="8"/>
  <c r="E926" i="8"/>
  <c r="E933" i="8"/>
  <c r="E940" i="8"/>
  <c r="E947" i="8"/>
  <c r="E954" i="8"/>
  <c r="E961" i="8"/>
  <c r="E968" i="8"/>
  <c r="E975" i="8"/>
  <c r="E982" i="8"/>
  <c r="E989" i="8"/>
  <c r="E996" i="8"/>
  <c r="E1003" i="8"/>
  <c r="E1010" i="8"/>
  <c r="E1017" i="8"/>
  <c r="E1024" i="8"/>
  <c r="E1031" i="8"/>
  <c r="E1038" i="8"/>
  <c r="E1045" i="8"/>
  <c r="E1052" i="8"/>
  <c r="E1059" i="8"/>
  <c r="E1066" i="8"/>
  <c r="E1073" i="8"/>
  <c r="E1080" i="8"/>
  <c r="E1087" i="8"/>
  <c r="E1094" i="8"/>
  <c r="E1101" i="8"/>
  <c r="E1108" i="8"/>
  <c r="E1115" i="8"/>
  <c r="E1122" i="8"/>
  <c r="E1129" i="8"/>
  <c r="E1136" i="8"/>
  <c r="E1143" i="8"/>
  <c r="E1150" i="8"/>
  <c r="E1157" i="8"/>
  <c r="E1164" i="8"/>
  <c r="E1171" i="8"/>
  <c r="E1178" i="8"/>
  <c r="E196" i="8"/>
  <c r="E200" i="8"/>
  <c r="E204" i="8"/>
  <c r="E245" i="8"/>
  <c r="E249" i="8"/>
  <c r="E253" i="8"/>
  <c r="E1173" i="8"/>
  <c r="E1126" i="8"/>
  <c r="E1075" i="8"/>
  <c r="E1028" i="8"/>
  <c r="E977" i="8"/>
  <c r="E1147" i="8"/>
  <c r="E1096" i="8"/>
  <c r="E1049" i="8"/>
  <c r="E998" i="8"/>
  <c r="E951" i="8"/>
  <c r="E900" i="8"/>
  <c r="E853" i="8"/>
  <c r="E802" i="8"/>
  <c r="E743" i="8"/>
  <c r="E706" i="8"/>
  <c r="E607" i="8"/>
  <c r="E586" i="8"/>
  <c r="E477" i="8"/>
  <c r="E357" i="8"/>
  <c r="E312" i="8"/>
  <c r="E267" i="8"/>
  <c r="E180" i="8"/>
  <c r="B73" i="8"/>
  <c r="B77" i="8" s="1"/>
  <c r="F67" i="8"/>
  <c r="E67" i="8"/>
  <c r="D67" i="8"/>
  <c r="D35" i="8"/>
  <c r="C67" i="8"/>
  <c r="B67" i="8"/>
  <c r="F35" i="8"/>
  <c r="E35" i="8"/>
  <c r="W26" i="8"/>
  <c r="S33" i="8" s="1"/>
  <c r="C35" i="8"/>
  <c r="B139" i="8"/>
  <c r="K41" i="8"/>
  <c r="W37" i="8"/>
  <c r="N24" i="8" s="1"/>
  <c r="B141" i="8"/>
  <c r="D1079" i="8" s="1"/>
  <c r="F8" i="8"/>
  <c r="F12" i="8" s="1"/>
  <c r="F41" i="8"/>
  <c r="F45" i="8" s="1"/>
  <c r="D73" i="8"/>
  <c r="D77" i="8" s="1"/>
  <c r="B41" i="8"/>
  <c r="B45" i="8" s="1"/>
  <c r="E73" i="8"/>
  <c r="E77" i="8" s="1"/>
  <c r="C41" i="8"/>
  <c r="C45" i="8" s="1"/>
  <c r="F73" i="8"/>
  <c r="F77" i="8" s="1"/>
  <c r="D41" i="8"/>
  <c r="D45" i="8" s="1"/>
  <c r="E41" i="8"/>
  <c r="E45" i="8" s="1"/>
  <c r="B8" i="8"/>
  <c r="B12" i="8" s="1"/>
  <c r="C8" i="8"/>
  <c r="C12" i="8" s="1"/>
  <c r="D8" i="8"/>
  <c r="D12" i="8" s="1"/>
  <c r="C73" i="8"/>
  <c r="C77" i="8" s="1"/>
  <c r="E8" i="8"/>
  <c r="E12" i="8" s="1"/>
  <c r="W21" i="8"/>
  <c r="K42" i="8"/>
  <c r="B140" i="8"/>
  <c r="W10" i="8"/>
  <c r="E49" i="5"/>
  <c r="D49" i="5"/>
  <c r="C49" i="5"/>
  <c r="F49" i="5" s="1"/>
  <c r="C73" i="4" s="1"/>
  <c r="B49" i="5"/>
  <c r="E48" i="5"/>
  <c r="D48" i="5"/>
  <c r="C48" i="5"/>
  <c r="B48" i="5"/>
  <c r="E47" i="5"/>
  <c r="D47" i="5"/>
  <c r="C47" i="5"/>
  <c r="F47" i="5" s="1"/>
  <c r="B47" i="5"/>
  <c r="E46" i="5"/>
  <c r="D46" i="5"/>
  <c r="C46" i="5"/>
  <c r="F46" i="5" s="1"/>
  <c r="B46" i="5"/>
  <c r="E45" i="5"/>
  <c r="F45" i="5" s="1"/>
  <c r="C69" i="4" s="1"/>
  <c r="D45" i="5"/>
  <c r="C45" i="5"/>
  <c r="B45" i="5"/>
  <c r="E44" i="5"/>
  <c r="D44" i="5"/>
  <c r="F44" i="5" s="1"/>
  <c r="C44" i="5"/>
  <c r="B44" i="5"/>
  <c r="B40" i="5" a="1"/>
  <c r="B40" i="5" s="1"/>
  <c r="B39" i="5" a="1"/>
  <c r="B39" i="5" s="1"/>
  <c r="B38" i="5" a="1"/>
  <c r="B38" i="5" s="1"/>
  <c r="B37" i="5" a="1"/>
  <c r="B37" i="5" s="1"/>
  <c r="B36" i="5" a="1"/>
  <c r="B36" i="5" s="1"/>
  <c r="B17" i="5" a="1"/>
  <c r="B17" i="5" s="1"/>
  <c r="B16" i="5" a="1"/>
  <c r="B16" i="5" s="1"/>
  <c r="B15" i="5" a="1"/>
  <c r="B15" i="5" s="1"/>
  <c r="B14" i="5" a="1"/>
  <c r="B14" i="5" s="1"/>
  <c r="B13" i="5" a="1"/>
  <c r="B13" i="5" s="1"/>
  <c r="B12" i="5" a="1"/>
  <c r="B12" i="5" s="1"/>
  <c r="B11" i="5" a="1"/>
  <c r="B11" i="5" s="1"/>
  <c r="B10" i="5" a="1"/>
  <c r="B10" i="5" s="1"/>
  <c r="B9" i="5" a="1"/>
  <c r="B9" i="5" s="1"/>
  <c r="B8" i="5" a="1"/>
  <c r="B8" i="5" s="1"/>
  <c r="B7" i="5" a="1"/>
  <c r="B7" i="5" s="1"/>
  <c r="B6" i="5" a="1"/>
  <c r="B6" i="5" s="1"/>
  <c r="B5" i="5" a="1"/>
  <c r="B5" i="5" s="1"/>
  <c r="B4" i="5" a="1"/>
  <c r="B4" i="5" s="1"/>
  <c r="B3" i="5" a="1"/>
  <c r="B3" i="5" s="1"/>
  <c r="F1" i="5"/>
  <c r="C147" i="4"/>
  <c r="G146" i="4"/>
  <c r="C146" i="4"/>
  <c r="G145" i="4"/>
  <c r="C145" i="4"/>
  <c r="G144" i="4"/>
  <c r="C144" i="4"/>
  <c r="G143" i="4"/>
  <c r="C143" i="4"/>
  <c r="G142" i="4"/>
  <c r="C142" i="4"/>
  <c r="G141" i="4"/>
  <c r="C141" i="4"/>
  <c r="G140" i="4"/>
  <c r="C140" i="4"/>
  <c r="G139" i="4"/>
  <c r="C139" i="4"/>
  <c r="G138" i="4"/>
  <c r="C138" i="4"/>
  <c r="E77" i="4" a="1"/>
  <c r="E131" i="4" s="1"/>
  <c r="A77" i="4" a="1"/>
  <c r="A137" i="4" s="1"/>
  <c r="B73" i="4"/>
  <c r="B72" i="4"/>
  <c r="B71" i="4"/>
  <c r="B70" i="4"/>
  <c r="B69" i="4"/>
  <c r="B68" i="4"/>
  <c r="G53" i="4"/>
  <c r="G48" i="4"/>
  <c r="G44" i="4"/>
  <c r="G36" i="4"/>
  <c r="C35" i="4"/>
  <c r="G30" i="4"/>
  <c r="G60" i="4"/>
  <c r="C20" i="4"/>
  <c r="G1" i="4"/>
  <c r="B7" i="1"/>
  <c r="D35" i="4" l="1"/>
  <c r="B23" i="2" s="1"/>
  <c r="D23" i="2" s="1"/>
  <c r="F27" i="8"/>
  <c r="F59" i="8"/>
  <c r="D123" i="8"/>
  <c r="F91" i="8"/>
  <c r="C941" i="8"/>
  <c r="C180" i="8"/>
  <c r="B227" i="8"/>
  <c r="B181" i="8"/>
  <c r="B182" i="8"/>
  <c r="I41" i="8"/>
  <c r="J41" i="8"/>
  <c r="I42" i="8"/>
  <c r="J42" i="8"/>
  <c r="C820" i="8"/>
  <c r="C615" i="8"/>
  <c r="C182" i="8"/>
  <c r="C527" i="8"/>
  <c r="C428" i="8"/>
  <c r="C797" i="8"/>
  <c r="C186" i="8"/>
  <c r="C984" i="8"/>
  <c r="C342" i="8"/>
  <c r="C552" i="8"/>
  <c r="C1000" i="8"/>
  <c r="C310" i="8"/>
  <c r="C716" i="8"/>
  <c r="C246" i="8"/>
  <c r="C1057" i="8"/>
  <c r="C232" i="8"/>
  <c r="C601" i="8"/>
  <c r="C970" i="8"/>
  <c r="C328" i="8"/>
  <c r="C296" i="8"/>
  <c r="B401" i="8"/>
  <c r="C442" i="8"/>
  <c r="C811" i="8"/>
  <c r="C224" i="8"/>
  <c r="C566" i="8"/>
  <c r="C758" i="8"/>
  <c r="B388" i="8"/>
  <c r="B432" i="8"/>
  <c r="C624" i="8"/>
  <c r="C993" i="8"/>
  <c r="C303" i="8"/>
  <c r="C776" i="8"/>
  <c r="C399" i="8"/>
  <c r="B1117" i="8"/>
  <c r="C638" i="8"/>
  <c r="C1007" i="8"/>
  <c r="C317" i="8"/>
  <c r="C790" i="8"/>
  <c r="C455" i="8"/>
  <c r="B1111" i="8"/>
  <c r="C834" i="8"/>
  <c r="C200" i="8"/>
  <c r="C541" i="8"/>
  <c r="C1028" i="8"/>
  <c r="C1071" i="8"/>
  <c r="B1129" i="8"/>
  <c r="C1016" i="8"/>
  <c r="C382" i="8"/>
  <c r="C751" i="8"/>
  <c r="C249" i="8"/>
  <c r="C782" i="8"/>
  <c r="B534" i="8"/>
  <c r="C1030" i="8"/>
  <c r="C396" i="8"/>
  <c r="C779" i="8"/>
  <c r="C263" i="8"/>
  <c r="C838" i="8"/>
  <c r="B522" i="8"/>
  <c r="B1135" i="8"/>
  <c r="C209" i="8"/>
  <c r="C578" i="8"/>
  <c r="C989" i="8"/>
  <c r="C473" i="8"/>
  <c r="C423" i="8"/>
  <c r="B354" i="8"/>
  <c r="B382" i="8"/>
  <c r="C223" i="8"/>
  <c r="C592" i="8"/>
  <c r="C1003" i="8"/>
  <c r="C487" i="8"/>
  <c r="C437" i="8"/>
  <c r="B335" i="8"/>
  <c r="C405" i="8"/>
  <c r="C774" i="8"/>
  <c r="C280" i="8"/>
  <c r="C851" i="8"/>
  <c r="C1151" i="8"/>
  <c r="C295" i="8"/>
  <c r="C419" i="8"/>
  <c r="C788" i="8"/>
  <c r="C294" i="8"/>
  <c r="C907" i="8"/>
  <c r="B1112" i="8"/>
  <c r="C705" i="8"/>
  <c r="C260" i="8"/>
  <c r="C456" i="8"/>
  <c r="C652" i="8"/>
  <c r="C848" i="8"/>
  <c r="C1044" i="8"/>
  <c r="C237" i="8"/>
  <c r="C433" i="8"/>
  <c r="C629" i="8"/>
  <c r="C825" i="8"/>
  <c r="C1021" i="8"/>
  <c r="C214" i="8"/>
  <c r="C410" i="8"/>
  <c r="C606" i="8"/>
  <c r="C802" i="8"/>
  <c r="C998" i="8"/>
  <c r="C238" i="8"/>
  <c r="C331" i="8"/>
  <c r="C555" i="8"/>
  <c r="C793" i="8"/>
  <c r="C1017" i="8"/>
  <c r="C350" i="8"/>
  <c r="C356" i="8"/>
  <c r="C580" i="8"/>
  <c r="C804" i="8"/>
  <c r="C1042" i="8"/>
  <c r="C277" i="8"/>
  <c r="C515" i="8"/>
  <c r="C921" i="8"/>
  <c r="C324" i="8"/>
  <c r="C814" i="8"/>
  <c r="C469" i="8"/>
  <c r="C194" i="8"/>
  <c r="C852" i="8"/>
  <c r="C549" i="8"/>
  <c r="B1100" i="8"/>
  <c r="B262" i="8"/>
  <c r="B375" i="8"/>
  <c r="B952" i="8"/>
  <c r="B902" i="8"/>
  <c r="B329" i="8"/>
  <c r="B1011" i="8"/>
  <c r="C654" i="8"/>
  <c r="C274" i="8"/>
  <c r="C470" i="8"/>
  <c r="C666" i="8"/>
  <c r="C862" i="8"/>
  <c r="C1058" i="8"/>
  <c r="C251" i="8"/>
  <c r="C447" i="8"/>
  <c r="C643" i="8"/>
  <c r="C839" i="8"/>
  <c r="C1035" i="8"/>
  <c r="C228" i="8"/>
  <c r="C424" i="8"/>
  <c r="C620" i="8"/>
  <c r="C816" i="8"/>
  <c r="C1012" i="8"/>
  <c r="C266" i="8"/>
  <c r="C345" i="8"/>
  <c r="C583" i="8"/>
  <c r="C807" i="8"/>
  <c r="C1031" i="8"/>
  <c r="C364" i="8"/>
  <c r="C370" i="8"/>
  <c r="C594" i="8"/>
  <c r="C832" i="8"/>
  <c r="C1056" i="8"/>
  <c r="C291" i="8"/>
  <c r="C529" i="8"/>
  <c r="C935" i="8"/>
  <c r="C366" i="8"/>
  <c r="C870" i="8"/>
  <c r="C483" i="8"/>
  <c r="C250" i="8"/>
  <c r="C866" i="8"/>
  <c r="C605" i="8"/>
  <c r="B1088" i="8"/>
  <c r="B224" i="8"/>
  <c r="B369" i="8"/>
  <c r="B927" i="8"/>
  <c r="B890" i="8"/>
  <c r="B323" i="8"/>
  <c r="B999" i="8"/>
  <c r="C1046" i="8"/>
  <c r="C288" i="8"/>
  <c r="C484" i="8"/>
  <c r="C680" i="8"/>
  <c r="C876" i="8"/>
  <c r="C1072" i="8"/>
  <c r="C265" i="8"/>
  <c r="C461" i="8"/>
  <c r="C657" i="8"/>
  <c r="C853" i="8"/>
  <c r="C1049" i="8"/>
  <c r="C242" i="8"/>
  <c r="C438" i="8"/>
  <c r="C634" i="8"/>
  <c r="C830" i="8"/>
  <c r="C1026" i="8"/>
  <c r="C308" i="8"/>
  <c r="C359" i="8"/>
  <c r="C597" i="8"/>
  <c r="C821" i="8"/>
  <c r="C1059" i="8"/>
  <c r="C392" i="8"/>
  <c r="C384" i="8"/>
  <c r="C608" i="8"/>
  <c r="C846" i="8"/>
  <c r="C1070" i="8"/>
  <c r="C319" i="8"/>
  <c r="C543" i="8"/>
  <c r="C949" i="8"/>
  <c r="C422" i="8"/>
  <c r="C884" i="8"/>
  <c r="C595" i="8"/>
  <c r="C264" i="8"/>
  <c r="C978" i="8"/>
  <c r="C619" i="8"/>
  <c r="B947" i="8"/>
  <c r="B205" i="8"/>
  <c r="B1149" i="8"/>
  <c r="B774" i="8"/>
  <c r="B682" i="8"/>
  <c r="B1153" i="8"/>
  <c r="C715" i="8"/>
  <c r="B180" i="8"/>
  <c r="B237" i="8"/>
  <c r="B433" i="8"/>
  <c r="B592" i="8"/>
  <c r="B770" i="8"/>
  <c r="B935" i="8"/>
  <c r="B1119" i="8"/>
  <c r="B307" i="8"/>
  <c r="B513" i="8"/>
  <c r="B721" i="8"/>
  <c r="B960" i="8"/>
  <c r="B194" i="8"/>
  <c r="B377" i="8"/>
  <c r="B562" i="8"/>
  <c r="B740" i="8"/>
  <c r="B899" i="8"/>
  <c r="B1083" i="8"/>
  <c r="B527" i="8"/>
  <c r="B365" i="8"/>
  <c r="B581" i="8"/>
  <c r="B820" i="8"/>
  <c r="B1059" i="8"/>
  <c r="B334" i="8"/>
  <c r="B668" i="8"/>
  <c r="B359" i="8"/>
  <c r="B520" i="8"/>
  <c r="B698" i="8"/>
  <c r="B857" i="8"/>
  <c r="B1041" i="8"/>
  <c r="B233" i="8"/>
  <c r="B876" i="8"/>
  <c r="B1115" i="8"/>
  <c r="B341" i="8"/>
  <c r="B515" i="8"/>
  <c r="B699" i="8"/>
  <c r="B858" i="8"/>
  <c r="B1036" i="8"/>
  <c r="B256" i="8"/>
  <c r="B439" i="8"/>
  <c r="B604" i="8"/>
  <c r="B782" i="8"/>
  <c r="B941" i="8"/>
  <c r="B1125" i="8"/>
  <c r="B326" i="8"/>
  <c r="B519" i="8"/>
  <c r="B752" i="8"/>
  <c r="B972" i="8"/>
  <c r="B200" i="8"/>
  <c r="B396" i="8"/>
  <c r="B587" i="8"/>
  <c r="B746" i="8"/>
  <c r="B924" i="8"/>
  <c r="B1089" i="8"/>
  <c r="B371" i="8"/>
  <c r="B612" i="8"/>
  <c r="B832" i="8"/>
  <c r="B1065" i="8"/>
  <c r="B372" i="8"/>
  <c r="B680" i="8"/>
  <c r="B378" i="8"/>
  <c r="B545" i="8"/>
  <c r="B704" i="8"/>
  <c r="B882" i="8"/>
  <c r="B1047" i="8"/>
  <c r="B252" i="8"/>
  <c r="B888" i="8"/>
  <c r="B1121" i="8"/>
  <c r="B347" i="8"/>
  <c r="B521" i="8"/>
  <c r="B705" i="8"/>
  <c r="B870" i="8"/>
  <c r="B1048" i="8"/>
  <c r="B275" i="8"/>
  <c r="B445" i="8"/>
  <c r="B629" i="8"/>
  <c r="B788" i="8"/>
  <c r="B966" i="8"/>
  <c r="B1131" i="8"/>
  <c r="B345" i="8"/>
  <c r="B525" i="8"/>
  <c r="B764" i="8"/>
  <c r="B1003" i="8"/>
  <c r="B219" i="8"/>
  <c r="B415" i="8"/>
  <c r="B593" i="8"/>
  <c r="B758" i="8"/>
  <c r="B936" i="8"/>
  <c r="B1095" i="8"/>
  <c r="B188" i="8"/>
  <c r="B390" i="8"/>
  <c r="B624" i="8"/>
  <c r="B863" i="8"/>
  <c r="B1071" i="8"/>
  <c r="B410" i="8"/>
  <c r="B195" i="8"/>
  <c r="B384" i="8"/>
  <c r="B551" i="8"/>
  <c r="B716" i="8"/>
  <c r="B894" i="8"/>
  <c r="B1053" i="8"/>
  <c r="B258" i="8"/>
  <c r="B919" i="8"/>
  <c r="B1127" i="8"/>
  <c r="B360" i="8"/>
  <c r="B546" i="8"/>
  <c r="B711" i="8"/>
  <c r="B895" i="8"/>
  <c r="B1054" i="8"/>
  <c r="B294" i="8"/>
  <c r="B451" i="8"/>
  <c r="B635" i="8"/>
  <c r="B800" i="8"/>
  <c r="B978" i="8"/>
  <c r="B1137" i="8"/>
  <c r="B364" i="8"/>
  <c r="B556" i="8"/>
  <c r="B776" i="8"/>
  <c r="B1009" i="8"/>
  <c r="B238" i="8"/>
  <c r="B434" i="8"/>
  <c r="B599" i="8"/>
  <c r="B783" i="8"/>
  <c r="B942" i="8"/>
  <c r="B1120" i="8"/>
  <c r="B213" i="8"/>
  <c r="B409" i="8"/>
  <c r="B636" i="8"/>
  <c r="B869" i="8"/>
  <c r="B1102" i="8"/>
  <c r="B435" i="8"/>
  <c r="B201" i="8"/>
  <c r="B397" i="8"/>
  <c r="B557" i="8"/>
  <c r="B741" i="8"/>
  <c r="B900" i="8"/>
  <c r="B1078" i="8"/>
  <c r="B692" i="8"/>
  <c r="B925" i="8"/>
  <c r="B1158" i="8"/>
  <c r="B366" i="8"/>
  <c r="B558" i="8"/>
  <c r="B717" i="8"/>
  <c r="B901" i="8"/>
  <c r="B1066" i="8"/>
  <c r="B300" i="8"/>
  <c r="B476" i="8"/>
  <c r="B641" i="8"/>
  <c r="B825" i="8"/>
  <c r="B984" i="8"/>
  <c r="B1162" i="8"/>
  <c r="B370" i="8"/>
  <c r="B568" i="8"/>
  <c r="B807" i="8"/>
  <c r="B1015" i="8"/>
  <c r="B244" i="8"/>
  <c r="B446" i="8"/>
  <c r="B605" i="8"/>
  <c r="B789" i="8"/>
  <c r="B954" i="8"/>
  <c r="B1132" i="8"/>
  <c r="B232" i="8"/>
  <c r="B428" i="8"/>
  <c r="B667" i="8"/>
  <c r="B875" i="8"/>
  <c r="B1114" i="8"/>
  <c r="B472" i="8"/>
  <c r="B207" i="8"/>
  <c r="B403" i="8"/>
  <c r="B563" i="8"/>
  <c r="B747" i="8"/>
  <c r="B912" i="8"/>
  <c r="B1090" i="8"/>
  <c r="B723" i="8"/>
  <c r="B931" i="8"/>
  <c r="B1170" i="8"/>
  <c r="B379" i="8"/>
  <c r="B564" i="8"/>
  <c r="B742" i="8"/>
  <c r="B907" i="8"/>
  <c r="B1091" i="8"/>
  <c r="B313" i="8"/>
  <c r="B488" i="8"/>
  <c r="B647" i="8"/>
  <c r="B831" i="8"/>
  <c r="B996" i="8"/>
  <c r="B1174" i="8"/>
  <c r="B383" i="8"/>
  <c r="B580" i="8"/>
  <c r="B813" i="8"/>
  <c r="B1046" i="8"/>
  <c r="B257" i="8"/>
  <c r="B452" i="8"/>
  <c r="B630" i="8"/>
  <c r="B795" i="8"/>
  <c r="B979" i="8"/>
  <c r="B1138" i="8"/>
  <c r="B251" i="8"/>
  <c r="B440" i="8"/>
  <c r="B673" i="8"/>
  <c r="B906" i="8"/>
  <c r="B1126" i="8"/>
  <c r="B484" i="8"/>
  <c r="B220" i="8"/>
  <c r="B416" i="8"/>
  <c r="B588" i="8"/>
  <c r="B753" i="8"/>
  <c r="B937" i="8"/>
  <c r="B1096" i="8"/>
  <c r="B729" i="8"/>
  <c r="B962" i="8"/>
  <c r="B196" i="8"/>
  <c r="B385" i="8"/>
  <c r="B576" i="8"/>
  <c r="B754" i="8"/>
  <c r="B913" i="8"/>
  <c r="B1097" i="8"/>
  <c r="B319" i="8"/>
  <c r="B494" i="8"/>
  <c r="B672" i="8"/>
  <c r="B837" i="8"/>
  <c r="B1021" i="8"/>
  <c r="B389" i="8"/>
  <c r="B611" i="8"/>
  <c r="B819" i="8"/>
  <c r="B1058" i="8"/>
  <c r="B263" i="8"/>
  <c r="B464" i="8"/>
  <c r="B642" i="8"/>
  <c r="B801" i="8"/>
  <c r="B985" i="8"/>
  <c r="B1150" i="8"/>
  <c r="B270" i="8"/>
  <c r="B471" i="8"/>
  <c r="B679" i="8"/>
  <c r="B918" i="8"/>
  <c r="B1157" i="8"/>
  <c r="B496" i="8"/>
  <c r="B226" i="8"/>
  <c r="B422" i="8"/>
  <c r="B600" i="8"/>
  <c r="B759" i="8"/>
  <c r="B943" i="8"/>
  <c r="B1108" i="8"/>
  <c r="B735" i="8"/>
  <c r="B974" i="8"/>
  <c r="B208" i="8"/>
  <c r="B404" i="8"/>
  <c r="B601" i="8"/>
  <c r="B760" i="8"/>
  <c r="B938" i="8"/>
  <c r="B1103" i="8"/>
  <c r="B338" i="8"/>
  <c r="B531" i="8"/>
  <c r="B690" i="8"/>
  <c r="B868" i="8"/>
  <c r="B1033" i="8"/>
  <c r="B212" i="8"/>
  <c r="B408" i="8"/>
  <c r="B623" i="8"/>
  <c r="B862" i="8"/>
  <c r="B1101" i="8"/>
  <c r="B282" i="8"/>
  <c r="B495" i="8"/>
  <c r="B660" i="8"/>
  <c r="B838" i="8"/>
  <c r="B997" i="8"/>
  <c r="B296" i="8"/>
  <c r="B308" i="8"/>
  <c r="B483" i="8"/>
  <c r="B722" i="8"/>
  <c r="B961" i="8"/>
  <c r="B1169" i="8"/>
  <c r="B570" i="8"/>
  <c r="B245" i="8"/>
  <c r="B453" i="8"/>
  <c r="B618" i="8"/>
  <c r="B796" i="8"/>
  <c r="B955" i="8"/>
  <c r="B1139" i="8"/>
  <c r="B778" i="8"/>
  <c r="B1017" i="8"/>
  <c r="B246" i="8"/>
  <c r="B448" i="8"/>
  <c r="B613" i="8"/>
  <c r="B797" i="8"/>
  <c r="B956" i="8"/>
  <c r="B1134" i="8"/>
  <c r="B539" i="8"/>
  <c r="B351" i="8"/>
  <c r="B537" i="8"/>
  <c r="B702" i="8"/>
  <c r="B880" i="8"/>
  <c r="B1039" i="8"/>
  <c r="B225" i="8"/>
  <c r="B421" i="8"/>
  <c r="B654" i="8"/>
  <c r="B874" i="8"/>
  <c r="B1107" i="8"/>
  <c r="B295" i="8"/>
  <c r="B501" i="8"/>
  <c r="B685" i="8"/>
  <c r="B844" i="8"/>
  <c r="B1022" i="8"/>
  <c r="B315" i="8"/>
  <c r="B314" i="8"/>
  <c r="B514" i="8"/>
  <c r="B734" i="8"/>
  <c r="B967" i="8"/>
  <c r="B189" i="8"/>
  <c r="B582" i="8"/>
  <c r="B264" i="8"/>
  <c r="B459" i="8"/>
  <c r="B643" i="8"/>
  <c r="B802" i="8"/>
  <c r="B980" i="8"/>
  <c r="B1145" i="8"/>
  <c r="B790" i="8"/>
  <c r="B1023" i="8"/>
  <c r="B265" i="8"/>
  <c r="B460" i="8"/>
  <c r="B619" i="8"/>
  <c r="B803" i="8"/>
  <c r="B968" i="8"/>
  <c r="B1146" i="8"/>
  <c r="B187" i="8"/>
  <c r="B357" i="8"/>
  <c r="B543" i="8"/>
  <c r="B727" i="8"/>
  <c r="B886" i="8"/>
  <c r="B1064" i="8"/>
  <c r="B231" i="8"/>
  <c r="B427" i="8"/>
  <c r="B666" i="8"/>
  <c r="B905" i="8"/>
  <c r="B1113" i="8"/>
  <c r="B301" i="8"/>
  <c r="B507" i="8"/>
  <c r="B691" i="8"/>
  <c r="B856" i="8"/>
  <c r="B1034" i="8"/>
  <c r="B353" i="8"/>
  <c r="B327" i="8"/>
  <c r="B526" i="8"/>
  <c r="B765" i="8"/>
  <c r="B973" i="8"/>
  <c r="B271" i="8"/>
  <c r="B594" i="8"/>
  <c r="B283" i="8"/>
  <c r="B465" i="8"/>
  <c r="B649" i="8"/>
  <c r="B814" i="8"/>
  <c r="B992" i="8"/>
  <c r="B1151" i="8"/>
  <c r="B821" i="8"/>
  <c r="B1029" i="8"/>
  <c r="B284" i="8"/>
  <c r="B466" i="8"/>
  <c r="B644" i="8"/>
  <c r="B809" i="8"/>
  <c r="B993" i="8"/>
  <c r="B1152" i="8"/>
  <c r="B193" i="8"/>
  <c r="B376" i="8"/>
  <c r="B549" i="8"/>
  <c r="B733" i="8"/>
  <c r="B898" i="8"/>
  <c r="B1076" i="8"/>
  <c r="B250" i="8"/>
  <c r="B458" i="8"/>
  <c r="B678" i="8"/>
  <c r="B911" i="8"/>
  <c r="B1144" i="8"/>
  <c r="B320" i="8"/>
  <c r="B532" i="8"/>
  <c r="B697" i="8"/>
  <c r="B881" i="8"/>
  <c r="B1040" i="8"/>
  <c r="B391" i="8"/>
  <c r="B333" i="8"/>
  <c r="B538" i="8"/>
  <c r="B771" i="8"/>
  <c r="B1004" i="8"/>
  <c r="B277" i="8"/>
  <c r="B625" i="8"/>
  <c r="B199" i="8"/>
  <c r="B395" i="8"/>
  <c r="B574" i="8"/>
  <c r="B739" i="8"/>
  <c r="B923" i="8"/>
  <c r="B1082" i="8"/>
  <c r="B269" i="8"/>
  <c r="B470" i="8"/>
  <c r="B709" i="8"/>
  <c r="B917" i="8"/>
  <c r="B1156" i="8"/>
  <c r="B339" i="8"/>
  <c r="B544" i="8"/>
  <c r="B703" i="8"/>
  <c r="B887" i="8"/>
  <c r="B1052" i="8"/>
  <c r="B429" i="8"/>
  <c r="B346" i="8"/>
  <c r="B569" i="8"/>
  <c r="B777" i="8"/>
  <c r="B1016" i="8"/>
  <c r="B290" i="8"/>
  <c r="B631" i="8"/>
  <c r="B321" i="8"/>
  <c r="B502" i="8"/>
  <c r="B661" i="8"/>
  <c r="B845" i="8"/>
  <c r="B1010" i="8"/>
  <c r="B183" i="8"/>
  <c r="B833" i="8"/>
  <c r="B1072" i="8"/>
  <c r="B322" i="8"/>
  <c r="B503" i="8"/>
  <c r="B662" i="8"/>
  <c r="B840" i="8"/>
  <c r="B1005" i="8"/>
  <c r="B190" i="8"/>
  <c r="B332" i="8"/>
  <c r="B617" i="8"/>
  <c r="B991" i="8"/>
  <c r="B533" i="8"/>
  <c r="B949" i="8"/>
  <c r="B328" i="8"/>
  <c r="B1164" i="8"/>
  <c r="B392" i="8"/>
  <c r="B589" i="8"/>
  <c r="B822" i="8"/>
  <c r="B1042" i="8"/>
  <c r="B1006" i="8"/>
  <c r="B1165" i="8"/>
  <c r="B367" i="8"/>
  <c r="B565" i="8"/>
  <c r="B730" i="8"/>
  <c r="B908" i="8"/>
  <c r="B298" i="8"/>
  <c r="B486" i="8"/>
  <c r="B706" i="8"/>
  <c r="B939" i="8"/>
  <c r="B1172" i="8"/>
  <c r="B830" i="8"/>
  <c r="B254" i="8"/>
  <c r="B462" i="8"/>
  <c r="B627" i="8"/>
  <c r="B811" i="8"/>
  <c r="B970" i="8"/>
  <c r="B1148" i="8"/>
  <c r="B280" i="8"/>
  <c r="B468" i="8"/>
  <c r="B701" i="8"/>
  <c r="B971" i="8"/>
  <c r="B198" i="8"/>
  <c r="B394" i="8"/>
  <c r="B573" i="8"/>
  <c r="B732" i="8"/>
  <c r="B230" i="8"/>
  <c r="B426" i="8"/>
  <c r="B659" i="8"/>
  <c r="B892" i="8"/>
  <c r="B1143" i="8"/>
  <c r="B414" i="8"/>
  <c r="B715" i="8"/>
  <c r="B1077" i="8"/>
  <c r="B637" i="8"/>
  <c r="B998" i="8"/>
  <c r="B423" i="8"/>
  <c r="B202" i="8"/>
  <c r="B398" i="8"/>
  <c r="B595" i="8"/>
  <c r="B834" i="8"/>
  <c r="B1073" i="8"/>
  <c r="B1012" i="8"/>
  <c r="B184" i="8"/>
  <c r="B386" i="8"/>
  <c r="B571" i="8"/>
  <c r="B755" i="8"/>
  <c r="B914" i="8"/>
  <c r="B317" i="8"/>
  <c r="B498" i="8"/>
  <c r="B737" i="8"/>
  <c r="B945" i="8"/>
  <c r="B793" i="8"/>
  <c r="B842" i="8"/>
  <c r="B267" i="8"/>
  <c r="B474" i="8"/>
  <c r="B633" i="8"/>
  <c r="B817" i="8"/>
  <c r="B982" i="8"/>
  <c r="B1160" i="8"/>
  <c r="B286" i="8"/>
  <c r="B499" i="8"/>
  <c r="B707" i="8"/>
  <c r="B1008" i="8"/>
  <c r="B211" i="8"/>
  <c r="B407" i="8"/>
  <c r="B579" i="8"/>
  <c r="B744" i="8"/>
  <c r="B243" i="8"/>
  <c r="B457" i="8"/>
  <c r="B665" i="8"/>
  <c r="B904" i="8"/>
  <c r="B1155" i="8"/>
  <c r="B506" i="8"/>
  <c r="B850" i="8"/>
  <c r="B1175" i="8"/>
  <c r="B239" i="8"/>
  <c r="B1035" i="8"/>
  <c r="B478" i="8"/>
  <c r="B215" i="8"/>
  <c r="B411" i="8"/>
  <c r="B626" i="8"/>
  <c r="B846" i="8"/>
  <c r="B1079" i="8"/>
  <c r="B1024" i="8"/>
  <c r="B209" i="8"/>
  <c r="B405" i="8"/>
  <c r="B577" i="8"/>
  <c r="B761" i="8"/>
  <c r="B926" i="8"/>
  <c r="B336" i="8"/>
  <c r="B510" i="8"/>
  <c r="B743" i="8"/>
  <c r="B976" i="8"/>
  <c r="B860" i="8"/>
  <c r="B873" i="8"/>
  <c r="B273" i="8"/>
  <c r="B480" i="8"/>
  <c r="B658" i="8"/>
  <c r="B823" i="8"/>
  <c r="B1007" i="8"/>
  <c r="B1166" i="8"/>
  <c r="B299" i="8"/>
  <c r="B505" i="8"/>
  <c r="B738" i="8"/>
  <c r="B1026" i="8"/>
  <c r="B217" i="8"/>
  <c r="B413" i="8"/>
  <c r="B585" i="8"/>
  <c r="B775" i="8"/>
  <c r="B249" i="8"/>
  <c r="B463" i="8"/>
  <c r="B696" i="8"/>
  <c r="B916" i="8"/>
  <c r="B586" i="8"/>
  <c r="B948" i="8"/>
  <c r="B441" i="8"/>
  <c r="B302" i="8"/>
  <c r="B1133" i="8"/>
  <c r="B509" i="8"/>
  <c r="B221" i="8"/>
  <c r="B417" i="8"/>
  <c r="B638" i="8"/>
  <c r="B877" i="8"/>
  <c r="B1085" i="8"/>
  <c r="B1049" i="8"/>
  <c r="B228" i="8"/>
  <c r="B424" i="8"/>
  <c r="B602" i="8"/>
  <c r="B767" i="8"/>
  <c r="B769" i="8"/>
  <c r="B342" i="8"/>
  <c r="B541" i="8"/>
  <c r="B749" i="8"/>
  <c r="B988" i="8"/>
  <c r="B897" i="8"/>
  <c r="B885" i="8"/>
  <c r="B292" i="8"/>
  <c r="B492" i="8"/>
  <c r="B670" i="8"/>
  <c r="B829" i="8"/>
  <c r="B1013" i="8"/>
  <c r="B1178" i="8"/>
  <c r="B305" i="8"/>
  <c r="B511" i="8"/>
  <c r="B750" i="8"/>
  <c r="B1038" i="8"/>
  <c r="B236" i="8"/>
  <c r="B684" i="8"/>
  <c r="B1070" i="8"/>
  <c r="B289" i="8"/>
  <c r="B340" i="8"/>
  <c r="B1176" i="8"/>
  <c r="B607" i="8"/>
  <c r="B234" i="8"/>
  <c r="B430" i="8"/>
  <c r="B650" i="8"/>
  <c r="B883" i="8"/>
  <c r="B1116" i="8"/>
  <c r="B1055" i="8"/>
  <c r="B247" i="8"/>
  <c r="B436" i="8"/>
  <c r="B614" i="8"/>
  <c r="B773" i="8"/>
  <c r="B1020" i="8"/>
  <c r="B355" i="8"/>
  <c r="B547" i="8"/>
  <c r="B780" i="8"/>
  <c r="B1000" i="8"/>
  <c r="B946" i="8"/>
  <c r="B922" i="8"/>
  <c r="B311" i="8"/>
  <c r="B517" i="8"/>
  <c r="B676" i="8"/>
  <c r="B854" i="8"/>
  <c r="B1019" i="8"/>
  <c r="B762" i="8"/>
  <c r="B318" i="8"/>
  <c r="B542" i="8"/>
  <c r="B799" i="8"/>
  <c r="B1063" i="8"/>
  <c r="B255" i="8"/>
  <c r="B438" i="8"/>
  <c r="B616" i="8"/>
  <c r="B812" i="8"/>
  <c r="B268" i="8"/>
  <c r="B500" i="8"/>
  <c r="B720" i="8"/>
  <c r="B953" i="8"/>
  <c r="B745" i="8"/>
  <c r="B1168" i="8"/>
  <c r="B352" i="8"/>
  <c r="B447" i="8"/>
  <c r="B214" i="8"/>
  <c r="B656" i="8"/>
  <c r="B240" i="8"/>
  <c r="B442" i="8"/>
  <c r="B681" i="8"/>
  <c r="B889" i="8"/>
  <c r="B1128" i="8"/>
  <c r="B1061" i="8"/>
  <c r="B266" i="8"/>
  <c r="B461" i="8"/>
  <c r="B620" i="8"/>
  <c r="B798" i="8"/>
  <c r="B1124" i="8"/>
  <c r="B361" i="8"/>
  <c r="B553" i="8"/>
  <c r="B792" i="8"/>
  <c r="B1031" i="8"/>
  <c r="B1001" i="8"/>
  <c r="B940" i="8"/>
  <c r="B330" i="8"/>
  <c r="B523" i="8"/>
  <c r="B688" i="8"/>
  <c r="B866" i="8"/>
  <c r="B1025" i="8"/>
  <c r="B836" i="8"/>
  <c r="B324" i="8"/>
  <c r="B554" i="8"/>
  <c r="B805" i="8"/>
  <c r="B1075" i="8"/>
  <c r="B274" i="8"/>
  <c r="B450" i="8"/>
  <c r="B628" i="8"/>
  <c r="B824" i="8"/>
  <c r="B281" i="8"/>
  <c r="B512" i="8"/>
  <c r="B751" i="8"/>
  <c r="B959" i="8"/>
  <c r="B843" i="8"/>
  <c r="B276" i="8"/>
  <c r="B477" i="8"/>
  <c r="B490" i="8"/>
  <c r="B766" i="8"/>
  <c r="B674" i="8"/>
  <c r="B253" i="8"/>
  <c r="B454" i="8"/>
  <c r="B687" i="8"/>
  <c r="B920" i="8"/>
  <c r="B1140" i="8"/>
  <c r="B1067" i="8"/>
  <c r="B272" i="8"/>
  <c r="B467" i="8"/>
  <c r="B632" i="8"/>
  <c r="B810" i="8"/>
  <c r="B1167" i="8"/>
  <c r="B374" i="8"/>
  <c r="B584" i="8"/>
  <c r="B804" i="8"/>
  <c r="B1037" i="8"/>
  <c r="B1032" i="8"/>
  <c r="B965" i="8"/>
  <c r="B349" i="8"/>
  <c r="B529" i="8"/>
  <c r="B713" i="8"/>
  <c r="B872" i="8"/>
  <c r="B1050" i="8"/>
  <c r="B848" i="8"/>
  <c r="B337" i="8"/>
  <c r="B566" i="8"/>
  <c r="B903" i="8"/>
  <c r="B1106" i="8"/>
  <c r="B293" i="8"/>
  <c r="B475" i="8"/>
  <c r="B634" i="8"/>
  <c r="B867" i="8"/>
  <c r="B287" i="8"/>
  <c r="B524" i="8"/>
  <c r="B757" i="8"/>
  <c r="B990" i="8"/>
  <c r="B929" i="8"/>
  <c r="B358" i="8"/>
  <c r="B575" i="8"/>
  <c r="B508" i="8"/>
  <c r="B827" i="8"/>
  <c r="B772" i="8"/>
  <c r="B259" i="8"/>
  <c r="B485" i="8"/>
  <c r="B693" i="8"/>
  <c r="B932" i="8"/>
  <c r="B1171" i="8"/>
  <c r="B1092" i="8"/>
  <c r="B285" i="8"/>
  <c r="B473" i="8"/>
  <c r="B657" i="8"/>
  <c r="B816" i="8"/>
  <c r="B191" i="8"/>
  <c r="B380" i="8"/>
  <c r="B596" i="8"/>
  <c r="B835" i="8"/>
  <c r="B1043" i="8"/>
  <c r="B1044" i="8"/>
  <c r="B983" i="8"/>
  <c r="B368" i="8"/>
  <c r="B535" i="8"/>
  <c r="B719" i="8"/>
  <c r="B884" i="8"/>
  <c r="B1062" i="8"/>
  <c r="B891" i="8"/>
  <c r="B343" i="8"/>
  <c r="B597" i="8"/>
  <c r="B934" i="8"/>
  <c r="B1118" i="8"/>
  <c r="B312" i="8"/>
  <c r="B481" i="8"/>
  <c r="B646" i="8"/>
  <c r="B879" i="8"/>
  <c r="B306" i="8"/>
  <c r="B555" i="8"/>
  <c r="B763" i="8"/>
  <c r="B1014" i="8"/>
  <c r="B1027" i="8"/>
  <c r="B489" i="8"/>
  <c r="B710" i="8"/>
  <c r="B606" i="8"/>
  <c r="B864" i="8"/>
  <c r="B815" i="8"/>
  <c r="B278" i="8"/>
  <c r="B491" i="8"/>
  <c r="B724" i="8"/>
  <c r="B944" i="8"/>
  <c r="B1177" i="8"/>
  <c r="B1104" i="8"/>
  <c r="B291" i="8"/>
  <c r="B479" i="8"/>
  <c r="B663" i="8"/>
  <c r="B828" i="8"/>
  <c r="B197" i="8"/>
  <c r="B393" i="8"/>
  <c r="B608" i="8"/>
  <c r="B841" i="8"/>
  <c r="B1074" i="8"/>
  <c r="B1087" i="8"/>
  <c r="B185" i="8"/>
  <c r="B387" i="8"/>
  <c r="B560" i="8"/>
  <c r="B725" i="8"/>
  <c r="B909" i="8"/>
  <c r="B1068" i="8"/>
  <c r="B989" i="8"/>
  <c r="B362" i="8"/>
  <c r="B603" i="8"/>
  <c r="B958" i="8"/>
  <c r="B1136" i="8"/>
  <c r="B331" i="8"/>
  <c r="B487" i="8"/>
  <c r="B671" i="8"/>
  <c r="B977" i="8"/>
  <c r="B325" i="8"/>
  <c r="B561" i="8"/>
  <c r="B794" i="8"/>
  <c r="B1045" i="8"/>
  <c r="B1094" i="8"/>
  <c r="B550" i="8"/>
  <c r="B808" i="8"/>
  <c r="B655" i="8"/>
  <c r="B986" i="8"/>
  <c r="B852" i="8"/>
  <c r="B297" i="8"/>
  <c r="B497" i="8"/>
  <c r="B736" i="8"/>
  <c r="B975" i="8"/>
  <c r="B951" i="8"/>
  <c r="B1110" i="8"/>
  <c r="B304" i="8"/>
  <c r="B504" i="8"/>
  <c r="B669" i="8"/>
  <c r="B853" i="8"/>
  <c r="B203" i="8"/>
  <c r="B399" i="8"/>
  <c r="B639" i="8"/>
  <c r="B847" i="8"/>
  <c r="B1086" i="8"/>
  <c r="B1099" i="8"/>
  <c r="B210" i="8"/>
  <c r="B406" i="8"/>
  <c r="B572" i="8"/>
  <c r="B731" i="8"/>
  <c r="B915" i="8"/>
  <c r="B1080" i="8"/>
  <c r="B192" i="8"/>
  <c r="B381" i="8"/>
  <c r="B609" i="8"/>
  <c r="B995" i="8"/>
  <c r="B1161" i="8"/>
  <c r="B350" i="8"/>
  <c r="B493" i="8"/>
  <c r="B677" i="8"/>
  <c r="B1069" i="8"/>
  <c r="B344" i="8"/>
  <c r="B567" i="8"/>
  <c r="B806" i="8"/>
  <c r="B1051" i="8"/>
  <c r="B206" i="8"/>
  <c r="B648" i="8"/>
  <c r="B930" i="8"/>
  <c r="B686" i="8"/>
  <c r="B1060" i="8"/>
  <c r="B950" i="8"/>
  <c r="B316" i="8"/>
  <c r="B528" i="8"/>
  <c r="B748" i="8"/>
  <c r="B981" i="8"/>
  <c r="B957" i="8"/>
  <c r="B1122" i="8"/>
  <c r="B310" i="8"/>
  <c r="B516" i="8"/>
  <c r="B675" i="8"/>
  <c r="B859" i="8"/>
  <c r="B222" i="8"/>
  <c r="B418" i="8"/>
  <c r="B645" i="8"/>
  <c r="B878" i="8"/>
  <c r="B1098" i="8"/>
  <c r="B1130" i="8"/>
  <c r="B216" i="8"/>
  <c r="B412" i="8"/>
  <c r="B578" i="8"/>
  <c r="B756" i="8"/>
  <c r="B921" i="8"/>
  <c r="B1105" i="8"/>
  <c r="B204" i="8"/>
  <c r="B400" i="8"/>
  <c r="B640" i="8"/>
  <c r="B1056" i="8"/>
  <c r="B1179" i="8"/>
  <c r="B356" i="8"/>
  <c r="B518" i="8"/>
  <c r="B683" i="8"/>
  <c r="B1081" i="8"/>
  <c r="B363" i="8"/>
  <c r="B598" i="8"/>
  <c r="B818" i="8"/>
  <c r="B1057" i="8"/>
  <c r="B218" i="8"/>
  <c r="B482" i="8"/>
  <c r="B893" i="8"/>
  <c r="B309" i="8"/>
  <c r="B851" i="8"/>
  <c r="B303" i="8"/>
  <c r="B1109" i="8"/>
  <c r="B373" i="8"/>
  <c r="B583" i="8"/>
  <c r="B791" i="8"/>
  <c r="B1030" i="8"/>
  <c r="B994" i="8"/>
  <c r="B1159" i="8"/>
  <c r="B348" i="8"/>
  <c r="B559" i="8"/>
  <c r="B718" i="8"/>
  <c r="B896" i="8"/>
  <c r="B279" i="8"/>
  <c r="B455" i="8"/>
  <c r="B694" i="8"/>
  <c r="B933" i="8"/>
  <c r="B1141" i="8"/>
  <c r="B787" i="8"/>
  <c r="B248" i="8"/>
  <c r="B437" i="8"/>
  <c r="B621" i="8"/>
  <c r="B786" i="8"/>
  <c r="B964" i="8"/>
  <c r="B1123" i="8"/>
  <c r="B261" i="8"/>
  <c r="B456" i="8"/>
  <c r="B695" i="8"/>
  <c r="B928" i="8"/>
  <c r="B186" i="8"/>
  <c r="C302" i="8"/>
  <c r="C498" i="8"/>
  <c r="C694" i="8"/>
  <c r="C890" i="8"/>
  <c r="C1086" i="8"/>
  <c r="C279" i="8"/>
  <c r="C475" i="8"/>
  <c r="C671" i="8"/>
  <c r="C867" i="8"/>
  <c r="C1063" i="8"/>
  <c r="C256" i="8"/>
  <c r="C452" i="8"/>
  <c r="C648" i="8"/>
  <c r="C844" i="8"/>
  <c r="C1040" i="8"/>
  <c r="C336" i="8"/>
  <c r="C387" i="8"/>
  <c r="C611" i="8"/>
  <c r="C835" i="8"/>
  <c r="C1073" i="8"/>
  <c r="C420" i="8"/>
  <c r="C398" i="8"/>
  <c r="C636" i="8"/>
  <c r="C860" i="8"/>
  <c r="C1084" i="8"/>
  <c r="C333" i="8"/>
  <c r="C557" i="8"/>
  <c r="C991" i="8"/>
  <c r="C478" i="8"/>
  <c r="C898" i="8"/>
  <c r="C651" i="8"/>
  <c r="C278" i="8"/>
  <c r="C1034" i="8"/>
  <c r="C633" i="8"/>
  <c r="B861" i="8"/>
  <c r="B1173" i="8"/>
  <c r="B1002" i="8"/>
  <c r="B768" i="8"/>
  <c r="B651" i="8"/>
  <c r="B1147" i="8"/>
  <c r="B1084" i="8"/>
  <c r="C1107" i="8"/>
  <c r="C316" i="8"/>
  <c r="C512" i="8"/>
  <c r="C708" i="8"/>
  <c r="C904" i="8"/>
  <c r="C1100" i="8"/>
  <c r="C293" i="8"/>
  <c r="C489" i="8"/>
  <c r="C685" i="8"/>
  <c r="C881" i="8"/>
  <c r="C1077" i="8"/>
  <c r="C270" i="8"/>
  <c r="C466" i="8"/>
  <c r="C662" i="8"/>
  <c r="C858" i="8"/>
  <c r="C1054" i="8"/>
  <c r="C378" i="8"/>
  <c r="C401" i="8"/>
  <c r="C625" i="8"/>
  <c r="C863" i="8"/>
  <c r="C1087" i="8"/>
  <c r="C188" i="8"/>
  <c r="C412" i="8"/>
  <c r="C650" i="8"/>
  <c r="C874" i="8"/>
  <c r="C1112" i="8"/>
  <c r="C347" i="8"/>
  <c r="C571" i="8"/>
  <c r="C1047" i="8"/>
  <c r="C492" i="8"/>
  <c r="C1010" i="8"/>
  <c r="C665" i="8"/>
  <c r="C390" i="8"/>
  <c r="C1048" i="8"/>
  <c r="C745" i="8"/>
  <c r="B855" i="8"/>
  <c r="B781" i="8"/>
  <c r="B910" i="8"/>
  <c r="B615" i="8"/>
  <c r="B449" i="8"/>
  <c r="B969" i="8"/>
  <c r="B839" i="8"/>
  <c r="D785" i="8"/>
  <c r="C330" i="8"/>
  <c r="C526" i="8"/>
  <c r="C722" i="8"/>
  <c r="C918" i="8"/>
  <c r="C1114" i="8"/>
  <c r="C307" i="8"/>
  <c r="C503" i="8"/>
  <c r="C699" i="8"/>
  <c r="C895" i="8"/>
  <c r="C1091" i="8"/>
  <c r="C284" i="8"/>
  <c r="C480" i="8"/>
  <c r="C676" i="8"/>
  <c r="C872" i="8"/>
  <c r="C1068" i="8"/>
  <c r="C191" i="8"/>
  <c r="C415" i="8"/>
  <c r="C639" i="8"/>
  <c r="C877" i="8"/>
  <c r="C1101" i="8"/>
  <c r="C202" i="8"/>
  <c r="C440" i="8"/>
  <c r="C664" i="8"/>
  <c r="C888" i="8"/>
  <c r="C1126" i="8"/>
  <c r="C361" i="8"/>
  <c r="C599" i="8"/>
  <c r="C1103" i="8"/>
  <c r="C506" i="8"/>
  <c r="C1066" i="8"/>
  <c r="C679" i="8"/>
  <c r="C446" i="8"/>
  <c r="C1062" i="8"/>
  <c r="C801" i="8"/>
  <c r="B849" i="8"/>
  <c r="B726" i="8"/>
  <c r="B1093" i="8"/>
  <c r="B590" i="8"/>
  <c r="B443" i="8"/>
  <c r="B963" i="8"/>
  <c r="B784" i="8"/>
  <c r="D942" i="8"/>
  <c r="C344" i="8"/>
  <c r="C540" i="8"/>
  <c r="C736" i="8"/>
  <c r="C932" i="8"/>
  <c r="C1128" i="8"/>
  <c r="C321" i="8"/>
  <c r="C517" i="8"/>
  <c r="C713" i="8"/>
  <c r="C909" i="8"/>
  <c r="C1105" i="8"/>
  <c r="C298" i="8"/>
  <c r="C494" i="8"/>
  <c r="C690" i="8"/>
  <c r="C886" i="8"/>
  <c r="C1082" i="8"/>
  <c r="C205" i="8"/>
  <c r="C429" i="8"/>
  <c r="C667" i="8"/>
  <c r="C891" i="8"/>
  <c r="C1115" i="8"/>
  <c r="C216" i="8"/>
  <c r="C454" i="8"/>
  <c r="C678" i="8"/>
  <c r="C916" i="8"/>
  <c r="C1140" i="8"/>
  <c r="C375" i="8"/>
  <c r="C655" i="8"/>
  <c r="C1117" i="8"/>
  <c r="C520" i="8"/>
  <c r="C1080" i="8"/>
  <c r="C791" i="8"/>
  <c r="C460" i="8"/>
  <c r="C1174" i="8"/>
  <c r="C815" i="8"/>
  <c r="B708" i="8"/>
  <c r="B714" i="8"/>
  <c r="B664" i="8"/>
  <c r="B431" i="8"/>
  <c r="B260" i="8"/>
  <c r="B1018" i="8"/>
  <c r="B1163" i="8"/>
  <c r="D180" i="8"/>
  <c r="D206" i="8"/>
  <c r="D234" i="8"/>
  <c r="D261" i="8"/>
  <c r="D290" i="8"/>
  <c r="D318" i="8"/>
  <c r="D345" i="8"/>
  <c r="D372" i="8"/>
  <c r="D401" i="8"/>
  <c r="D429" i="8"/>
  <c r="D455" i="8"/>
  <c r="D480" i="8"/>
  <c r="D505" i="8"/>
  <c r="D533" i="8"/>
  <c r="D556" i="8"/>
  <c r="D580" i="8"/>
  <c r="D602" i="8"/>
  <c r="D624" i="8"/>
  <c r="D647" i="8"/>
  <c r="D672" i="8"/>
  <c r="D694" i="8"/>
  <c r="D717" i="8"/>
  <c r="D738" i="8"/>
  <c r="D762" i="8"/>
  <c r="D784" i="8"/>
  <c r="D808" i="8"/>
  <c r="D832" i="8"/>
  <c r="D854" i="8"/>
  <c r="D876" i="8"/>
  <c r="D899" i="8"/>
  <c r="D920" i="8"/>
  <c r="D943" i="8"/>
  <c r="D965" i="8"/>
  <c r="D987" i="8"/>
  <c r="D1010" i="8"/>
  <c r="D1030" i="8"/>
  <c r="D1052" i="8"/>
  <c r="D1072" i="8"/>
  <c r="D1094" i="8"/>
  <c r="D1114" i="8"/>
  <c r="D1137" i="8"/>
  <c r="D1157" i="8"/>
  <c r="D1179" i="8"/>
  <c r="D184" i="8"/>
  <c r="D211" i="8"/>
  <c r="D238" i="8"/>
  <c r="D262" i="8"/>
  <c r="D294" i="8"/>
  <c r="D322" i="8"/>
  <c r="D346" i="8"/>
  <c r="D373" i="8"/>
  <c r="D402" i="8"/>
  <c r="D430" i="8"/>
  <c r="D456" i="8"/>
  <c r="D482" i="8"/>
  <c r="D510" i="8"/>
  <c r="D535" i="8"/>
  <c r="D559" i="8"/>
  <c r="D581" i="8"/>
  <c r="D603" i="8"/>
  <c r="D625" i="8"/>
  <c r="D651" i="8"/>
  <c r="D673" i="8"/>
  <c r="D695" i="8"/>
  <c r="D718" i="8"/>
  <c r="D741" i="8"/>
  <c r="D763" i="8"/>
  <c r="D788" i="8"/>
  <c r="D811" i="8"/>
  <c r="D833" i="8"/>
  <c r="D855" i="8"/>
  <c r="D877" i="8"/>
  <c r="D900" i="8"/>
  <c r="D925" i="8"/>
  <c r="D944" i="8"/>
  <c r="D966" i="8"/>
  <c r="D988" i="8"/>
  <c r="D1011" i="8"/>
  <c r="D1031" i="8"/>
  <c r="D1053" i="8"/>
  <c r="D1073" i="8"/>
  <c r="D1095" i="8"/>
  <c r="D1118" i="8"/>
  <c r="D1139" i="8"/>
  <c r="D1160" i="8"/>
  <c r="D186" i="8"/>
  <c r="D213" i="8"/>
  <c r="D239" i="8"/>
  <c r="D266" i="8"/>
  <c r="D295" i="8"/>
  <c r="D323" i="8"/>
  <c r="D350" i="8"/>
  <c r="D379" i="8"/>
  <c r="D407" i="8"/>
  <c r="D434" i="8"/>
  <c r="D457" i="8"/>
  <c r="D483" i="8"/>
  <c r="D511" i="8"/>
  <c r="D536" i="8"/>
  <c r="D560" i="8"/>
  <c r="D582" i="8"/>
  <c r="D605" i="8"/>
  <c r="D626" i="8"/>
  <c r="D652" i="8"/>
  <c r="D675" i="8"/>
  <c r="D696" i="8"/>
  <c r="D720" i="8"/>
  <c r="D742" i="8"/>
  <c r="D764" i="8"/>
  <c r="D790" i="8"/>
  <c r="D812" i="8"/>
  <c r="D834" i="8"/>
  <c r="D857" i="8"/>
  <c r="D878" i="8"/>
  <c r="D902" i="8"/>
  <c r="D927" i="8"/>
  <c r="D945" i="8"/>
  <c r="D968" i="8"/>
  <c r="D989" i="8"/>
  <c r="D1013" i="8"/>
  <c r="D1034" i="8"/>
  <c r="D1055" i="8"/>
  <c r="D1076" i="8"/>
  <c r="D1098" i="8"/>
  <c r="D1119" i="8"/>
  <c r="D1140" i="8"/>
  <c r="D1161" i="8"/>
  <c r="D729" i="8"/>
  <c r="D187" i="8"/>
  <c r="D214" i="8"/>
  <c r="D241" i="8"/>
  <c r="D270" i="8"/>
  <c r="D298" i="8"/>
  <c r="D325" i="8"/>
  <c r="D351" i="8"/>
  <c r="D381" i="8"/>
  <c r="D409" i="8"/>
  <c r="D435" i="8"/>
  <c r="D458" i="8"/>
  <c r="D486" i="8"/>
  <c r="D512" i="8"/>
  <c r="D538" i="8"/>
  <c r="D561" i="8"/>
  <c r="D583" i="8"/>
  <c r="D606" i="8"/>
  <c r="D631" i="8"/>
  <c r="D653" i="8"/>
  <c r="D676" i="8"/>
  <c r="D699" i="8"/>
  <c r="D721" i="8"/>
  <c r="D743" i="8"/>
  <c r="D769" i="8"/>
  <c r="D791" i="8"/>
  <c r="D813" i="8"/>
  <c r="D835" i="8"/>
  <c r="D858" i="8"/>
  <c r="D881" i="8"/>
  <c r="D905" i="8"/>
  <c r="D928" i="8"/>
  <c r="D946" i="8"/>
  <c r="D969" i="8"/>
  <c r="D992" i="8"/>
  <c r="D1014" i="8"/>
  <c r="D1035" i="8"/>
  <c r="D1056" i="8"/>
  <c r="D1078" i="8"/>
  <c r="D1099" i="8"/>
  <c r="D1120" i="8"/>
  <c r="D1141" i="8"/>
  <c r="D1162" i="8"/>
  <c r="D219" i="8"/>
  <c r="D469" i="8"/>
  <c r="D567" i="8"/>
  <c r="D659" i="8"/>
  <c r="D751" i="8"/>
  <c r="D819" i="8"/>
  <c r="D867" i="8"/>
  <c r="D974" i="8"/>
  <c r="D1042" i="8"/>
  <c r="D1084" i="8"/>
  <c r="D1168" i="8"/>
  <c r="D190" i="8"/>
  <c r="D216" i="8"/>
  <c r="D242" i="8"/>
  <c r="D272" i="8"/>
  <c r="D300" i="8"/>
  <c r="D326" i="8"/>
  <c r="D353" i="8"/>
  <c r="D382" i="8"/>
  <c r="D410" i="8"/>
  <c r="D437" i="8"/>
  <c r="D462" i="8"/>
  <c r="D490" i="8"/>
  <c r="D513" i="8"/>
  <c r="D539" i="8"/>
  <c r="D563" i="8"/>
  <c r="D584" i="8"/>
  <c r="D608" i="8"/>
  <c r="D633" i="8"/>
  <c r="D654" i="8"/>
  <c r="D678" i="8"/>
  <c r="D700" i="8"/>
  <c r="D722" i="8"/>
  <c r="D745" i="8"/>
  <c r="D770" i="8"/>
  <c r="D792" i="8"/>
  <c r="D815" i="8"/>
  <c r="D836" i="8"/>
  <c r="D860" i="8"/>
  <c r="D882" i="8"/>
  <c r="D906" i="8"/>
  <c r="D930" i="8"/>
  <c r="D947" i="8"/>
  <c r="D971" i="8"/>
  <c r="D993" i="8"/>
  <c r="D1015" i="8"/>
  <c r="D1036" i="8"/>
  <c r="D1058" i="8"/>
  <c r="D1080" i="8"/>
  <c r="D1100" i="8"/>
  <c r="D1122" i="8"/>
  <c r="D1142" i="8"/>
  <c r="D1164" i="8"/>
  <c r="D193" i="8"/>
  <c r="D387" i="8"/>
  <c r="D494" i="8"/>
  <c r="D542" i="8"/>
  <c r="D615" i="8"/>
  <c r="D704" i="8"/>
  <c r="D797" i="8"/>
  <c r="D889" i="8"/>
  <c r="D952" i="8"/>
  <c r="D1021" i="8"/>
  <c r="D1105" i="8"/>
  <c r="D1147" i="8"/>
  <c r="D191" i="8"/>
  <c r="D217" i="8"/>
  <c r="D244" i="8"/>
  <c r="D273" i="8"/>
  <c r="D301" i="8"/>
  <c r="D328" i="8"/>
  <c r="D357" i="8"/>
  <c r="D385" i="8"/>
  <c r="D412" i="8"/>
  <c r="D438" i="8"/>
  <c r="D466" i="8"/>
  <c r="D491" i="8"/>
  <c r="D514" i="8"/>
  <c r="D540" i="8"/>
  <c r="D564" i="8"/>
  <c r="D587" i="8"/>
  <c r="D611" i="8"/>
  <c r="D634" i="8"/>
  <c r="D657" i="8"/>
  <c r="D679" i="8"/>
  <c r="D701" i="8"/>
  <c r="D723" i="8"/>
  <c r="D749" i="8"/>
  <c r="D771" i="8"/>
  <c r="D793" i="8"/>
  <c r="D816" i="8"/>
  <c r="D839" i="8"/>
  <c r="D861" i="8"/>
  <c r="D886" i="8"/>
  <c r="D909" i="8"/>
  <c r="D931" i="8"/>
  <c r="D950" i="8"/>
  <c r="D972" i="8"/>
  <c r="D994" i="8"/>
  <c r="D1016" i="8"/>
  <c r="D1039" i="8"/>
  <c r="D1059" i="8"/>
  <c r="D1081" i="8"/>
  <c r="D1101" i="8"/>
  <c r="D1123" i="8"/>
  <c r="D1143" i="8"/>
  <c r="D1165" i="8"/>
  <c r="D248" i="8"/>
  <c r="D911" i="8"/>
  <c r="D192" i="8"/>
  <c r="D218" i="8"/>
  <c r="D247" i="8"/>
  <c r="D275" i="8"/>
  <c r="D302" i="8"/>
  <c r="D329" i="8"/>
  <c r="D358" i="8"/>
  <c r="D386" i="8"/>
  <c r="D413" i="8"/>
  <c r="D440" i="8"/>
  <c r="D468" i="8"/>
  <c r="D493" i="8"/>
  <c r="D518" i="8"/>
  <c r="D541" i="8"/>
  <c r="D566" i="8"/>
  <c r="D588" i="8"/>
  <c r="D612" i="8"/>
  <c r="D636" i="8"/>
  <c r="D658" i="8"/>
  <c r="D680" i="8"/>
  <c r="D703" i="8"/>
  <c r="D724" i="8"/>
  <c r="D750" i="8"/>
  <c r="D773" i="8"/>
  <c r="D794" i="8"/>
  <c r="D818" i="8"/>
  <c r="D840" i="8"/>
  <c r="D862" i="8"/>
  <c r="D888" i="8"/>
  <c r="D910" i="8"/>
  <c r="D932" i="8"/>
  <c r="D951" i="8"/>
  <c r="D973" i="8"/>
  <c r="D996" i="8"/>
  <c r="D1020" i="8"/>
  <c r="D1041" i="8"/>
  <c r="D1062" i="8"/>
  <c r="D1083" i="8"/>
  <c r="D1104" i="8"/>
  <c r="D1125" i="8"/>
  <c r="D1146" i="8"/>
  <c r="D1167" i="8"/>
  <c r="D276" i="8"/>
  <c r="D303" i="8"/>
  <c r="D330" i="8"/>
  <c r="D359" i="8"/>
  <c r="D414" i="8"/>
  <c r="D443" i="8"/>
  <c r="D519" i="8"/>
  <c r="D592" i="8"/>
  <c r="D637" i="8"/>
  <c r="D681" i="8"/>
  <c r="D774" i="8"/>
  <c r="D841" i="8"/>
  <c r="D933" i="8"/>
  <c r="D997" i="8"/>
  <c r="D1063" i="8"/>
  <c r="D1126" i="8"/>
  <c r="D197" i="8"/>
  <c r="D220" i="8"/>
  <c r="D252" i="8"/>
  <c r="D280" i="8"/>
  <c r="D304" i="8"/>
  <c r="D336" i="8"/>
  <c r="D364" i="8"/>
  <c r="D388" i="8"/>
  <c r="D415" i="8"/>
  <c r="D444" i="8"/>
  <c r="D470" i="8"/>
  <c r="D496" i="8"/>
  <c r="D521" i="8"/>
  <c r="D546" i="8"/>
  <c r="D568" i="8"/>
  <c r="D594" i="8"/>
  <c r="D616" i="8"/>
  <c r="D638" i="8"/>
  <c r="D661" i="8"/>
  <c r="D682" i="8"/>
  <c r="D706" i="8"/>
  <c r="D731" i="8"/>
  <c r="D752" i="8"/>
  <c r="D776" i="8"/>
  <c r="D798" i="8"/>
  <c r="D820" i="8"/>
  <c r="D843" i="8"/>
  <c r="D868" i="8"/>
  <c r="D890" i="8"/>
  <c r="D913" i="8"/>
  <c r="D934" i="8"/>
  <c r="D954" i="8"/>
  <c r="D975" i="8"/>
  <c r="D1001" i="8"/>
  <c r="D1022" i="8"/>
  <c r="D1043" i="8"/>
  <c r="D1064" i="8"/>
  <c r="D1085" i="8"/>
  <c r="D1106" i="8"/>
  <c r="D1127" i="8"/>
  <c r="D1148" i="8"/>
  <c r="D1169" i="8"/>
  <c r="D204" i="8"/>
  <c r="D315" i="8"/>
  <c r="D370" i="8"/>
  <c r="D426" i="8"/>
  <c r="D477" i="8"/>
  <c r="D526" i="8"/>
  <c r="D577" i="8"/>
  <c r="D622" i="8"/>
  <c r="D666" i="8"/>
  <c r="D714" i="8"/>
  <c r="D759" i="8"/>
  <c r="D780" i="8"/>
  <c r="D829" i="8"/>
  <c r="D874" i="8"/>
  <c r="D918" i="8"/>
  <c r="D961" i="8"/>
  <c r="D1007" i="8"/>
  <c r="D1049" i="8"/>
  <c r="D1091" i="8"/>
  <c r="D1133" i="8"/>
  <c r="D1176" i="8"/>
  <c r="D198" i="8"/>
  <c r="D227" i="8"/>
  <c r="D255" i="8"/>
  <c r="D281" i="8"/>
  <c r="D308" i="8"/>
  <c r="D337" i="8"/>
  <c r="D365" i="8"/>
  <c r="D392" i="8"/>
  <c r="D416" i="8"/>
  <c r="D448" i="8"/>
  <c r="D471" i="8"/>
  <c r="D497" i="8"/>
  <c r="D522" i="8"/>
  <c r="D547" i="8"/>
  <c r="D573" i="8"/>
  <c r="D595" i="8"/>
  <c r="D617" i="8"/>
  <c r="D639" i="8"/>
  <c r="D662" i="8"/>
  <c r="D685" i="8"/>
  <c r="D709" i="8"/>
  <c r="D732" i="8"/>
  <c r="D755" i="8"/>
  <c r="D777" i="8"/>
  <c r="D799" i="8"/>
  <c r="D821" i="8"/>
  <c r="D847" i="8"/>
  <c r="D869" i="8"/>
  <c r="D891" i="8"/>
  <c r="D914" i="8"/>
  <c r="D937" i="8"/>
  <c r="D955" i="8"/>
  <c r="D978" i="8"/>
  <c r="D1002" i="8"/>
  <c r="D1024" i="8"/>
  <c r="D1044" i="8"/>
  <c r="D1066" i="8"/>
  <c r="D1086" i="8"/>
  <c r="D1108" i="8"/>
  <c r="D1128" i="8"/>
  <c r="D1150" i="8"/>
  <c r="D1170" i="8"/>
  <c r="D200" i="8"/>
  <c r="D228" i="8"/>
  <c r="D256" i="8"/>
  <c r="D283" i="8"/>
  <c r="D309" i="8"/>
  <c r="D339" i="8"/>
  <c r="D367" i="8"/>
  <c r="D393" i="8"/>
  <c r="D423" i="8"/>
  <c r="D449" i="8"/>
  <c r="D472" i="8"/>
  <c r="D498" i="8"/>
  <c r="D524" i="8"/>
  <c r="D549" i="8"/>
  <c r="D574" i="8"/>
  <c r="D596" i="8"/>
  <c r="D619" i="8"/>
  <c r="D640" i="8"/>
  <c r="D664" i="8"/>
  <c r="D686" i="8"/>
  <c r="D710" i="8"/>
  <c r="D734" i="8"/>
  <c r="D756" i="8"/>
  <c r="D778" i="8"/>
  <c r="D801" i="8"/>
  <c r="D822" i="8"/>
  <c r="D848" i="8"/>
  <c r="D871" i="8"/>
  <c r="D892" i="8"/>
  <c r="D916" i="8"/>
  <c r="D938" i="8"/>
  <c r="D957" i="8"/>
  <c r="D982" i="8"/>
  <c r="D1003" i="8"/>
  <c r="D1025" i="8"/>
  <c r="D1045" i="8"/>
  <c r="D1067" i="8"/>
  <c r="D1087" i="8"/>
  <c r="D1109" i="8"/>
  <c r="D1129" i="8"/>
  <c r="D1151" i="8"/>
  <c r="D1171" i="8"/>
  <c r="D259" i="8"/>
  <c r="D230" i="8"/>
  <c r="D258" i="8"/>
  <c r="D284" i="8"/>
  <c r="D314" i="8"/>
  <c r="D342" i="8"/>
  <c r="D368" i="8"/>
  <c r="D395" i="8"/>
  <c r="D424" i="8"/>
  <c r="D451" i="8"/>
  <c r="D476" i="8"/>
  <c r="D499" i="8"/>
  <c r="D525" i="8"/>
  <c r="D553" i="8"/>
  <c r="D575" i="8"/>
  <c r="D597" i="8"/>
  <c r="D620" i="8"/>
  <c r="D643" i="8"/>
  <c r="D665" i="8"/>
  <c r="D690" i="8"/>
  <c r="D713" i="8"/>
  <c r="D735" i="8"/>
  <c r="D757" i="8"/>
  <c r="D779" i="8"/>
  <c r="D802" i="8"/>
  <c r="D827" i="8"/>
  <c r="D849" i="8"/>
  <c r="D872" i="8"/>
  <c r="D895" i="8"/>
  <c r="D917" i="8"/>
  <c r="D939" i="8"/>
  <c r="D958" i="8"/>
  <c r="D983" i="8"/>
  <c r="D1006" i="8"/>
  <c r="D1027" i="8"/>
  <c r="D1048" i="8"/>
  <c r="D1069" i="8"/>
  <c r="D1090" i="8"/>
  <c r="D1111" i="8"/>
  <c r="D1132" i="8"/>
  <c r="D1153" i="8"/>
  <c r="D1174" i="8"/>
  <c r="D232" i="8"/>
  <c r="D286" i="8"/>
  <c r="D343" i="8"/>
  <c r="D396" i="8"/>
  <c r="D452" i="8"/>
  <c r="D500" i="8"/>
  <c r="D554" i="8"/>
  <c r="D598" i="8"/>
  <c r="D644" i="8"/>
  <c r="D692" i="8"/>
  <c r="D736" i="8"/>
  <c r="D804" i="8"/>
  <c r="D850" i="8"/>
  <c r="D896" i="8"/>
  <c r="D941" i="8"/>
  <c r="D985" i="8"/>
  <c r="D1028" i="8"/>
  <c r="D1070" i="8"/>
  <c r="D1112" i="8"/>
  <c r="D1154" i="8"/>
  <c r="D205" i="8"/>
  <c r="D233" i="8"/>
  <c r="D260" i="8"/>
  <c r="D287" i="8"/>
  <c r="D316" i="8"/>
  <c r="D344" i="8"/>
  <c r="D371" i="8"/>
  <c r="D400" i="8"/>
  <c r="D428" i="8"/>
  <c r="D454" i="8"/>
  <c r="D479" i="8"/>
  <c r="D504" i="8"/>
  <c r="D532" i="8"/>
  <c r="D555" i="8"/>
  <c r="D578" i="8"/>
  <c r="D601" i="8"/>
  <c r="D623" i="8"/>
  <c r="D645" i="8"/>
  <c r="D671" i="8"/>
  <c r="D693" i="8"/>
  <c r="D715" i="8"/>
  <c r="D737" i="8"/>
  <c r="D760" i="8"/>
  <c r="D783" i="8"/>
  <c r="D807" i="8"/>
  <c r="D830" i="8"/>
  <c r="D853" i="8"/>
  <c r="D875" i="8"/>
  <c r="D897" i="8"/>
  <c r="D919" i="8"/>
  <c r="D964" i="8"/>
  <c r="D986" i="8"/>
  <c r="D1008" i="8"/>
  <c r="D1029" i="8"/>
  <c r="D1050" i="8"/>
  <c r="D1071" i="8"/>
  <c r="D1092" i="8"/>
  <c r="D1113" i="8"/>
  <c r="D1134" i="8"/>
  <c r="D1156" i="8"/>
  <c r="D1178" i="8"/>
  <c r="D1000" i="8"/>
  <c r="D708" i="8"/>
  <c r="D421" i="8"/>
  <c r="D235" i="8"/>
  <c r="D431" i="8"/>
  <c r="D627" i="8"/>
  <c r="D823" i="8"/>
  <c r="D1018" i="8"/>
  <c r="D237" i="8"/>
  <c r="D208" i="8"/>
  <c r="D404" i="8"/>
  <c r="D600" i="8"/>
  <c r="D796" i="8"/>
  <c r="D991" i="8"/>
  <c r="D182" i="8"/>
  <c r="D199" i="8"/>
  <c r="D394" i="8"/>
  <c r="D590" i="8"/>
  <c r="D786" i="8"/>
  <c r="D981" i="8"/>
  <c r="D1177" i="8"/>
  <c r="D369" i="8"/>
  <c r="D565" i="8"/>
  <c r="D761" i="8"/>
  <c r="D970" i="8"/>
  <c r="D1166" i="8"/>
  <c r="D923" i="8"/>
  <c r="D648" i="8"/>
  <c r="D354" i="8"/>
  <c r="D183" i="8"/>
  <c r="D980" i="8"/>
  <c r="D689" i="8"/>
  <c r="D399" i="8"/>
  <c r="D249" i="8"/>
  <c r="D445" i="8"/>
  <c r="D641" i="8"/>
  <c r="D837" i="8"/>
  <c r="D1032" i="8"/>
  <c r="D265" i="8"/>
  <c r="D222" i="8"/>
  <c r="D418" i="8"/>
  <c r="D614" i="8"/>
  <c r="D810" i="8"/>
  <c r="D1005" i="8"/>
  <c r="D223" i="8"/>
  <c r="D212" i="8"/>
  <c r="D408" i="8"/>
  <c r="D604" i="8"/>
  <c r="D800" i="8"/>
  <c r="D995" i="8"/>
  <c r="D188" i="8"/>
  <c r="D383" i="8"/>
  <c r="D579" i="8"/>
  <c r="D775" i="8"/>
  <c r="D984" i="8"/>
  <c r="D1175" i="8"/>
  <c r="D903" i="8"/>
  <c r="D629" i="8"/>
  <c r="D331" i="8"/>
  <c r="D427" i="8"/>
  <c r="D960" i="8"/>
  <c r="D668" i="8"/>
  <c r="D378" i="8"/>
  <c r="D263" i="8"/>
  <c r="D459" i="8"/>
  <c r="D655" i="8"/>
  <c r="D851" i="8"/>
  <c r="D1046" i="8"/>
  <c r="D293" i="8"/>
  <c r="D236" i="8"/>
  <c r="D432" i="8"/>
  <c r="D628" i="8"/>
  <c r="D824" i="8"/>
  <c r="D1019" i="8"/>
  <c r="D251" i="8"/>
  <c r="D226" i="8"/>
  <c r="D422" i="8"/>
  <c r="D618" i="8"/>
  <c r="D814" i="8"/>
  <c r="D1009" i="8"/>
  <c r="D201" i="8"/>
  <c r="D397" i="8"/>
  <c r="D593" i="8"/>
  <c r="D789" i="8"/>
  <c r="D998" i="8"/>
  <c r="D1155" i="8"/>
  <c r="D883" i="8"/>
  <c r="D609" i="8"/>
  <c r="D311" i="8"/>
  <c r="D406" i="8"/>
  <c r="D924" i="8"/>
  <c r="D650" i="8"/>
  <c r="D356" i="8"/>
  <c r="D277" i="8"/>
  <c r="D473" i="8"/>
  <c r="D669" i="8"/>
  <c r="D865" i="8"/>
  <c r="D1060" i="8"/>
  <c r="D321" i="8"/>
  <c r="D250" i="8"/>
  <c r="D446" i="8"/>
  <c r="D642" i="8"/>
  <c r="D838" i="8"/>
  <c r="D1033" i="8"/>
  <c r="D279" i="8"/>
  <c r="D240" i="8"/>
  <c r="D436" i="8"/>
  <c r="D632" i="8"/>
  <c r="D828" i="8"/>
  <c r="D1023" i="8"/>
  <c r="D215" i="8"/>
  <c r="D411" i="8"/>
  <c r="D607" i="8"/>
  <c r="D803" i="8"/>
  <c r="D1012" i="8"/>
  <c r="D1136" i="8"/>
  <c r="D863" i="8"/>
  <c r="D589" i="8"/>
  <c r="D288" i="8"/>
  <c r="D384" i="8"/>
  <c r="D904" i="8"/>
  <c r="D630" i="8"/>
  <c r="D332" i="8"/>
  <c r="D291" i="8"/>
  <c r="D487" i="8"/>
  <c r="D683" i="8"/>
  <c r="D879" i="8"/>
  <c r="D1074" i="8"/>
  <c r="D349" i="8"/>
  <c r="D264" i="8"/>
  <c r="D460" i="8"/>
  <c r="D656" i="8"/>
  <c r="D852" i="8"/>
  <c r="D1047" i="8"/>
  <c r="D307" i="8"/>
  <c r="D254" i="8"/>
  <c r="D450" i="8"/>
  <c r="D646" i="8"/>
  <c r="D842" i="8"/>
  <c r="D1037" i="8"/>
  <c r="D229" i="8"/>
  <c r="D425" i="8"/>
  <c r="D621" i="8"/>
  <c r="D817" i="8"/>
  <c r="D1026" i="8"/>
  <c r="D1115" i="8"/>
  <c r="D844" i="8"/>
  <c r="D569" i="8"/>
  <c r="D267" i="8"/>
  <c r="D360" i="8"/>
  <c r="D885" i="8"/>
  <c r="D610" i="8"/>
  <c r="D312" i="8"/>
  <c r="D305" i="8"/>
  <c r="D501" i="8"/>
  <c r="D697" i="8"/>
  <c r="D893" i="8"/>
  <c r="D1088" i="8"/>
  <c r="D377" i="8"/>
  <c r="D278" i="8"/>
  <c r="D474" i="8"/>
  <c r="D670" i="8"/>
  <c r="D866" i="8"/>
  <c r="D1061" i="8"/>
  <c r="D335" i="8"/>
  <c r="D268" i="8"/>
  <c r="D464" i="8"/>
  <c r="D660" i="8"/>
  <c r="D856" i="8"/>
  <c r="D1051" i="8"/>
  <c r="D243" i="8"/>
  <c r="D439" i="8"/>
  <c r="D635" i="8"/>
  <c r="D831" i="8"/>
  <c r="D1040" i="8"/>
  <c r="D1097" i="8"/>
  <c r="D825" i="8"/>
  <c r="D550" i="8"/>
  <c r="D245" i="8"/>
  <c r="D340" i="8"/>
  <c r="D864" i="8"/>
  <c r="D591" i="8"/>
  <c r="D289" i="8"/>
  <c r="D319" i="8"/>
  <c r="D515" i="8"/>
  <c r="D711" i="8"/>
  <c r="D907" i="8"/>
  <c r="D1102" i="8"/>
  <c r="D405" i="8"/>
  <c r="D292" i="8"/>
  <c r="D488" i="8"/>
  <c r="D684" i="8"/>
  <c r="D880" i="8"/>
  <c r="D1075" i="8"/>
  <c r="D363" i="8"/>
  <c r="D282" i="8"/>
  <c r="D478" i="8"/>
  <c r="D674" i="8"/>
  <c r="D870" i="8"/>
  <c r="D1065" i="8"/>
  <c r="D257" i="8"/>
  <c r="D453" i="8"/>
  <c r="D649" i="8"/>
  <c r="D845" i="8"/>
  <c r="D1054" i="8"/>
  <c r="D1077" i="8"/>
  <c r="D805" i="8"/>
  <c r="D527" i="8"/>
  <c r="D224" i="8"/>
  <c r="D297" i="8"/>
  <c r="D826" i="8"/>
  <c r="D552" i="8"/>
  <c r="D246" i="8"/>
  <c r="D347" i="8"/>
  <c r="D543" i="8"/>
  <c r="D739" i="8"/>
  <c r="D935" i="8"/>
  <c r="D1130" i="8"/>
  <c r="D461" i="8"/>
  <c r="D320" i="8"/>
  <c r="D516" i="8"/>
  <c r="D712" i="8"/>
  <c r="D908" i="8"/>
  <c r="D1103" i="8"/>
  <c r="D419" i="8"/>
  <c r="D310" i="8"/>
  <c r="D506" i="8"/>
  <c r="D702" i="8"/>
  <c r="D898" i="8"/>
  <c r="D1093" i="8"/>
  <c r="D285" i="8"/>
  <c r="D481" i="8"/>
  <c r="D677" i="8"/>
  <c r="D873" i="8"/>
  <c r="D1082" i="8"/>
  <c r="D1038" i="8"/>
  <c r="D765" i="8"/>
  <c r="D484" i="8"/>
  <c r="D274" i="8"/>
  <c r="D806" i="8"/>
  <c r="D528" i="8"/>
  <c r="D225" i="8"/>
  <c r="D361" i="8"/>
  <c r="D557" i="8"/>
  <c r="D753" i="8"/>
  <c r="D948" i="8"/>
  <c r="D1144" i="8"/>
  <c r="D489" i="8"/>
  <c r="D334" i="8"/>
  <c r="D530" i="8"/>
  <c r="D726" i="8"/>
  <c r="D922" i="8"/>
  <c r="D1117" i="8"/>
  <c r="D447" i="8"/>
  <c r="D324" i="8"/>
  <c r="D520" i="8"/>
  <c r="D716" i="8"/>
  <c r="D912" i="8"/>
  <c r="D1107" i="8"/>
  <c r="D299" i="8"/>
  <c r="D495" i="8"/>
  <c r="D691" i="8"/>
  <c r="D887" i="8"/>
  <c r="D1096" i="8"/>
  <c r="D1017" i="8"/>
  <c r="D746" i="8"/>
  <c r="D463" i="8"/>
  <c r="D253" i="8"/>
  <c r="D787" i="8"/>
  <c r="D508" i="8"/>
  <c r="D203" i="8"/>
  <c r="D375" i="8"/>
  <c r="D571" i="8"/>
  <c r="D767" i="8"/>
  <c r="D962" i="8"/>
  <c r="D1158" i="8"/>
  <c r="D517" i="8"/>
  <c r="D348" i="8"/>
  <c r="D544" i="8"/>
  <c r="D740" i="8"/>
  <c r="D936" i="8"/>
  <c r="D1131" i="8"/>
  <c r="D475" i="8"/>
  <c r="D338" i="8"/>
  <c r="D534" i="8"/>
  <c r="D730" i="8"/>
  <c r="D926" i="8"/>
  <c r="D1121" i="8"/>
  <c r="D313" i="8"/>
  <c r="D509" i="8"/>
  <c r="D705" i="8"/>
  <c r="D901" i="8"/>
  <c r="D1110" i="8"/>
  <c r="D999" i="8"/>
  <c r="D727" i="8"/>
  <c r="D441" i="8"/>
  <c r="D231" i="8"/>
  <c r="D766" i="8"/>
  <c r="D485" i="8"/>
  <c r="D194" i="8"/>
  <c r="D389" i="8"/>
  <c r="D585" i="8"/>
  <c r="D781" i="8"/>
  <c r="D976" i="8"/>
  <c r="D1172" i="8"/>
  <c r="D545" i="8"/>
  <c r="D362" i="8"/>
  <c r="D558" i="8"/>
  <c r="D754" i="8"/>
  <c r="D949" i="8"/>
  <c r="D1145" i="8"/>
  <c r="D503" i="8"/>
  <c r="D352" i="8"/>
  <c r="D548" i="8"/>
  <c r="D744" i="8"/>
  <c r="D940" i="8"/>
  <c r="D1135" i="8"/>
  <c r="D327" i="8"/>
  <c r="D523" i="8"/>
  <c r="D719" i="8"/>
  <c r="D915" i="8"/>
  <c r="D1124" i="8"/>
  <c r="D979" i="8"/>
  <c r="D707" i="8"/>
  <c r="D420" i="8"/>
  <c r="D210" i="8"/>
  <c r="D748" i="8"/>
  <c r="D465" i="8"/>
  <c r="D207" i="8"/>
  <c r="D403" i="8"/>
  <c r="D599" i="8"/>
  <c r="D795" i="8"/>
  <c r="D990" i="8"/>
  <c r="D196" i="8"/>
  <c r="D181" i="8"/>
  <c r="D376" i="8"/>
  <c r="D572" i="8"/>
  <c r="D768" i="8"/>
  <c r="D963" i="8"/>
  <c r="D1159" i="8"/>
  <c r="D531" i="8"/>
  <c r="D366" i="8"/>
  <c r="D562" i="8"/>
  <c r="D758" i="8"/>
  <c r="D953" i="8"/>
  <c r="D1149" i="8"/>
  <c r="D341" i="8"/>
  <c r="D537" i="8"/>
  <c r="D733" i="8"/>
  <c r="D929" i="8"/>
  <c r="D1138" i="8"/>
  <c r="D959" i="8"/>
  <c r="D687" i="8"/>
  <c r="D398" i="8"/>
  <c r="D317" i="8"/>
  <c r="D921" i="8"/>
  <c r="D1089" i="8"/>
  <c r="D271" i="8"/>
  <c r="D507" i="8"/>
  <c r="D189" i="8"/>
  <c r="D1004" i="8"/>
  <c r="D1173" i="8"/>
  <c r="D355" i="8"/>
  <c r="D374" i="8"/>
  <c r="D846" i="8"/>
  <c r="D1116" i="8"/>
  <c r="D391" i="8"/>
  <c r="D467" i="8"/>
  <c r="D202" i="8"/>
  <c r="D728" i="8"/>
  <c r="D209" i="8"/>
  <c r="D185" i="8"/>
  <c r="D551" i="8"/>
  <c r="D570" i="8"/>
  <c r="D433" i="8"/>
  <c r="D296" i="8"/>
  <c r="D663" i="8"/>
  <c r="D442" i="8"/>
  <c r="D195" i="8"/>
  <c r="D380" i="8"/>
  <c r="D747" i="8"/>
  <c r="D269" i="8"/>
  <c r="D306" i="8"/>
  <c r="D492" i="8"/>
  <c r="D859" i="8"/>
  <c r="D221" i="8"/>
  <c r="D390" i="8"/>
  <c r="D576" i="8"/>
  <c r="D956" i="8"/>
  <c r="D333" i="8"/>
  <c r="D502" i="8"/>
  <c r="D688" i="8"/>
  <c r="D1068" i="8"/>
  <c r="D417" i="8"/>
  <c r="D586" i="8"/>
  <c r="D772" i="8"/>
  <c r="D1152" i="8"/>
  <c r="D529" i="8"/>
  <c r="D698" i="8"/>
  <c r="D884" i="8"/>
  <c r="D1057" i="8"/>
  <c r="D809" i="8"/>
  <c r="D977" i="8"/>
  <c r="D1163" i="8"/>
  <c r="D667" i="8"/>
  <c r="C358" i="8"/>
  <c r="C554" i="8"/>
  <c r="C750" i="8"/>
  <c r="C946" i="8"/>
  <c r="C1142" i="8"/>
  <c r="C335" i="8"/>
  <c r="C531" i="8"/>
  <c r="C727" i="8"/>
  <c r="C923" i="8"/>
  <c r="C1119" i="8"/>
  <c r="C312" i="8"/>
  <c r="C508" i="8"/>
  <c r="C704" i="8"/>
  <c r="C900" i="8"/>
  <c r="C1096" i="8"/>
  <c r="C219" i="8"/>
  <c r="C443" i="8"/>
  <c r="C681" i="8"/>
  <c r="C905" i="8"/>
  <c r="C1129" i="8"/>
  <c r="C244" i="8"/>
  <c r="C468" i="8"/>
  <c r="C692" i="8"/>
  <c r="C930" i="8"/>
  <c r="C1154" i="8"/>
  <c r="C389" i="8"/>
  <c r="C711" i="8"/>
  <c r="C1131" i="8"/>
  <c r="C562" i="8"/>
  <c r="C1094" i="8"/>
  <c r="C847" i="8"/>
  <c r="C474" i="8"/>
  <c r="C213" i="8"/>
  <c r="C829" i="8"/>
  <c r="B653" i="8"/>
  <c r="B689" i="8"/>
  <c r="B652" i="8"/>
  <c r="B425" i="8"/>
  <c r="B241" i="8"/>
  <c r="B987" i="8"/>
  <c r="B1028" i="8"/>
  <c r="D967" i="8"/>
  <c r="C372" i="8"/>
  <c r="C568" i="8"/>
  <c r="C764" i="8"/>
  <c r="C960" i="8"/>
  <c r="C1156" i="8"/>
  <c r="C349" i="8"/>
  <c r="C545" i="8"/>
  <c r="C741" i="8"/>
  <c r="C937" i="8"/>
  <c r="C1133" i="8"/>
  <c r="C326" i="8"/>
  <c r="C522" i="8"/>
  <c r="C718" i="8"/>
  <c r="C914" i="8"/>
  <c r="C1110" i="8"/>
  <c r="C233" i="8"/>
  <c r="C471" i="8"/>
  <c r="C695" i="8"/>
  <c r="C919" i="8"/>
  <c r="C1143" i="8"/>
  <c r="C258" i="8"/>
  <c r="C482" i="8"/>
  <c r="C720" i="8"/>
  <c r="C944" i="8"/>
  <c r="C1168" i="8"/>
  <c r="C403" i="8"/>
  <c r="C725" i="8"/>
  <c r="C1145" i="8"/>
  <c r="C618" i="8"/>
  <c r="C203" i="8"/>
  <c r="C861" i="8"/>
  <c r="C586" i="8"/>
  <c r="C227" i="8"/>
  <c r="B622" i="8"/>
  <c r="B591" i="8"/>
  <c r="B444" i="8"/>
  <c r="B235" i="8"/>
  <c r="B871" i="8"/>
  <c r="B785" i="8"/>
  <c r="B826" i="8"/>
  <c r="D894" i="8"/>
  <c r="C201" i="8"/>
  <c r="C943" i="8"/>
  <c r="C985" i="8"/>
  <c r="C1041" i="8"/>
  <c r="C682" i="8"/>
  <c r="C953" i="8"/>
  <c r="C397" i="8"/>
  <c r="C1064" i="8"/>
  <c r="C271" i="8"/>
  <c r="C603" i="8"/>
  <c r="C831" i="8"/>
  <c r="C1177" i="8"/>
  <c r="C491" i="8"/>
  <c r="C393" i="8"/>
  <c r="C1013" i="8"/>
  <c r="C379" i="8"/>
  <c r="C882" i="8"/>
  <c r="C841" i="8"/>
  <c r="C696" i="8"/>
  <c r="C1022" i="8"/>
  <c r="C388" i="8"/>
  <c r="C640" i="8"/>
  <c r="C626" i="8"/>
  <c r="C351" i="8"/>
  <c r="C887" i="8"/>
  <c r="C845" i="8"/>
  <c r="C1009" i="8"/>
  <c r="C248" i="8"/>
  <c r="C560" i="8"/>
  <c r="C766" i="8"/>
  <c r="C1134" i="8"/>
  <c r="C448" i="8"/>
  <c r="C1167" i="8"/>
  <c r="C948" i="8"/>
  <c r="C229" i="8"/>
  <c r="C827" i="8"/>
  <c r="C220" i="8"/>
  <c r="C663" i="8"/>
  <c r="C967" i="8"/>
  <c r="C365" i="8"/>
  <c r="C607" i="8"/>
  <c r="C407" i="8"/>
  <c r="C878" i="8"/>
  <c r="C584" i="8"/>
  <c r="C528" i="8"/>
  <c r="C966" i="8"/>
  <c r="C225" i="8"/>
  <c r="C505" i="8"/>
  <c r="C733" i="8"/>
  <c r="C1079" i="8"/>
  <c r="F1079" i="8" s="1"/>
  <c r="C299" i="8"/>
  <c r="C1102" i="8"/>
  <c r="C915" i="8"/>
  <c r="C206" i="8"/>
  <c r="C784" i="8"/>
  <c r="C1069" i="8"/>
  <c r="C598" i="8"/>
  <c r="C924" i="8"/>
  <c r="C215" i="8"/>
  <c r="C542" i="8"/>
  <c r="C327" i="8"/>
  <c r="C812" i="8"/>
  <c r="C518" i="8"/>
  <c r="C976" i="8"/>
  <c r="C911" i="8"/>
  <c r="C1148" i="8"/>
  <c r="C462" i="8"/>
  <c r="C668" i="8"/>
  <c r="C1036" i="8"/>
  <c r="C276" i="8"/>
  <c r="C873" i="8"/>
  <c r="C850" i="8"/>
  <c r="C1135" i="8"/>
  <c r="C729" i="8"/>
  <c r="C775" i="8"/>
  <c r="C565" i="8"/>
  <c r="C869" i="8"/>
  <c r="C243" i="8"/>
  <c r="C509" i="8"/>
  <c r="C1172" i="8"/>
  <c r="C561" i="8"/>
  <c r="C211" i="8"/>
  <c r="C910" i="8"/>
  <c r="C868" i="8"/>
  <c r="C1093" i="8"/>
  <c r="C383" i="8"/>
  <c r="C635" i="8"/>
  <c r="C981" i="8"/>
  <c r="C253" i="8"/>
  <c r="C808" i="8"/>
  <c r="C817" i="8"/>
  <c r="C1037" i="8"/>
  <c r="C686" i="8"/>
  <c r="C677" i="8"/>
  <c r="C500" i="8"/>
  <c r="C826" i="8"/>
  <c r="C1130" i="8"/>
  <c r="C444" i="8"/>
  <c r="C1106" i="8"/>
  <c r="C495" i="8"/>
  <c r="C1074" i="8"/>
  <c r="C659" i="8"/>
  <c r="C813" i="8"/>
  <c r="C1050" i="8"/>
  <c r="C360" i="8"/>
  <c r="C570" i="8"/>
  <c r="C938" i="8"/>
  <c r="C196" i="8"/>
  <c r="C612" i="8"/>
  <c r="C752" i="8"/>
  <c r="C939" i="8"/>
  <c r="C631" i="8"/>
  <c r="C1153" i="8"/>
  <c r="C467" i="8"/>
  <c r="C771" i="8"/>
  <c r="C1097" i="8"/>
  <c r="C341" i="8"/>
  <c r="C855" i="8"/>
  <c r="C190" i="8"/>
  <c r="C1018" i="8"/>
  <c r="C593" i="8"/>
  <c r="C770" i="8"/>
  <c r="C995" i="8"/>
  <c r="C337" i="8"/>
  <c r="C537" i="8"/>
  <c r="C883" i="8"/>
  <c r="C896" i="8"/>
  <c r="C579" i="8"/>
  <c r="C719" i="8"/>
  <c r="C700" i="8"/>
  <c r="C588" i="8"/>
  <c r="C1088" i="8"/>
  <c r="C285" i="8"/>
  <c r="C728" i="8"/>
  <c r="C1032" i="8"/>
  <c r="C318" i="8"/>
  <c r="C551" i="8"/>
  <c r="C486" i="8"/>
  <c r="C822" i="8"/>
  <c r="C304" i="8"/>
  <c r="C994" i="8"/>
  <c r="C672" i="8"/>
  <c r="C897" i="8"/>
  <c r="C1125" i="8"/>
  <c r="C439" i="8"/>
  <c r="C785" i="8"/>
  <c r="C743" i="8"/>
  <c r="C369" i="8"/>
  <c r="C621" i="8"/>
  <c r="C1176" i="8"/>
  <c r="C490" i="8"/>
  <c r="C990" i="8"/>
  <c r="C239" i="8"/>
  <c r="C630" i="8"/>
  <c r="C934" i="8"/>
  <c r="C192" i="8"/>
  <c r="C1051" i="8"/>
  <c r="C616" i="8"/>
  <c r="C453" i="8"/>
  <c r="C1149" i="8"/>
  <c r="C971" i="8"/>
  <c r="C617" i="8"/>
  <c r="C854" i="8"/>
  <c r="C1060" i="8"/>
  <c r="C313" i="8"/>
  <c r="C742" i="8"/>
  <c r="C645" i="8"/>
  <c r="C346" i="8"/>
  <c r="C556" i="8"/>
  <c r="C1121" i="8"/>
  <c r="C435" i="8"/>
  <c r="C957" i="8"/>
  <c r="C1004" i="8"/>
  <c r="C575" i="8"/>
  <c r="C901" i="8"/>
  <c r="C281" i="8"/>
  <c r="C257" i="8"/>
  <c r="C1008" i="8"/>
  <c r="C1083" i="8"/>
  <c r="C710" i="8"/>
  <c r="C574" i="8"/>
  <c r="C799" i="8"/>
  <c r="C1027" i="8"/>
  <c r="C290" i="8"/>
  <c r="C687" i="8"/>
  <c r="C602" i="8"/>
  <c r="C323" i="8"/>
  <c r="C523" i="8"/>
  <c r="C1078" i="8"/>
  <c r="C355" i="8"/>
  <c r="C892" i="8"/>
  <c r="C906" i="8"/>
  <c r="C532" i="8"/>
  <c r="C836" i="8"/>
  <c r="C920" i="8"/>
  <c r="C1116" i="8"/>
  <c r="C757" i="8"/>
  <c r="C780" i="8"/>
  <c r="C481" i="8"/>
  <c r="C519" i="8"/>
  <c r="C756" i="8"/>
  <c r="C962" i="8"/>
  <c r="C267" i="8"/>
  <c r="C644" i="8"/>
  <c r="C504" i="8"/>
  <c r="C1144" i="8"/>
  <c r="C458" i="8"/>
  <c r="C1023" i="8"/>
  <c r="C332" i="8"/>
  <c r="C859" i="8"/>
  <c r="C1163" i="8"/>
  <c r="C477" i="8"/>
  <c r="C803" i="8"/>
  <c r="C724" i="8"/>
  <c r="C747" i="8"/>
  <c r="C691" i="8"/>
  <c r="C714" i="8"/>
  <c r="C1162" i="8"/>
  <c r="C476" i="8"/>
  <c r="C701" i="8"/>
  <c r="C929" i="8"/>
  <c r="C187" i="8"/>
  <c r="C589" i="8"/>
  <c r="C449" i="8"/>
  <c r="C1111" i="8"/>
  <c r="C425" i="8"/>
  <c r="C980" i="8"/>
  <c r="C309" i="8"/>
  <c r="C794" i="8"/>
  <c r="C1120" i="8"/>
  <c r="C434" i="8"/>
  <c r="C738" i="8"/>
  <c r="C952" i="8"/>
  <c r="C547" i="8"/>
  <c r="C983" i="8"/>
  <c r="C787" i="8"/>
  <c r="C591" i="8"/>
  <c r="C395" i="8"/>
  <c r="C199" i="8"/>
  <c r="C1020" i="8"/>
  <c r="C824" i="8"/>
  <c r="C628" i="8"/>
  <c r="C432" i="8"/>
  <c r="C236" i="8"/>
  <c r="C1029" i="8"/>
  <c r="C833" i="8"/>
  <c r="C637" i="8"/>
  <c r="C441" i="8"/>
  <c r="C245" i="8"/>
  <c r="C1052" i="8"/>
  <c r="C856" i="8"/>
  <c r="C660" i="8"/>
  <c r="C464" i="8"/>
  <c r="C268" i="8"/>
  <c r="C1089" i="8"/>
  <c r="C893" i="8"/>
  <c r="C697" i="8"/>
  <c r="C501" i="8"/>
  <c r="C305" i="8"/>
  <c r="C1098" i="8"/>
  <c r="C902" i="8"/>
  <c r="C706" i="8"/>
  <c r="C510" i="8"/>
  <c r="C314" i="8"/>
  <c r="C322" i="8"/>
  <c r="C1045" i="8"/>
  <c r="C849" i="8"/>
  <c r="C653" i="8"/>
  <c r="C457" i="8"/>
  <c r="C261" i="8"/>
  <c r="C1166" i="8"/>
  <c r="C658" i="8"/>
  <c r="C925" i="8"/>
  <c r="C969" i="8"/>
  <c r="C773" i="8"/>
  <c r="C577" i="8"/>
  <c r="C381" i="8"/>
  <c r="C185" i="8"/>
  <c r="C1006" i="8"/>
  <c r="C810" i="8"/>
  <c r="C614" i="8"/>
  <c r="C418" i="8"/>
  <c r="C222" i="8"/>
  <c r="C1015" i="8"/>
  <c r="C819" i="8"/>
  <c r="C623" i="8"/>
  <c r="C427" i="8"/>
  <c r="C231" i="8"/>
  <c r="C1038" i="8"/>
  <c r="C842" i="8"/>
  <c r="C646" i="8"/>
  <c r="C450" i="8"/>
  <c r="C254" i="8"/>
  <c r="C1075" i="8"/>
  <c r="C879" i="8"/>
  <c r="C683" i="8"/>
  <c r="C1158" i="8"/>
  <c r="C533" i="8"/>
  <c r="C1179" i="8"/>
  <c r="C955" i="8"/>
  <c r="C759" i="8"/>
  <c r="C563" i="8"/>
  <c r="C367" i="8"/>
  <c r="C1081" i="8"/>
  <c r="C992" i="8"/>
  <c r="C796" i="8"/>
  <c r="C600" i="8"/>
  <c r="C404" i="8"/>
  <c r="C208" i="8"/>
  <c r="C1001" i="8"/>
  <c r="C805" i="8"/>
  <c r="C609" i="8"/>
  <c r="C413" i="8"/>
  <c r="C217" i="8"/>
  <c r="C1024" i="8"/>
  <c r="C828" i="8"/>
  <c r="C632" i="8"/>
  <c r="C436" i="8"/>
  <c r="C240" i="8"/>
  <c r="C1061" i="8"/>
  <c r="C865" i="8"/>
  <c r="C669" i="8"/>
  <c r="C234" i="8"/>
  <c r="C864" i="8"/>
  <c r="C183" i="8"/>
  <c r="C789" i="8"/>
  <c r="C472" i="8"/>
  <c r="C1055" i="8"/>
  <c r="C1137" i="8"/>
  <c r="C927" i="8"/>
  <c r="C731" i="8"/>
  <c r="C535" i="8"/>
  <c r="C339" i="8"/>
  <c r="C1160" i="8"/>
  <c r="C964" i="8"/>
  <c r="C768" i="8"/>
  <c r="C572" i="8"/>
  <c r="C376" i="8"/>
  <c r="C1169" i="8"/>
  <c r="C973" i="8"/>
  <c r="C777" i="8"/>
  <c r="C581" i="8"/>
  <c r="C385" i="8"/>
  <c r="C189" i="8"/>
  <c r="C996" i="8"/>
  <c r="C800" i="8"/>
  <c r="C604" i="8"/>
  <c r="C408" i="8"/>
  <c r="C212" i="8"/>
  <c r="C1033" i="8"/>
  <c r="C837" i="8"/>
  <c r="C641" i="8"/>
  <c r="C430" i="8"/>
  <c r="C197" i="8"/>
  <c r="C761" i="8"/>
  <c r="C1123" i="8"/>
  <c r="C913" i="8"/>
  <c r="C717" i="8"/>
  <c r="C521" i="8"/>
  <c r="C325" i="8"/>
  <c r="C1146" i="8"/>
  <c r="C950" i="8"/>
  <c r="C754" i="8"/>
  <c r="C558" i="8"/>
  <c r="C362" i="8"/>
  <c r="C1155" i="8"/>
  <c r="C959" i="8"/>
  <c r="C763" i="8"/>
  <c r="C567" i="8"/>
  <c r="C371" i="8"/>
  <c r="C1178" i="8"/>
  <c r="C982" i="8"/>
  <c r="C786" i="8"/>
  <c r="C590" i="8"/>
  <c r="C394" i="8"/>
  <c r="C198" i="8"/>
  <c r="C1019" i="8"/>
  <c r="C823" i="8"/>
  <c r="C627" i="8"/>
  <c r="C1139" i="8"/>
  <c r="C840" i="8"/>
  <c r="C262" i="8"/>
  <c r="C1109" i="8"/>
  <c r="C899" i="8"/>
  <c r="C703" i="8"/>
  <c r="C507" i="8"/>
  <c r="C311" i="8"/>
  <c r="C1132" i="8"/>
  <c r="C936" i="8"/>
  <c r="C740" i="8"/>
  <c r="C544" i="8"/>
  <c r="C348" i="8"/>
  <c r="C1141" i="8"/>
  <c r="C945" i="8"/>
  <c r="C749" i="8"/>
  <c r="C553" i="8"/>
  <c r="C357" i="8"/>
  <c r="C1164" i="8"/>
  <c r="C968" i="8"/>
  <c r="C772" i="8"/>
  <c r="C576" i="8"/>
  <c r="C380" i="8"/>
  <c r="C184" i="8"/>
  <c r="C1005" i="8"/>
  <c r="C809" i="8"/>
  <c r="C613" i="8"/>
  <c r="C417" i="8"/>
  <c r="C221" i="8"/>
  <c r="C1014" i="8"/>
  <c r="C818" i="8"/>
  <c r="C622" i="8"/>
  <c r="C426" i="8"/>
  <c r="C230" i="8"/>
  <c r="C1157" i="8"/>
  <c r="C961" i="8"/>
  <c r="C765" i="8"/>
  <c r="C569" i="8"/>
  <c r="C373" i="8"/>
  <c r="C406" i="8"/>
  <c r="C374" i="8"/>
  <c r="C546" i="8"/>
  <c r="C1065" i="8"/>
  <c r="C1095" i="8"/>
  <c r="C885" i="8"/>
  <c r="C689" i="8"/>
  <c r="C493" i="8"/>
  <c r="C297" i="8"/>
  <c r="C1118" i="8"/>
  <c r="C922" i="8"/>
  <c r="C726" i="8"/>
  <c r="C530" i="8"/>
  <c r="C334" i="8"/>
  <c r="C1127" i="8"/>
  <c r="C931" i="8"/>
  <c r="C735" i="8"/>
  <c r="C539" i="8"/>
  <c r="C343" i="8"/>
  <c r="C1150" i="8"/>
  <c r="C954" i="8"/>
  <c r="C649" i="8"/>
  <c r="C798" i="8"/>
  <c r="C673" i="8"/>
  <c r="C1067" i="8"/>
  <c r="C871" i="8"/>
  <c r="C675" i="8"/>
  <c r="C479" i="8"/>
  <c r="C283" i="8"/>
  <c r="C1104" i="8"/>
  <c r="C908" i="8"/>
  <c r="C712" i="8"/>
  <c r="C516" i="8"/>
  <c r="C320" i="8"/>
  <c r="C1113" i="8"/>
  <c r="C917" i="8"/>
  <c r="C721" i="8"/>
  <c r="C525" i="8"/>
  <c r="C329" i="8"/>
  <c r="C1136" i="8"/>
  <c r="C940" i="8"/>
  <c r="C744" i="8"/>
  <c r="C548" i="8"/>
  <c r="C352" i="8"/>
  <c r="C1173" i="8"/>
  <c r="C977" i="8"/>
  <c r="C781" i="8"/>
  <c r="C585" i="8"/>
  <c r="C463" i="8"/>
  <c r="C416" i="8"/>
  <c r="C411" i="8"/>
  <c r="C1053" i="8"/>
  <c r="C857" i="8"/>
  <c r="C661" i="8"/>
  <c r="C465" i="8"/>
  <c r="C269" i="8"/>
  <c r="C1090" i="8"/>
  <c r="C894" i="8"/>
  <c r="C698" i="8"/>
  <c r="C502" i="8"/>
  <c r="C306" i="8"/>
  <c r="C1099" i="8"/>
  <c r="C903" i="8"/>
  <c r="C707" i="8"/>
  <c r="C511" i="8"/>
  <c r="C315" i="8"/>
  <c r="C1122" i="8"/>
  <c r="C926" i="8"/>
  <c r="C730" i="8"/>
  <c r="C534" i="8"/>
  <c r="C338" i="8"/>
  <c r="C1159" i="8"/>
  <c r="C963" i="8"/>
  <c r="C767" i="8"/>
  <c r="C1092" i="8"/>
  <c r="C514" i="8"/>
  <c r="C999" i="8"/>
  <c r="C1039" i="8"/>
  <c r="C843" i="8"/>
  <c r="C647" i="8"/>
  <c r="C451" i="8"/>
  <c r="C255" i="8"/>
  <c r="C1076" i="8"/>
  <c r="C880" i="8"/>
  <c r="C684" i="8"/>
  <c r="C488" i="8"/>
  <c r="C292" i="8"/>
  <c r="C1085" i="8"/>
  <c r="C889" i="8"/>
  <c r="C693" i="8"/>
  <c r="C497" i="8"/>
  <c r="C301" i="8"/>
  <c r="C1108" i="8"/>
  <c r="C912" i="8"/>
  <c r="C421" i="8"/>
  <c r="C402" i="8"/>
  <c r="C386" i="8"/>
  <c r="C582" i="8"/>
  <c r="C778" i="8"/>
  <c r="C974" i="8"/>
  <c r="C1170" i="8"/>
  <c r="C363" i="8"/>
  <c r="C559" i="8"/>
  <c r="C755" i="8"/>
  <c r="C951" i="8"/>
  <c r="C1147" i="8"/>
  <c r="C340" i="8"/>
  <c r="C536" i="8"/>
  <c r="C732" i="8"/>
  <c r="C928" i="8"/>
  <c r="C1124" i="8"/>
  <c r="C247" i="8"/>
  <c r="C485" i="8"/>
  <c r="C709" i="8"/>
  <c r="C933" i="8"/>
  <c r="C1171" i="8"/>
  <c r="C272" i="8"/>
  <c r="C496" i="8"/>
  <c r="C734" i="8"/>
  <c r="C958" i="8"/>
  <c r="C193" i="8"/>
  <c r="C431" i="8"/>
  <c r="C739" i="8"/>
  <c r="C1165" i="8"/>
  <c r="C674" i="8"/>
  <c r="C259" i="8"/>
  <c r="C875" i="8"/>
  <c r="C642" i="8"/>
  <c r="C241" i="8"/>
  <c r="C997" i="8"/>
  <c r="B610" i="8"/>
  <c r="B548" i="8"/>
  <c r="B419" i="8"/>
  <c r="B229" i="8"/>
  <c r="B865" i="8"/>
  <c r="B779" i="8"/>
  <c r="B728" i="8"/>
  <c r="D782" i="8"/>
  <c r="C204" i="8"/>
  <c r="C400" i="8"/>
  <c r="C596" i="8"/>
  <c r="C792" i="8"/>
  <c r="C988" i="8"/>
  <c r="C181" i="8"/>
  <c r="C377" i="8"/>
  <c r="C573" i="8"/>
  <c r="C769" i="8"/>
  <c r="C965" i="8"/>
  <c r="C1161" i="8"/>
  <c r="C354" i="8"/>
  <c r="C550" i="8"/>
  <c r="C746" i="8"/>
  <c r="C942" i="8"/>
  <c r="C1138" i="8"/>
  <c r="C275" i="8"/>
  <c r="C499" i="8"/>
  <c r="C723" i="8"/>
  <c r="C947" i="8"/>
  <c r="C210" i="8"/>
  <c r="C286" i="8"/>
  <c r="C524" i="8"/>
  <c r="C748" i="8"/>
  <c r="C972" i="8"/>
  <c r="C207" i="8"/>
  <c r="C445" i="8"/>
  <c r="C753" i="8"/>
  <c r="C226" i="8"/>
  <c r="C688" i="8"/>
  <c r="C273" i="8"/>
  <c r="C987" i="8"/>
  <c r="C656" i="8"/>
  <c r="C353" i="8"/>
  <c r="C1011" i="8"/>
  <c r="B469" i="8"/>
  <c r="B536" i="8"/>
  <c r="B242" i="8"/>
  <c r="B1154" i="8"/>
  <c r="B712" i="8"/>
  <c r="B552" i="8"/>
  <c r="B402" i="8"/>
  <c r="D725" i="8"/>
  <c r="C218" i="8"/>
  <c r="C414" i="8"/>
  <c r="C610" i="8"/>
  <c r="C806" i="8"/>
  <c r="C1002" i="8"/>
  <c r="C195" i="8"/>
  <c r="C391" i="8"/>
  <c r="C587" i="8"/>
  <c r="C783" i="8"/>
  <c r="C979" i="8"/>
  <c r="C1175" i="8"/>
  <c r="C368" i="8"/>
  <c r="C564" i="8"/>
  <c r="C760" i="8"/>
  <c r="C956" i="8"/>
  <c r="C1152" i="8"/>
  <c r="C289" i="8"/>
  <c r="C513" i="8"/>
  <c r="C737" i="8"/>
  <c r="C975" i="8"/>
  <c r="C252" i="8"/>
  <c r="C300" i="8"/>
  <c r="C538" i="8"/>
  <c r="C762" i="8"/>
  <c r="C986" i="8"/>
  <c r="C235" i="8"/>
  <c r="C459" i="8"/>
  <c r="C795" i="8"/>
  <c r="C282" i="8"/>
  <c r="C702" i="8"/>
  <c r="C287" i="8"/>
  <c r="C1043" i="8"/>
  <c r="C670" i="8"/>
  <c r="C409" i="8"/>
  <c r="C1025" i="8"/>
  <c r="B420" i="8"/>
  <c r="B530" i="8"/>
  <c r="B223" i="8"/>
  <c r="B1142" i="8"/>
  <c r="B700" i="8"/>
  <c r="B540" i="8"/>
  <c r="B288" i="8"/>
  <c r="D613" i="8"/>
  <c r="C71" i="4"/>
  <c r="C68" i="4"/>
  <c r="D68" i="4"/>
  <c r="C70" i="4"/>
  <c r="D71" i="4"/>
  <c r="B85" i="4"/>
  <c r="B97" i="4"/>
  <c r="B110" i="4"/>
  <c r="B122" i="4"/>
  <c r="B134" i="4"/>
  <c r="F85" i="4"/>
  <c r="F99" i="4"/>
  <c r="F113" i="4"/>
  <c r="F127" i="4"/>
  <c r="B83" i="4"/>
  <c r="B96" i="4"/>
  <c r="B108" i="4"/>
  <c r="B120" i="4"/>
  <c r="B132" i="4"/>
  <c r="F83" i="4"/>
  <c r="F97" i="4"/>
  <c r="F111" i="4"/>
  <c r="F125" i="4"/>
  <c r="G125" i="4" s="1"/>
  <c r="B84" i="4"/>
  <c r="C84" i="4" s="1"/>
  <c r="A97" i="4"/>
  <c r="B121" i="4"/>
  <c r="C121" i="4" s="1"/>
  <c r="B133" i="4"/>
  <c r="C133" i="4" s="1"/>
  <c r="F84" i="4"/>
  <c r="G84" i="4" s="1"/>
  <c r="F98" i="4"/>
  <c r="G98" i="4" s="1"/>
  <c r="F126" i="4"/>
  <c r="G126" i="4" s="1"/>
  <c r="B86" i="4"/>
  <c r="B98" i="4"/>
  <c r="C98" i="4" s="1"/>
  <c r="A111" i="4"/>
  <c r="B123" i="4"/>
  <c r="B135" i="4"/>
  <c r="F86" i="4"/>
  <c r="F100" i="4"/>
  <c r="F114" i="4"/>
  <c r="F128" i="4"/>
  <c r="C62" i="4"/>
  <c r="B100" i="4"/>
  <c r="D69" i="4"/>
  <c r="A83" i="4"/>
  <c r="B95" i="4"/>
  <c r="B107" i="4"/>
  <c r="B119" i="4"/>
  <c r="A132" i="4"/>
  <c r="F82" i="4"/>
  <c r="F96" i="4"/>
  <c r="F110" i="4"/>
  <c r="G110" i="4" s="1"/>
  <c r="F124" i="4"/>
  <c r="G124" i="4" s="1"/>
  <c r="B109" i="4"/>
  <c r="C109" i="4" s="1"/>
  <c r="F112" i="4"/>
  <c r="G112" i="4" s="1"/>
  <c r="D73" i="4"/>
  <c r="B87" i="4"/>
  <c r="B99" i="4"/>
  <c r="B111" i="4"/>
  <c r="B124" i="4"/>
  <c r="B136" i="4"/>
  <c r="F87" i="4"/>
  <c r="F101" i="4"/>
  <c r="F115" i="4"/>
  <c r="F129" i="4"/>
  <c r="F48" i="5"/>
  <c r="F90" i="4"/>
  <c r="F104" i="4"/>
  <c r="F118" i="4"/>
  <c r="G118" i="4" s="1"/>
  <c r="F132" i="4"/>
  <c r="B89" i="4"/>
  <c r="B101" i="4"/>
  <c r="B113" i="4"/>
  <c r="B125" i="4"/>
  <c r="E77" i="4"/>
  <c r="F89" i="4"/>
  <c r="F103" i="4"/>
  <c r="F131" i="4"/>
  <c r="G131" i="4" s="1"/>
  <c r="B77" i="4"/>
  <c r="A90" i="4"/>
  <c r="B102" i="4"/>
  <c r="B126" i="4"/>
  <c r="B90" i="4"/>
  <c r="B115" i="4"/>
  <c r="F77" i="4"/>
  <c r="F119" i="4"/>
  <c r="B79" i="4"/>
  <c r="B91" i="4"/>
  <c r="A104" i="4"/>
  <c r="B116" i="4"/>
  <c r="B128" i="4"/>
  <c r="F78" i="4"/>
  <c r="F92" i="4"/>
  <c r="F106" i="4"/>
  <c r="F120" i="4"/>
  <c r="F134" i="4"/>
  <c r="F117" i="4"/>
  <c r="G117" i="4" s="1"/>
  <c r="B80" i="4"/>
  <c r="B92" i="4"/>
  <c r="B104" i="4"/>
  <c r="B129" i="4"/>
  <c r="C129" i="4" s="1"/>
  <c r="F79" i="4"/>
  <c r="F93" i="4"/>
  <c r="F107" i="4"/>
  <c r="F135" i="4"/>
  <c r="B114" i="4"/>
  <c r="C114" i="4" s="1"/>
  <c r="B78" i="4"/>
  <c r="B103" i="4"/>
  <c r="B127" i="4"/>
  <c r="F91" i="4"/>
  <c r="F105" i="4"/>
  <c r="F133" i="4"/>
  <c r="B117" i="4"/>
  <c r="C117" i="4" s="1"/>
  <c r="B81" i="4"/>
  <c r="B93" i="4"/>
  <c r="B105" i="4"/>
  <c r="C104" i="4" s="1"/>
  <c r="A118" i="4"/>
  <c r="B130" i="4"/>
  <c r="F80" i="4"/>
  <c r="F94" i="4"/>
  <c r="G93" i="4" s="1"/>
  <c r="F108" i="4"/>
  <c r="G108" i="4" s="1"/>
  <c r="F122" i="4"/>
  <c r="F136" i="4"/>
  <c r="A77" i="4"/>
  <c r="B88" i="4"/>
  <c r="B112" i="4"/>
  <c r="A125" i="4"/>
  <c r="B137" i="4"/>
  <c r="C137" i="4" s="1"/>
  <c r="F88" i="4"/>
  <c r="G88" i="4" s="1"/>
  <c r="F102" i="4"/>
  <c r="G102" i="4" s="1"/>
  <c r="F116" i="4"/>
  <c r="F130" i="4"/>
  <c r="G130" i="4" s="1"/>
  <c r="F121" i="4"/>
  <c r="C7" i="1"/>
  <c r="B82" i="4"/>
  <c r="C82" i="4" s="1"/>
  <c r="B94" i="4"/>
  <c r="C94" i="4" s="1"/>
  <c r="B106" i="4"/>
  <c r="C106" i="4" s="1"/>
  <c r="B118" i="4"/>
  <c r="C118" i="4" s="1"/>
  <c r="B131" i="4"/>
  <c r="C131" i="4" s="1"/>
  <c r="F81" i="4"/>
  <c r="G81" i="4" s="1"/>
  <c r="F95" i="4"/>
  <c r="G95" i="4" s="1"/>
  <c r="F109" i="4"/>
  <c r="F123" i="4"/>
  <c r="G123" i="4" s="1"/>
  <c r="F137" i="4"/>
  <c r="G137" i="4" s="1"/>
  <c r="C5" i="1"/>
  <c r="D70" i="4"/>
  <c r="C50" i="4"/>
  <c r="C120" i="4"/>
  <c r="C80" i="4"/>
  <c r="C95" i="4"/>
  <c r="C79" i="4"/>
  <c r="C107" i="4"/>
  <c r="G83" i="4"/>
  <c r="C119" i="4"/>
  <c r="G97" i="4"/>
  <c r="C99" i="4"/>
  <c r="C111" i="4"/>
  <c r="C124" i="4"/>
  <c r="G78" i="4"/>
  <c r="G106" i="4"/>
  <c r="G82" i="4"/>
  <c r="G96" i="4"/>
  <c r="E1" i="5"/>
  <c r="A82" i="4"/>
  <c r="A89" i="4"/>
  <c r="A96" i="4"/>
  <c r="A103" i="4"/>
  <c r="A110" i="4"/>
  <c r="A117" i="4"/>
  <c r="A124" i="4"/>
  <c r="A131" i="4"/>
  <c r="E83" i="4"/>
  <c r="E90" i="4"/>
  <c r="E97" i="4"/>
  <c r="E104" i="4"/>
  <c r="E111" i="4"/>
  <c r="E118" i="4"/>
  <c r="E125" i="4"/>
  <c r="E132" i="4"/>
  <c r="E84" i="4"/>
  <c r="E91" i="4"/>
  <c r="E98" i="4"/>
  <c r="E105" i="4"/>
  <c r="E112" i="4"/>
  <c r="E119" i="4"/>
  <c r="E126" i="4"/>
  <c r="E133" i="4"/>
  <c r="A84" i="4"/>
  <c r="A91" i="4"/>
  <c r="A98" i="4"/>
  <c r="A105" i="4"/>
  <c r="A112" i="4"/>
  <c r="A119" i="4"/>
  <c r="A126" i="4"/>
  <c r="A133" i="4"/>
  <c r="E78" i="4"/>
  <c r="E85" i="4"/>
  <c r="E92" i="4"/>
  <c r="E99" i="4"/>
  <c r="E106" i="4"/>
  <c r="E113" i="4"/>
  <c r="E120" i="4"/>
  <c r="E127" i="4"/>
  <c r="E134" i="4"/>
  <c r="A78" i="4"/>
  <c r="A85" i="4"/>
  <c r="A92" i="4"/>
  <c r="A99" i="4"/>
  <c r="A106" i="4"/>
  <c r="A113" i="4"/>
  <c r="A120" i="4"/>
  <c r="A127" i="4"/>
  <c r="A134" i="4"/>
  <c r="E79" i="4"/>
  <c r="E86" i="4"/>
  <c r="E93" i="4"/>
  <c r="E100" i="4"/>
  <c r="E107" i="4"/>
  <c r="E114" i="4"/>
  <c r="E121" i="4"/>
  <c r="E128" i="4"/>
  <c r="E135" i="4"/>
  <c r="A79" i="4"/>
  <c r="A86" i="4"/>
  <c r="A93" i="4"/>
  <c r="A100" i="4"/>
  <c r="A107" i="4"/>
  <c r="A114" i="4"/>
  <c r="A121" i="4"/>
  <c r="A128" i="4"/>
  <c r="A135" i="4"/>
  <c r="E80" i="4"/>
  <c r="E87" i="4"/>
  <c r="E94" i="4"/>
  <c r="E101" i="4"/>
  <c r="E108" i="4"/>
  <c r="E115" i="4"/>
  <c r="E122" i="4"/>
  <c r="E129" i="4"/>
  <c r="E136" i="4"/>
  <c r="A80" i="4"/>
  <c r="A87" i="4"/>
  <c r="A94" i="4"/>
  <c r="A101" i="4"/>
  <c r="A108" i="4"/>
  <c r="A115" i="4"/>
  <c r="A122" i="4"/>
  <c r="A129" i="4"/>
  <c r="A136" i="4"/>
  <c r="E81" i="4"/>
  <c r="E88" i="4"/>
  <c r="E95" i="4"/>
  <c r="E102" i="4"/>
  <c r="E109" i="4"/>
  <c r="E116" i="4"/>
  <c r="E123" i="4"/>
  <c r="E130" i="4"/>
  <c r="E137" i="4"/>
  <c r="A81" i="4"/>
  <c r="A88" i="4"/>
  <c r="A95" i="4"/>
  <c r="A102" i="4"/>
  <c r="A109" i="4"/>
  <c r="A116" i="4"/>
  <c r="A123" i="4"/>
  <c r="A130" i="4"/>
  <c r="E82" i="4"/>
  <c r="E89" i="4"/>
  <c r="E96" i="4"/>
  <c r="E103" i="4"/>
  <c r="E110" i="4"/>
  <c r="E117" i="4"/>
  <c r="E124" i="4"/>
  <c r="F213" i="8" l="1"/>
  <c r="F941" i="8"/>
  <c r="G92" i="4"/>
  <c r="G79" i="4"/>
  <c r="G111" i="4"/>
  <c r="C96" i="4"/>
  <c r="C100" i="4"/>
  <c r="C136" i="4"/>
  <c r="C88" i="4"/>
  <c r="C90" i="4"/>
  <c r="C103" i="4"/>
  <c r="C16" i="4"/>
  <c r="F29" i="8"/>
  <c r="F758" i="8"/>
  <c r="F939" i="8"/>
  <c r="F200" i="8"/>
  <c r="F615" i="8"/>
  <c r="F1028" i="8"/>
  <c r="F820" i="8"/>
  <c r="F600" i="8"/>
  <c r="F784" i="8"/>
  <c r="F192" i="8"/>
  <c r="F1139" i="8"/>
  <c r="F1002" i="8"/>
  <c r="F186" i="8"/>
  <c r="F423" i="8"/>
  <c r="F182" i="8"/>
  <c r="F1148" i="8"/>
  <c r="F527" i="8"/>
  <c r="F942" i="8"/>
  <c r="F936" i="8"/>
  <c r="F339" i="8"/>
  <c r="F510" i="8"/>
  <c r="F500" i="8"/>
  <c r="F1154" i="8"/>
  <c r="F428" i="8"/>
  <c r="F578" i="8"/>
  <c r="F1000" i="8"/>
  <c r="F716" i="8"/>
  <c r="F797" i="8"/>
  <c r="F246" i="8"/>
  <c r="F342" i="8"/>
  <c r="F984" i="8"/>
  <c r="F552" i="8"/>
  <c r="F537" i="8"/>
  <c r="F970" i="8"/>
  <c r="F774" i="8"/>
  <c r="F1124" i="8"/>
  <c r="F983" i="8"/>
  <c r="F929" i="8"/>
  <c r="F458" i="8"/>
  <c r="F532" i="8"/>
  <c r="F1175" i="8"/>
  <c r="F1118" i="8"/>
  <c r="F310" i="8"/>
  <c r="F587" i="8"/>
  <c r="F496" i="8"/>
  <c r="F997" i="8"/>
  <c r="F1076" i="8"/>
  <c r="F530" i="8"/>
  <c r="F1146" i="8"/>
  <c r="F646" i="8"/>
  <c r="F490" i="8"/>
  <c r="F915" i="8"/>
  <c r="F312" i="8"/>
  <c r="F232" i="8"/>
  <c r="F564" i="8"/>
  <c r="F1165" i="8"/>
  <c r="F255" i="8"/>
  <c r="F1057" i="8"/>
  <c r="F1071" i="8"/>
  <c r="F923" i="8"/>
  <c r="F1098" i="8"/>
  <c r="F281" i="8"/>
  <c r="F617" i="8"/>
  <c r="F640" i="8"/>
  <c r="F405" i="8"/>
  <c r="F340" i="8"/>
  <c r="F798" i="8"/>
  <c r="F759" i="8"/>
  <c r="F434" i="8"/>
  <c r="F1078" i="8"/>
  <c r="F518" i="8"/>
  <c r="F993" i="8"/>
  <c r="F836" i="8"/>
  <c r="F938" i="8"/>
  <c r="F958" i="8"/>
  <c r="F1147" i="8"/>
  <c r="F493" i="8"/>
  <c r="F955" i="8"/>
  <c r="F808" i="8"/>
  <c r="F504" i="8"/>
  <c r="F769" i="8"/>
  <c r="F1166" i="8"/>
  <c r="F775" i="8"/>
  <c r="F1142" i="8"/>
  <c r="F1122" i="8"/>
  <c r="F818" i="8"/>
  <c r="F763" i="8"/>
  <c r="F1125" i="8"/>
  <c r="F841" i="8"/>
  <c r="F870" i="8"/>
  <c r="F331" i="8"/>
  <c r="F601" i="8"/>
  <c r="F409" i="8"/>
  <c r="F1095" i="8"/>
  <c r="F840" i="8"/>
  <c r="F430" i="8"/>
  <c r="F457" i="8"/>
  <c r="F435" i="8"/>
  <c r="F303" i="8"/>
  <c r="F479" i="8"/>
  <c r="F1038" i="8"/>
  <c r="F1094" i="8"/>
  <c r="F982" i="8"/>
  <c r="F209" i="8"/>
  <c r="F1164" i="8"/>
  <c r="F217" i="8"/>
  <c r="F236" i="8"/>
  <c r="F812" i="8"/>
  <c r="F505" i="8"/>
  <c r="F361" i="8"/>
  <c r="F399" i="8"/>
  <c r="F1016" i="8"/>
  <c r="F1167" i="8"/>
  <c r="F328" i="8"/>
  <c r="F776" i="8"/>
  <c r="F196" i="8"/>
  <c r="F1168" i="8"/>
  <c r="F746" i="8"/>
  <c r="F1060" i="8"/>
  <c r="F922" i="8"/>
  <c r="F911" i="8"/>
  <c r="F411" i="8"/>
  <c r="F297" i="8"/>
  <c r="F1178" i="8"/>
  <c r="F1137" i="8"/>
  <c r="F305" i="8"/>
  <c r="F1099" i="8"/>
  <c r="F539" i="8"/>
  <c r="F937" i="8"/>
  <c r="F714" i="8"/>
  <c r="F743" i="8"/>
  <c r="F317" i="8"/>
  <c r="F513" i="8"/>
  <c r="F933" i="8"/>
  <c r="F1106" i="8"/>
  <c r="F599" i="8"/>
  <c r="F1037" i="8"/>
  <c r="F873" i="8"/>
  <c r="F765" i="8"/>
  <c r="F842" i="8"/>
  <c r="F663" i="8"/>
  <c r="F593" i="8"/>
  <c r="F355" i="8"/>
  <c r="F901" i="8"/>
  <c r="F397" i="8"/>
  <c r="F258" i="8"/>
  <c r="F501" i="8"/>
  <c r="F829" i="8"/>
  <c r="F1120" i="8"/>
  <c r="F463" i="8"/>
  <c r="F813" i="8"/>
  <c r="F726" i="8"/>
  <c r="F903" i="8"/>
  <c r="F432" i="8"/>
  <c r="F882" i="8"/>
  <c r="F864" i="8"/>
  <c r="F418" i="8"/>
  <c r="F1173" i="8"/>
  <c r="F908" i="8"/>
  <c r="F362" i="8"/>
  <c r="F464" i="8"/>
  <c r="F1163" i="8"/>
  <c r="F390" i="8"/>
  <c r="F733" i="8"/>
  <c r="F545" i="8"/>
  <c r="F520" i="8"/>
  <c r="F1007" i="8"/>
  <c r="F707" i="8"/>
  <c r="F1110" i="8"/>
  <c r="F1082" i="8"/>
  <c r="F473" i="8"/>
  <c r="F184" i="8"/>
  <c r="F394" i="8"/>
  <c r="F612" i="8"/>
  <c r="F1151" i="8"/>
  <c r="F751" i="8"/>
  <c r="F1040" i="8"/>
  <c r="F638" i="8"/>
  <c r="F478" i="8"/>
  <c r="F327" i="8"/>
  <c r="F976" i="8"/>
  <c r="F991" i="8"/>
  <c r="F851" i="8"/>
  <c r="F782" i="8"/>
  <c r="F521" i="8"/>
  <c r="F854" i="8"/>
  <c r="F686" i="8"/>
  <c r="F382" i="8"/>
  <c r="F989" i="8"/>
  <c r="F237" i="8"/>
  <c r="F354" i="8"/>
  <c r="F1157" i="8"/>
  <c r="F563" i="8"/>
  <c r="F833" i="8"/>
  <c r="F295" i="8"/>
  <c r="F979" i="8"/>
  <c r="F193" i="8"/>
  <c r="F843" i="8"/>
  <c r="F511" i="8"/>
  <c r="F190" i="8"/>
  <c r="F229" i="8"/>
  <c r="F244" i="8"/>
  <c r="F557" i="8"/>
  <c r="F249" i="8"/>
  <c r="F280" i="8"/>
  <c r="F533" i="8"/>
  <c r="F572" i="8"/>
  <c r="F879" i="8"/>
  <c r="F442" i="8"/>
  <c r="F648" i="8"/>
  <c r="F289" i="8"/>
  <c r="F931" i="8"/>
  <c r="F810" i="8"/>
  <c r="F276" i="8"/>
  <c r="F180" i="8"/>
  <c r="F296" i="8"/>
  <c r="F381" i="8"/>
  <c r="F245" i="8"/>
  <c r="F462" i="8"/>
  <c r="F691" i="8"/>
  <c r="F949" i="8"/>
  <c r="F343" i="8"/>
  <c r="F222" i="8"/>
  <c r="F528" i="8"/>
  <c r="F861" i="8"/>
  <c r="F764" i="8"/>
  <c r="F1085" i="8"/>
  <c r="F712" i="8"/>
  <c r="F268" i="8"/>
  <c r="F233" i="8"/>
  <c r="F568" i="8"/>
  <c r="F610" i="8"/>
  <c r="F348" i="8"/>
  <c r="F669" i="8"/>
  <c r="F1075" i="8"/>
  <c r="F660" i="8"/>
  <c r="F444" i="8"/>
  <c r="F195" i="8"/>
  <c r="F282" i="8"/>
  <c r="F875" i="8"/>
  <c r="F754" i="8"/>
  <c r="F1138" i="8"/>
  <c r="F314" i="8"/>
  <c r="F486" i="8"/>
  <c r="F592" i="8"/>
  <c r="F1096" i="8"/>
  <c r="F294" i="8"/>
  <c r="F834" i="8"/>
  <c r="F999" i="8"/>
  <c r="F789" i="8"/>
  <c r="F719" i="8"/>
  <c r="F1134" i="8"/>
  <c r="F614" i="8"/>
  <c r="F591" i="8"/>
  <c r="F688" i="8"/>
  <c r="F740" i="8"/>
  <c r="F396" i="8"/>
  <c r="F907" i="8"/>
  <c r="F856" i="8"/>
  <c r="F826" i="8"/>
  <c r="F788" i="8"/>
  <c r="F790" i="8"/>
  <c r="F224" i="8"/>
  <c r="F705" i="8"/>
  <c r="F579" i="8"/>
  <c r="F1030" i="8"/>
  <c r="F779" i="8"/>
  <c r="F419" i="8"/>
  <c r="F693" i="8"/>
  <c r="F1015" i="8"/>
  <c r="F519" i="8"/>
  <c r="F700" i="8"/>
  <c r="F659" i="8"/>
  <c r="F966" i="8"/>
  <c r="F353" i="8"/>
  <c r="F749" i="8"/>
  <c r="F1089" i="8"/>
  <c r="F223" i="8"/>
  <c r="F1020" i="8"/>
  <c r="F477" i="8"/>
  <c r="F672" i="8"/>
  <c r="F924" i="8"/>
  <c r="F987" i="8"/>
  <c r="F499" i="8"/>
  <c r="F1003" i="8"/>
  <c r="F566" i="8"/>
  <c r="F1033" i="8"/>
  <c r="F799" i="8"/>
  <c r="F455" i="8"/>
  <c r="F437" i="8"/>
  <c r="F825" i="8"/>
  <c r="F565" i="8"/>
  <c r="F420" i="8"/>
  <c r="F620" i="8"/>
  <c r="F515" i="8"/>
  <c r="F1053" i="8"/>
  <c r="F828" i="8"/>
  <c r="F1064" i="8"/>
  <c r="F403" i="8"/>
  <c r="F263" i="8"/>
  <c r="F402" i="8"/>
  <c r="F721" i="8"/>
  <c r="F230" i="8"/>
  <c r="F741" i="8"/>
  <c r="F468" i="8"/>
  <c r="F389" i="8"/>
  <c r="F956" i="8"/>
  <c r="F917" i="8"/>
  <c r="F1055" i="8"/>
  <c r="F523" i="8"/>
  <c r="F366" i="8"/>
  <c r="F1172" i="8"/>
  <c r="F286" i="8"/>
  <c r="F794" i="8"/>
  <c r="F624" i="8"/>
  <c r="F514" i="8"/>
  <c r="F885" i="8"/>
  <c r="F227" i="8"/>
  <c r="F516" i="8"/>
  <c r="F805" i="8"/>
  <c r="F985" i="8"/>
  <c r="F1004" i="8"/>
  <c r="F341" i="8"/>
  <c r="F838" i="8"/>
  <c r="F977" i="8"/>
  <c r="F1113" i="8"/>
  <c r="F762" i="8"/>
  <c r="F792" i="8"/>
  <c r="F201" i="8"/>
  <c r="F783" i="8"/>
  <c r="F596" i="8"/>
  <c r="F974" i="8"/>
  <c r="F1104" i="8"/>
  <c r="F404" i="8"/>
  <c r="F407" i="8"/>
  <c r="F541" i="8"/>
  <c r="F811" i="8"/>
  <c r="F332" i="8"/>
  <c r="F914" i="8"/>
  <c r="F487" i="8"/>
  <c r="F335" i="8"/>
  <c r="F880" i="8"/>
  <c r="F334" i="8"/>
  <c r="F742" i="8"/>
  <c r="F990" i="8"/>
  <c r="F720" i="8"/>
  <c r="F1123" i="8"/>
  <c r="F575" i="8"/>
  <c r="F1149" i="8"/>
  <c r="F795" i="8"/>
  <c r="F760" i="8"/>
  <c r="F573" i="8"/>
  <c r="F622" i="8"/>
  <c r="F761" i="8"/>
  <c r="F585" i="8"/>
  <c r="F1150" i="8"/>
  <c r="F724" i="8"/>
  <c r="F1097" i="8"/>
  <c r="F1041" i="8"/>
  <c r="F398" i="8"/>
  <c r="F629" i="8"/>
  <c r="F489" i="8"/>
  <c r="F889" i="8"/>
  <c r="F481" i="8"/>
  <c r="F771" i="8"/>
  <c r="F988" i="8"/>
  <c r="F221" i="8"/>
  <c r="F641" i="8"/>
  <c r="F806" i="8"/>
  <c r="F1117" i="8"/>
  <c r="F1103" i="8"/>
  <c r="F265" i="8"/>
  <c r="F292" i="8"/>
  <c r="F630" i="8"/>
  <c r="F259" i="8"/>
  <c r="F373" i="8"/>
  <c r="F198" i="8"/>
  <c r="F1052" i="8"/>
  <c r="F1018" i="8"/>
  <c r="F967" i="8"/>
  <c r="F218" i="8"/>
  <c r="F785" i="8"/>
  <c r="F188" i="8"/>
  <c r="F320" i="8"/>
  <c r="F553" i="8"/>
  <c r="F948" i="8"/>
  <c r="F319" i="8"/>
  <c r="F291" i="8"/>
  <c r="F1092" i="8"/>
  <c r="F1014" i="8"/>
  <c r="F1158" i="8"/>
  <c r="F1135" i="8"/>
  <c r="F1107" i="8"/>
  <c r="F495" i="8"/>
  <c r="F383" i="8"/>
  <c r="F379" i="8"/>
  <c r="F453" i="8"/>
  <c r="F837" i="8"/>
  <c r="F208" i="8"/>
  <c r="F408" i="8"/>
  <c r="F429" i="8"/>
  <c r="F684" i="8"/>
  <c r="F809" i="8"/>
  <c r="F254" i="8"/>
  <c r="F574" i="8"/>
  <c r="F491" i="8"/>
  <c r="F681" i="8"/>
  <c r="F674" i="8"/>
  <c r="F1083" i="8"/>
  <c r="F887" i="8"/>
  <c r="F550" i="8"/>
  <c r="F380" i="8"/>
  <c r="F590" i="8"/>
  <c r="F535" i="8"/>
  <c r="F441" i="8"/>
  <c r="F906" i="8"/>
  <c r="F770" i="8"/>
  <c r="F351" i="8"/>
  <c r="F1043" i="8"/>
  <c r="F857" i="8"/>
  <c r="F576" i="8"/>
  <c r="F731" i="8"/>
  <c r="F632" i="8"/>
  <c r="F367" i="8"/>
  <c r="F773" i="8"/>
  <c r="F892" i="8"/>
  <c r="F1032" i="8"/>
  <c r="F718" i="8"/>
  <c r="F1161" i="8"/>
  <c r="F536" i="8"/>
  <c r="F189" i="8"/>
  <c r="F738" i="8"/>
  <c r="F388" i="8"/>
  <c r="F1011" i="8"/>
  <c r="F497" i="8"/>
  <c r="F413" i="8"/>
  <c r="F819" i="8"/>
  <c r="F323" i="8"/>
  <c r="F696" i="8"/>
  <c r="F682" i="8"/>
  <c r="F1170" i="8"/>
  <c r="F698" i="8"/>
  <c r="F849" i="8"/>
  <c r="F896" i="8"/>
  <c r="F1153" i="8"/>
  <c r="F1013" i="8"/>
  <c r="F1093" i="8"/>
  <c r="F981" i="8"/>
  <c r="F627" i="8"/>
  <c r="F781" i="8"/>
  <c r="F400" i="8"/>
  <c r="F488" i="8"/>
  <c r="F823" i="8"/>
  <c r="F859" i="8"/>
  <c r="F346" i="8"/>
  <c r="F304" i="8"/>
  <c r="F631" i="8"/>
  <c r="F695" i="8"/>
  <c r="F1129" i="8"/>
  <c r="F791" i="8"/>
  <c r="F670" i="8"/>
  <c r="F737" i="8"/>
  <c r="F548" i="8"/>
  <c r="F322" i="8"/>
  <c r="F822" i="8"/>
  <c r="F1130" i="8"/>
  <c r="F1036" i="8"/>
  <c r="F503" i="8"/>
  <c r="F1010" i="8"/>
  <c r="F767" i="8"/>
  <c r="F653" i="8"/>
  <c r="F975" i="8"/>
  <c r="F753" i="8"/>
  <c r="F744" i="8"/>
  <c r="F185" i="8"/>
  <c r="F845" i="8"/>
  <c r="F474" i="8"/>
  <c r="F946" i="8"/>
  <c r="F1145" i="8"/>
  <c r="F445" i="8"/>
  <c r="F386" i="8"/>
  <c r="F940" i="8"/>
  <c r="F675" i="8"/>
  <c r="F569" i="8"/>
  <c r="F240" i="8"/>
  <c r="F992" i="8"/>
  <c r="F313" i="8"/>
  <c r="F551" i="8"/>
  <c r="F995" i="8"/>
  <c r="F618" i="8"/>
  <c r="F372" i="8"/>
  <c r="F847" i="8"/>
  <c r="F750" i="8"/>
  <c r="F1171" i="8"/>
  <c r="F207" i="8"/>
  <c r="F926" i="8"/>
  <c r="F661" i="8"/>
  <c r="F871" i="8"/>
  <c r="F1132" i="8"/>
  <c r="F325" i="8"/>
  <c r="F800" i="8"/>
  <c r="F436" i="8"/>
  <c r="F1081" i="8"/>
  <c r="F577" i="8"/>
  <c r="F706" i="8"/>
  <c r="F547" i="8"/>
  <c r="F1144" i="8"/>
  <c r="F1176" i="8"/>
  <c r="F318" i="8"/>
  <c r="F677" i="8"/>
  <c r="F637" i="8"/>
  <c r="F952" i="8"/>
  <c r="F509" i="8"/>
  <c r="F358" i="8"/>
  <c r="F525" i="8"/>
  <c r="F673" i="8"/>
  <c r="F507" i="8"/>
  <c r="F717" i="8"/>
  <c r="F969" i="8"/>
  <c r="F369" i="8"/>
  <c r="F570" i="8"/>
  <c r="F827" i="8"/>
  <c r="F522" i="8"/>
  <c r="F1001" i="8"/>
  <c r="F850" i="8"/>
  <c r="F459" i="8"/>
  <c r="F524" i="8"/>
  <c r="F968" i="8"/>
  <c r="F703" i="8"/>
  <c r="F1029" i="8"/>
  <c r="F267" i="8"/>
  <c r="F285" i="8"/>
  <c r="F360" i="8"/>
  <c r="F869" i="8"/>
  <c r="F649" i="8"/>
  <c r="F371" i="8"/>
  <c r="F962" i="8"/>
  <c r="F1050" i="8"/>
  <c r="F1022" i="8"/>
  <c r="F953" i="8"/>
  <c r="F1133" i="8"/>
  <c r="F241" i="8"/>
  <c r="F1111" i="8"/>
  <c r="F589" i="8"/>
  <c r="F736" i="8"/>
  <c r="F471" i="8"/>
  <c r="F467" i="8"/>
  <c r="F1159" i="8"/>
  <c r="F225" i="8"/>
  <c r="F1065" i="8"/>
  <c r="F439" i="8"/>
  <c r="F212" i="8"/>
  <c r="F235" i="8"/>
  <c r="F722" i="8"/>
  <c r="F529" i="8"/>
  <c r="F730" i="8"/>
  <c r="F465" i="8"/>
  <c r="F604" i="8"/>
  <c r="F831" i="8"/>
  <c r="F747" i="8"/>
  <c r="F963" i="8"/>
  <c r="F893" i="8"/>
  <c r="F980" i="8"/>
  <c r="F526" i="8"/>
  <c r="F708" i="8"/>
  <c r="F928" i="8"/>
  <c r="F1008" i="8"/>
  <c r="F1102" i="8"/>
  <c r="F443" i="8"/>
  <c r="F417" i="8"/>
  <c r="F1116" i="8"/>
  <c r="F959" i="8"/>
  <c r="F768" i="8"/>
  <c r="F253" i="8"/>
  <c r="F697" i="8"/>
  <c r="F1074" i="8"/>
  <c r="F1005" i="8"/>
  <c r="F651" i="8"/>
  <c r="F694" i="8"/>
  <c r="F613" i="8"/>
  <c r="F739" i="8"/>
  <c r="F451" i="8"/>
  <c r="F329" i="8"/>
  <c r="F786" i="8"/>
  <c r="F996" i="8"/>
  <c r="F476" i="8"/>
  <c r="F257" i="8"/>
  <c r="F299" i="8"/>
  <c r="F626" i="8"/>
  <c r="F271" i="8"/>
  <c r="F336" i="8"/>
  <c r="F531" i="8"/>
  <c r="F748" i="8"/>
  <c r="F965" i="8"/>
  <c r="F431" i="8"/>
  <c r="F912" i="8"/>
  <c r="F647" i="8"/>
  <c r="F728" i="8"/>
  <c r="F562" i="8"/>
  <c r="F558" i="8"/>
  <c r="F1108" i="8"/>
  <c r="F385" i="8"/>
  <c r="F667" i="8"/>
  <c r="F1039" i="8"/>
  <c r="F426" i="8"/>
  <c r="F326" i="8"/>
  <c r="F704" i="8"/>
  <c r="F954" i="8"/>
  <c r="F1109" i="8"/>
  <c r="F567" i="8"/>
  <c r="F472" i="8"/>
  <c r="F944" i="8"/>
  <c r="F262" i="8"/>
  <c r="F406" i="8"/>
  <c r="F656" i="8"/>
  <c r="F723" i="8"/>
  <c r="F226" i="8"/>
  <c r="F945" i="8"/>
  <c r="F290" i="8"/>
  <c r="F972" i="8"/>
  <c r="F732" i="8"/>
  <c r="F421" i="8"/>
  <c r="F1067" i="8"/>
  <c r="F961" i="8"/>
  <c r="F902" i="8"/>
  <c r="F621" i="8"/>
  <c r="F220" i="8"/>
  <c r="F315" i="8"/>
  <c r="F772" i="8"/>
  <c r="F231" i="8"/>
  <c r="F1162" i="8"/>
  <c r="F644" i="8"/>
  <c r="F243" i="8"/>
  <c r="F554" i="8"/>
  <c r="F846" i="8"/>
  <c r="F1049" i="8"/>
  <c r="F368" i="8"/>
  <c r="F1024" i="8"/>
  <c r="F387" i="8"/>
  <c r="F608" i="8"/>
  <c r="F853" i="8"/>
  <c r="F301" i="8"/>
  <c r="F899" i="8"/>
  <c r="F855" i="8"/>
  <c r="F1131" i="8"/>
  <c r="F498" i="8"/>
  <c r="F210" i="8"/>
  <c r="F734" i="8"/>
  <c r="F689" i="8"/>
  <c r="F1179" i="8"/>
  <c r="F588" i="8"/>
  <c r="F711" i="8"/>
  <c r="F298" i="8"/>
  <c r="F538" i="8"/>
  <c r="F181" i="8"/>
  <c r="F197" i="8"/>
  <c r="F628" i="8"/>
  <c r="F309" i="8"/>
  <c r="F957" i="8"/>
  <c r="F729" i="8"/>
  <c r="F559" i="8"/>
  <c r="F1169" i="8"/>
  <c r="F183" i="8"/>
  <c r="F824" i="8"/>
  <c r="F803" i="8"/>
  <c r="F687" i="8"/>
  <c r="F1051" i="8"/>
  <c r="F897" i="8"/>
  <c r="F215" i="8"/>
  <c r="F1112" i="8"/>
  <c r="F270" i="8"/>
  <c r="F1025" i="8"/>
  <c r="F391" i="8"/>
  <c r="F363" i="8"/>
  <c r="F502" i="8"/>
  <c r="F1155" i="8"/>
  <c r="F376" i="8"/>
  <c r="F683" i="8"/>
  <c r="F425" i="8"/>
  <c r="F780" i="8"/>
  <c r="F1121" i="8"/>
  <c r="F584" i="8"/>
  <c r="F482" i="8"/>
  <c r="F930" i="8"/>
  <c r="F1119" i="8"/>
  <c r="F874" i="8"/>
  <c r="F1077" i="8"/>
  <c r="F273" i="8"/>
  <c r="F735" i="8"/>
  <c r="F546" i="8"/>
  <c r="F1141" i="8"/>
  <c r="F199" i="8"/>
  <c r="F1027" i="8"/>
  <c r="F556" i="8"/>
  <c r="F598" i="8"/>
  <c r="F878" i="8"/>
  <c r="F560" i="8"/>
  <c r="F650" i="8"/>
  <c r="F709" i="8"/>
  <c r="F894" i="8"/>
  <c r="F374" i="8"/>
  <c r="F1045" i="8"/>
  <c r="F395" i="8"/>
  <c r="F883" i="8"/>
  <c r="F868" i="8"/>
  <c r="F248" i="8"/>
  <c r="F393" i="8"/>
  <c r="F727" i="8"/>
  <c r="F204" i="8"/>
  <c r="F485" i="8"/>
  <c r="F283" i="8"/>
  <c r="F1127" i="8"/>
  <c r="F544" i="8"/>
  <c r="F865" i="8"/>
  <c r="F1006" i="8"/>
  <c r="F910" i="8"/>
  <c r="F607" i="8"/>
  <c r="F1009" i="8"/>
  <c r="F919" i="8"/>
  <c r="F1156" i="8"/>
  <c r="F801" i="8"/>
  <c r="F1101" i="8"/>
  <c r="F307" i="8"/>
  <c r="F814" i="8"/>
  <c r="F456" i="8"/>
  <c r="F247" i="8"/>
  <c r="F950" i="8"/>
  <c r="F1160" i="8"/>
  <c r="F206" i="8"/>
  <c r="F586" i="8"/>
  <c r="F352" i="8"/>
  <c r="F635" i="8"/>
  <c r="F932" i="8"/>
  <c r="F1062" i="8"/>
  <c r="F877" i="8"/>
  <c r="F1114" i="8"/>
  <c r="F324" i="8"/>
  <c r="F998" i="8"/>
  <c r="F1136" i="8"/>
  <c r="F701" i="8"/>
  <c r="F603" i="8"/>
  <c r="F960" i="8"/>
  <c r="F1174" i="8"/>
  <c r="F891" i="8"/>
  <c r="F1128" i="8"/>
  <c r="F202" i="8"/>
  <c r="F347" i="8"/>
  <c r="F466" i="8"/>
  <c r="F278" i="8"/>
  <c r="F611" i="8"/>
  <c r="F890" i="8"/>
  <c r="F1070" i="8"/>
  <c r="F242" i="8"/>
  <c r="F1046" i="8"/>
  <c r="F935" i="8"/>
  <c r="F816" i="8"/>
  <c r="F469" i="8"/>
  <c r="F652" i="8"/>
  <c r="F913" i="8"/>
  <c r="F427" i="8"/>
  <c r="F925" i="8"/>
  <c r="F971" i="8"/>
  <c r="F817" i="8"/>
  <c r="F1080" i="8"/>
  <c r="F205" i="8"/>
  <c r="F540" i="8"/>
  <c r="F446" i="8"/>
  <c r="F639" i="8"/>
  <c r="F918" i="8"/>
  <c r="F881" i="8"/>
  <c r="F302" i="8"/>
  <c r="F384" i="8"/>
  <c r="F657" i="8"/>
  <c r="F1056" i="8"/>
  <c r="F228" i="8"/>
  <c r="F654" i="8"/>
  <c r="F921" i="8"/>
  <c r="F802" i="8"/>
  <c r="F986" i="8"/>
  <c r="F416" i="8"/>
  <c r="F581" i="8"/>
  <c r="F623" i="8"/>
  <c r="F658" i="8"/>
  <c r="F1088" i="8"/>
  <c r="F344" i="8"/>
  <c r="F679" i="8"/>
  <c r="F415" i="8"/>
  <c r="F412" i="8"/>
  <c r="F685" i="8"/>
  <c r="F844" i="8"/>
  <c r="F392" i="8"/>
  <c r="F461" i="8"/>
  <c r="F832" i="8"/>
  <c r="F1035" i="8"/>
  <c r="F606" i="8"/>
  <c r="F424" i="8"/>
  <c r="F377" i="8"/>
  <c r="F951" i="8"/>
  <c r="F357" i="8"/>
  <c r="F777" i="8"/>
  <c r="F756" i="8"/>
  <c r="F725" i="8"/>
  <c r="F219" i="8"/>
  <c r="F886" i="8"/>
  <c r="F1066" i="8"/>
  <c r="F191" i="8"/>
  <c r="F619" i="8"/>
  <c r="F1059" i="8"/>
  <c r="F594" i="8"/>
  <c r="F839" i="8"/>
  <c r="F277" i="8"/>
  <c r="F410" i="8"/>
  <c r="F311" i="8"/>
  <c r="F260" i="8"/>
  <c r="F947" i="8"/>
  <c r="F755" i="8"/>
  <c r="F973" i="8"/>
  <c r="F609" i="8"/>
  <c r="F261" i="8"/>
  <c r="F602" i="8"/>
  <c r="F616" i="8"/>
  <c r="F542" i="8"/>
  <c r="F448" i="8"/>
  <c r="F655" i="8"/>
  <c r="F690" i="8"/>
  <c r="F506" i="8"/>
  <c r="F1068" i="8"/>
  <c r="F330" i="8"/>
  <c r="F745" i="8"/>
  <c r="F1087" i="8"/>
  <c r="F293" i="8"/>
  <c r="F333" i="8"/>
  <c r="F452" i="8"/>
  <c r="F978" i="8"/>
  <c r="F821" i="8"/>
  <c r="F1072" i="8"/>
  <c r="F370" i="8"/>
  <c r="F643" i="8"/>
  <c r="F1042" i="8"/>
  <c r="F214" i="8"/>
  <c r="F238" i="8"/>
  <c r="F905" i="8"/>
  <c r="F300" i="8"/>
  <c r="F272" i="8"/>
  <c r="F306" i="8"/>
  <c r="F900" i="8"/>
  <c r="F375" i="8"/>
  <c r="F494" i="8"/>
  <c r="F872" i="8"/>
  <c r="F1048" i="8"/>
  <c r="F863" i="8"/>
  <c r="F1100" i="8"/>
  <c r="F1084" i="8"/>
  <c r="F256" i="8"/>
  <c r="F264" i="8"/>
  <c r="F597" i="8"/>
  <c r="F876" i="8"/>
  <c r="F364" i="8"/>
  <c r="F447" i="8"/>
  <c r="F804" i="8"/>
  <c r="F1021" i="8"/>
  <c r="F252" i="8"/>
  <c r="F766" i="8"/>
  <c r="F943" i="8"/>
  <c r="F1140" i="8"/>
  <c r="F676" i="8"/>
  <c r="F625" i="8"/>
  <c r="F904" i="8"/>
  <c r="F860" i="8"/>
  <c r="F1063" i="8"/>
  <c r="F595" i="8"/>
  <c r="F359" i="8"/>
  <c r="F680" i="8"/>
  <c r="F605" i="8"/>
  <c r="F1031" i="8"/>
  <c r="F251" i="8"/>
  <c r="F580" i="8"/>
  <c r="F275" i="8"/>
  <c r="F234" i="8"/>
  <c r="F757" i="8"/>
  <c r="F934" i="8"/>
  <c r="F994" i="8"/>
  <c r="F508" i="8"/>
  <c r="F916" i="8"/>
  <c r="F1105" i="8"/>
  <c r="F480" i="8"/>
  <c r="F665" i="8"/>
  <c r="F401" i="8"/>
  <c r="F636" i="8"/>
  <c r="F867" i="8"/>
  <c r="F884" i="8"/>
  <c r="F308" i="8"/>
  <c r="F484" i="8"/>
  <c r="F866" i="8"/>
  <c r="F807" i="8"/>
  <c r="F1058" i="8"/>
  <c r="F356" i="8"/>
  <c r="F642" i="8"/>
  <c r="F449" i="8"/>
  <c r="F1069" i="8"/>
  <c r="F678" i="8"/>
  <c r="F909" i="8"/>
  <c r="F1126" i="8"/>
  <c r="F284" i="8"/>
  <c r="F378" i="8"/>
  <c r="F512" i="8"/>
  <c r="F671" i="8"/>
  <c r="F422" i="8"/>
  <c r="F1026" i="8"/>
  <c r="F288" i="8"/>
  <c r="F250" i="8"/>
  <c r="F583" i="8"/>
  <c r="F862" i="8"/>
  <c r="F350" i="8"/>
  <c r="F433" i="8"/>
  <c r="F460" i="8"/>
  <c r="F203" i="8"/>
  <c r="F778" i="8"/>
  <c r="F338" i="8"/>
  <c r="F1090" i="8"/>
  <c r="F1019" i="8"/>
  <c r="F964" i="8"/>
  <c r="F920" i="8"/>
  <c r="F645" i="8"/>
  <c r="F239" i="8"/>
  <c r="F454" i="8"/>
  <c r="F713" i="8"/>
  <c r="F888" i="8"/>
  <c r="F1091" i="8"/>
  <c r="F492" i="8"/>
  <c r="F1054" i="8"/>
  <c r="F316" i="8"/>
  <c r="F475" i="8"/>
  <c r="F830" i="8"/>
  <c r="F483" i="8"/>
  <c r="F345" i="8"/>
  <c r="F666" i="8"/>
  <c r="F549" i="8"/>
  <c r="F1017" i="8"/>
  <c r="F927" i="8"/>
  <c r="F898" i="8"/>
  <c r="F287" i="8"/>
  <c r="F582" i="8"/>
  <c r="F534" i="8"/>
  <c r="F269" i="8"/>
  <c r="F1061" i="8"/>
  <c r="F796" i="8"/>
  <c r="F450" i="8"/>
  <c r="F787" i="8"/>
  <c r="F187" i="8"/>
  <c r="F1023" i="8"/>
  <c r="F710" i="8"/>
  <c r="F337" i="8"/>
  <c r="F752" i="8"/>
  <c r="F211" i="8"/>
  <c r="F668" i="8"/>
  <c r="F365" i="8"/>
  <c r="F1177" i="8"/>
  <c r="F1143" i="8"/>
  <c r="F349" i="8"/>
  <c r="F692" i="8"/>
  <c r="F216" i="8"/>
  <c r="F517" i="8"/>
  <c r="F664" i="8"/>
  <c r="F895" i="8"/>
  <c r="F1047" i="8"/>
  <c r="F858" i="8"/>
  <c r="F633" i="8"/>
  <c r="F1073" i="8"/>
  <c r="F279" i="8"/>
  <c r="F715" i="8"/>
  <c r="F543" i="8"/>
  <c r="F634" i="8"/>
  <c r="F266" i="8"/>
  <c r="F470" i="8"/>
  <c r="F852" i="8"/>
  <c r="F793" i="8"/>
  <c r="F1044" i="8"/>
  <c r="F702" i="8"/>
  <c r="F1152" i="8"/>
  <c r="F414" i="8"/>
  <c r="F561" i="8"/>
  <c r="F815" i="8"/>
  <c r="F1115" i="8"/>
  <c r="F321" i="8"/>
  <c r="F440" i="8"/>
  <c r="F699" i="8"/>
  <c r="F571" i="8"/>
  <c r="F662" i="8"/>
  <c r="F1034" i="8"/>
  <c r="F835" i="8"/>
  <c r="F1086" i="8"/>
  <c r="F438" i="8"/>
  <c r="F1012" i="8"/>
  <c r="F274" i="8"/>
  <c r="F194" i="8"/>
  <c r="F555" i="8"/>
  <c r="F848" i="8"/>
  <c r="G121" i="4"/>
  <c r="G105" i="4"/>
  <c r="C92" i="4"/>
  <c r="G77" i="4"/>
  <c r="C89" i="4"/>
  <c r="C78" i="4"/>
  <c r="G90" i="4"/>
  <c r="C132" i="4"/>
  <c r="G116" i="4"/>
  <c r="C128" i="4"/>
  <c r="G103" i="4"/>
  <c r="G87" i="4"/>
  <c r="G109" i="4"/>
  <c r="C83" i="4"/>
  <c r="C112" i="4"/>
  <c r="G127" i="4"/>
  <c r="G91" i="4"/>
  <c r="C115" i="4"/>
  <c r="G132" i="4"/>
  <c r="G113" i="4"/>
  <c r="C127" i="4"/>
  <c r="G128" i="4"/>
  <c r="G99" i="4"/>
  <c r="C91" i="4"/>
  <c r="G122" i="4"/>
  <c r="G134" i="4"/>
  <c r="G114" i="4"/>
  <c r="G85" i="4"/>
  <c r="G100" i="4"/>
  <c r="C134" i="4"/>
  <c r="G115" i="4"/>
  <c r="G120" i="4"/>
  <c r="G86" i="4"/>
  <c r="C122" i="4"/>
  <c r="G101" i="4"/>
  <c r="C135" i="4"/>
  <c r="C110" i="4"/>
  <c r="C130" i="4"/>
  <c r="C123" i="4"/>
  <c r="C97" i="4"/>
  <c r="C85" i="4"/>
  <c r="C116" i="4"/>
  <c r="G89" i="4"/>
  <c r="C86" i="4"/>
  <c r="C108" i="4"/>
  <c r="C125" i="4"/>
  <c r="G107" i="4"/>
  <c r="C113" i="4"/>
  <c r="C101" i="4"/>
  <c r="G133" i="4"/>
  <c r="G119" i="4"/>
  <c r="G136" i="4"/>
  <c r="C105" i="4"/>
  <c r="C126" i="4"/>
  <c r="G104" i="4"/>
  <c r="C102" i="4"/>
  <c r="G94" i="4"/>
  <c r="C87" i="4"/>
  <c r="G80" i="4"/>
  <c r="G129" i="4"/>
  <c r="G135" i="4"/>
  <c r="C93" i="4"/>
  <c r="C81" i="4"/>
  <c r="C77" i="4"/>
  <c r="C72" i="4"/>
  <c r="D72" i="4" s="1"/>
  <c r="D1" i="5"/>
  <c r="F60" i="4"/>
  <c r="F1" i="4"/>
  <c r="F53" i="4"/>
  <c r="F48" i="4"/>
  <c r="B5" i="1"/>
  <c r="F44" i="4"/>
  <c r="F36" i="4"/>
  <c r="F30" i="4"/>
  <c r="B168" i="8" l="1"/>
  <c r="F93" i="8"/>
  <c r="F61" i="8"/>
  <c r="B150" i="8"/>
  <c r="C24" i="4"/>
  <c r="C21" i="4" s="1"/>
  <c r="D9" i="5" a="1"/>
  <c r="D9" i="5" s="1"/>
  <c r="D36" i="5" a="1"/>
  <c r="D36" i="5" s="1"/>
  <c r="D32" i="5" a="1"/>
  <c r="D32" i="5" s="1"/>
  <c r="D29" i="5" a="1"/>
  <c r="D29" i="5" s="1"/>
  <c r="D38" i="5" a="1"/>
  <c r="D38" i="5" s="1"/>
  <c r="D8" i="5" a="1"/>
  <c r="D8" i="5" s="1"/>
  <c r="D34" i="5" a="1"/>
  <c r="D34" i="5" s="1"/>
  <c r="D20" i="5" a="1"/>
  <c r="D20" i="5" s="1"/>
  <c r="D31" i="5" a="1"/>
  <c r="D31" i="5" s="1"/>
  <c r="N8" i="8" s="1"/>
  <c r="D16" i="5" a="1"/>
  <c r="D16" i="5" s="1"/>
  <c r="D22" i="5" a="1"/>
  <c r="D22" i="5" s="1"/>
  <c r="D33" i="5" a="1"/>
  <c r="D33" i="5" s="1"/>
  <c r="D19" i="5" a="1"/>
  <c r="D19" i="5" s="1"/>
  <c r="D4" i="5" a="1"/>
  <c r="D4" i="5" s="1"/>
  <c r="D30" i="5" a="1"/>
  <c r="D30" i="5" s="1"/>
  <c r="D15" i="5" a="1"/>
  <c r="D15" i="5" s="1"/>
  <c r="E1" i="4"/>
  <c r="E44" i="4"/>
  <c r="E60" i="4"/>
  <c r="E36" i="4"/>
  <c r="E30" i="4"/>
  <c r="E53" i="4"/>
  <c r="E48" i="4"/>
  <c r="D48" i="1"/>
  <c r="C1" i="5"/>
  <c r="D27" i="5" s="1" a="1"/>
  <c r="D27" i="5" s="1"/>
  <c r="D40" i="5" a="1"/>
  <c r="D40" i="5" s="1"/>
  <c r="D129" i="8" l="1"/>
  <c r="D117" i="8"/>
  <c r="E8" i="4"/>
  <c r="N9" i="8" s="1"/>
  <c r="D28" i="5" a="1"/>
  <c r="D28" i="5" s="1"/>
  <c r="E6" i="4" s="1"/>
  <c r="D25" i="5" a="1"/>
  <c r="D25" i="5" s="1"/>
  <c r="B51" i="2"/>
  <c r="D51" i="2" s="1"/>
  <c r="B19" i="1"/>
  <c r="C19" i="1" s="1"/>
  <c r="D13" i="5" a="1"/>
  <c r="D13" i="5" s="1"/>
  <c r="E43" i="4" s="1"/>
  <c r="D3" i="5" a="1"/>
  <c r="D3" i="5" s="1"/>
  <c r="E12" i="4" s="1"/>
  <c r="N11" i="8" s="1"/>
  <c r="D17" i="5" a="1"/>
  <c r="D17" i="5" s="1"/>
  <c r="E49" i="4" s="1"/>
  <c r="E34" i="4"/>
  <c r="E33" i="4"/>
  <c r="D6" i="5" a="1"/>
  <c r="D6" i="5" s="1"/>
  <c r="D5" i="5" a="1"/>
  <c r="D5" i="5" s="1"/>
  <c r="D21" i="5" a="1"/>
  <c r="D21" i="5" s="1"/>
  <c r="D24" i="5" a="1"/>
  <c r="D24" i="5" s="1"/>
  <c r="E4" i="4"/>
  <c r="E31" i="4"/>
  <c r="D23" i="5" a="1"/>
  <c r="D23" i="5" s="1"/>
  <c r="D39" i="5" a="1"/>
  <c r="D39" i="5" s="1"/>
  <c r="D12" i="5" a="1"/>
  <c r="D12" i="5" s="1"/>
  <c r="D11" i="5" a="1"/>
  <c r="D11" i="5" s="1"/>
  <c r="F36" i="5" a="1"/>
  <c r="F36" i="5" s="1"/>
  <c r="B33" i="5" a="1"/>
  <c r="B33" i="5" s="1"/>
  <c r="C30" i="5" a="1"/>
  <c r="C30" i="5" s="1"/>
  <c r="D122" i="8" s="1"/>
  <c r="D124" i="8" s="1"/>
  <c r="F21" i="5" a="1"/>
  <c r="F21" i="5" s="1"/>
  <c r="B19" i="5" a="1"/>
  <c r="B19" i="5" s="1"/>
  <c r="C15" i="5" a="1"/>
  <c r="C15" i="5" s="1"/>
  <c r="F6" i="5" a="1"/>
  <c r="F6" i="5" s="1"/>
  <c r="F32" i="5" a="1"/>
  <c r="F32" i="5" s="1"/>
  <c r="B30" i="5" a="1"/>
  <c r="B30" i="5" s="1"/>
  <c r="C27" i="5" a="1"/>
  <c r="C27" i="5" s="1"/>
  <c r="F17" i="5" a="1"/>
  <c r="F17" i="5" s="1"/>
  <c r="G16" i="4" s="1"/>
  <c r="G52" i="4" s="1"/>
  <c r="C12" i="5" a="1"/>
  <c r="C12" i="5" s="1"/>
  <c r="F3" i="5" a="1"/>
  <c r="F3" i="5" s="1"/>
  <c r="C39" i="5" a="1"/>
  <c r="C39" i="5" s="1"/>
  <c r="D115" i="8" s="1"/>
  <c r="F29" i="5" a="1"/>
  <c r="F29" i="5" s="1"/>
  <c r="B27" i="5" a="1"/>
  <c r="B27" i="5" s="1"/>
  <c r="C24" i="5" a="1"/>
  <c r="C24" i="5" s="1"/>
  <c r="F14" i="5" a="1"/>
  <c r="F14" i="5" s="1"/>
  <c r="C9" i="5" a="1"/>
  <c r="C9" i="5" s="1"/>
  <c r="C36" i="5" a="1"/>
  <c r="C36" i="5" s="1"/>
  <c r="F26" i="5" a="1"/>
  <c r="F26" i="5" s="1"/>
  <c r="B24" i="5" a="1"/>
  <c r="B24" i="5" s="1"/>
  <c r="C21" i="5" a="1"/>
  <c r="C21" i="5" s="1"/>
  <c r="F11" i="5" a="1"/>
  <c r="F11" i="5" s="1"/>
  <c r="C6" i="5" a="1"/>
  <c r="C6" i="5" s="1"/>
  <c r="F38" i="5" a="1"/>
  <c r="F38" i="5" s="1"/>
  <c r="C32" i="5" a="1"/>
  <c r="C32" i="5" s="1"/>
  <c r="F23" i="5" a="1"/>
  <c r="F23" i="5" s="1"/>
  <c r="B21" i="5" a="1"/>
  <c r="B21" i="5" s="1"/>
  <c r="C17" i="5" a="1"/>
  <c r="C17" i="5" s="1"/>
  <c r="F8" i="5" a="1"/>
  <c r="F8" i="5" s="1"/>
  <c r="C3" i="5" a="1"/>
  <c r="C3" i="5" s="1"/>
  <c r="F34" i="5" a="1"/>
  <c r="F34" i="5" s="1"/>
  <c r="B32" i="5" a="1"/>
  <c r="B32" i="5" s="1"/>
  <c r="C29" i="5" a="1"/>
  <c r="C29" i="5" s="1"/>
  <c r="F20" i="5" a="1"/>
  <c r="F20" i="5" s="1"/>
  <c r="C14" i="5" a="1"/>
  <c r="C14" i="5" s="1"/>
  <c r="F5" i="5" a="1"/>
  <c r="F5" i="5" s="1"/>
  <c r="F31" i="5" a="1"/>
  <c r="F31" i="5" s="1"/>
  <c r="P8" i="8" s="1"/>
  <c r="B29" i="5" a="1"/>
  <c r="B29" i="5" s="1"/>
  <c r="C26" i="5" a="1"/>
  <c r="C26" i="5" s="1"/>
  <c r="F16" i="5" a="1"/>
  <c r="F16" i="5" s="1"/>
  <c r="C11" i="5" a="1"/>
  <c r="C11" i="5" s="1"/>
  <c r="C38" i="5" a="1"/>
  <c r="C38" i="5" s="1"/>
  <c r="F28" i="5" a="1"/>
  <c r="F28" i="5" s="1"/>
  <c r="B26" i="5" a="1"/>
  <c r="B26" i="5" s="1"/>
  <c r="C23" i="5" a="1"/>
  <c r="C23" i="5" s="1"/>
  <c r="F13" i="5" a="1"/>
  <c r="F13" i="5" s="1"/>
  <c r="C8" i="5" a="1"/>
  <c r="C8" i="5" s="1"/>
  <c r="C34" i="5" a="1"/>
  <c r="C34" i="5" s="1"/>
  <c r="F25" i="5" a="1"/>
  <c r="F25" i="5" s="1"/>
  <c r="B23" i="5" a="1"/>
  <c r="B23" i="5" s="1"/>
  <c r="C20" i="5" a="1"/>
  <c r="C20" i="5" s="1"/>
  <c r="F10" i="5" a="1"/>
  <c r="F10" i="5" s="1"/>
  <c r="C5" i="5" a="1"/>
  <c r="C5" i="5" s="1"/>
  <c r="F37" i="5" a="1"/>
  <c r="F37" i="5" s="1"/>
  <c r="B34" i="5" a="1"/>
  <c r="B34" i="5" s="1"/>
  <c r="C31" i="5" a="1"/>
  <c r="C31" i="5" s="1"/>
  <c r="F22" i="5" a="1"/>
  <c r="F22" i="5" s="1"/>
  <c r="B20" i="5" a="1"/>
  <c r="B20" i="5" s="1"/>
  <c r="C16" i="5" a="1"/>
  <c r="C16" i="5" s="1"/>
  <c r="F7" i="5" a="1"/>
  <c r="F7" i="5" s="1"/>
  <c r="F33" i="5" a="1"/>
  <c r="F33" i="5" s="1"/>
  <c r="B31" i="5" a="1"/>
  <c r="B31" i="5" s="1"/>
  <c r="C28" i="5" a="1"/>
  <c r="C28" i="5" s="1"/>
  <c r="F19" i="5" a="1"/>
  <c r="F19" i="5" s="1"/>
  <c r="C13" i="5" a="1"/>
  <c r="C13" i="5" s="1"/>
  <c r="F4" i="5" a="1"/>
  <c r="F4" i="5" s="1"/>
  <c r="F30" i="5" a="1"/>
  <c r="F30" i="5" s="1"/>
  <c r="B28" i="5" a="1"/>
  <c r="B28" i="5" s="1"/>
  <c r="C25" i="5" a="1"/>
  <c r="C25" i="5" s="1"/>
  <c r="F15" i="5" a="1"/>
  <c r="F15" i="5" s="1"/>
  <c r="G62" i="4" s="1"/>
  <c r="C10" i="5" a="1"/>
  <c r="C10" i="5" s="1"/>
  <c r="D48" i="4"/>
  <c r="D36" i="4"/>
  <c r="C37" i="5" a="1"/>
  <c r="C37" i="5" s="1"/>
  <c r="F27" i="5" a="1"/>
  <c r="F27" i="5" s="1"/>
  <c r="B25" i="5" a="1"/>
  <c r="B25" i="5" s="1"/>
  <c r="C22" i="5" a="1"/>
  <c r="C22" i="5" s="1"/>
  <c r="F12" i="5" a="1"/>
  <c r="F12" i="5" s="1"/>
  <c r="G3" i="4" s="1"/>
  <c r="P10" i="8" s="1"/>
  <c r="C7" i="5" a="1"/>
  <c r="C7" i="5" s="1"/>
  <c r="C33" i="5" a="1"/>
  <c r="C33" i="5" s="1"/>
  <c r="F24" i="5" a="1"/>
  <c r="F24" i="5" s="1"/>
  <c r="B22" i="5" a="1"/>
  <c r="B22" i="5" s="1"/>
  <c r="C19" i="5" a="1"/>
  <c r="C19" i="5" s="1"/>
  <c r="F9" i="5" a="1"/>
  <c r="F9" i="5" s="1"/>
  <c r="C4" i="5" a="1"/>
  <c r="C4" i="5" s="1"/>
  <c r="D53" i="4"/>
  <c r="D60" i="4"/>
  <c r="D1" i="4"/>
  <c r="E48" i="1"/>
  <c r="F40" i="5" a="1"/>
  <c r="F40" i="5" s="1"/>
  <c r="F39" i="5" a="1"/>
  <c r="F39" i="5" s="1"/>
  <c r="E11" i="5" a="1"/>
  <c r="E11" i="5" s="1"/>
  <c r="E37" i="5" a="1"/>
  <c r="E37" i="5" s="1"/>
  <c r="D44" i="4"/>
  <c r="C40" i="5" a="1"/>
  <c r="C40" i="5" s="1"/>
  <c r="D105" i="8" s="1"/>
  <c r="E36" i="5" a="1"/>
  <c r="E36" i="5" s="1"/>
  <c r="F11" i="4" s="1"/>
  <c r="O6" i="8" s="1"/>
  <c r="E6" i="5" a="1"/>
  <c r="E6" i="5" s="1"/>
  <c r="F10" i="4" s="1"/>
  <c r="O5" i="8" s="1"/>
  <c r="E38" i="5" a="1"/>
  <c r="E38" i="5" s="1"/>
  <c r="F12" i="4" s="1"/>
  <c r="O11" i="8" s="1"/>
  <c r="E22" i="5" a="1"/>
  <c r="E22" i="5" s="1"/>
  <c r="E23" i="5" a="1"/>
  <c r="E23" i="5" s="1"/>
  <c r="E7" i="5" a="1"/>
  <c r="E7" i="5" s="1"/>
  <c r="E8" i="5" a="1"/>
  <c r="E8" i="5" s="1"/>
  <c r="E33" i="5" a="1"/>
  <c r="E33" i="5" s="1"/>
  <c r="E24" i="5" a="1"/>
  <c r="E24" i="5" s="1"/>
  <c r="E9" i="5" a="1"/>
  <c r="E9" i="5" s="1"/>
  <c r="E34" i="5" a="1"/>
  <c r="E34" i="5" s="1"/>
  <c r="E19" i="5" a="1"/>
  <c r="E19" i="5" s="1"/>
  <c r="E5" i="5" a="1"/>
  <c r="E5" i="5" s="1"/>
  <c r="F37" i="4" s="1"/>
  <c r="C53" i="1" s="1"/>
  <c r="E21" i="5" a="1"/>
  <c r="E21" i="5" s="1"/>
  <c r="E32" i="5" a="1"/>
  <c r="E32" i="5" s="1"/>
  <c r="E16" i="5" a="1"/>
  <c r="E16" i="5" s="1"/>
  <c r="E56" i="4" s="1"/>
  <c r="E27" i="5" a="1"/>
  <c r="E27" i="5" s="1"/>
  <c r="E39" i="5" a="1"/>
  <c r="E39" i="5" s="1"/>
  <c r="E17" i="5" a="1"/>
  <c r="E17" i="5" s="1"/>
  <c r="F16" i="4" s="1"/>
  <c r="F52" i="4" s="1"/>
  <c r="E12" i="5" a="1"/>
  <c r="E12" i="5" s="1"/>
  <c r="E30" i="5" a="1"/>
  <c r="E30" i="5" s="1"/>
  <c r="E3" i="5" a="1"/>
  <c r="E3" i="5" s="1"/>
  <c r="E28" i="5" a="1"/>
  <c r="E28" i="5" s="1"/>
  <c r="E40" i="5" a="1"/>
  <c r="E40" i="5" s="1"/>
  <c r="D30" i="4"/>
  <c r="E29" i="5" a="1"/>
  <c r="E29" i="5" s="1"/>
  <c r="E13" i="5" a="1"/>
  <c r="E13" i="5" s="1"/>
  <c r="E4" i="5" a="1"/>
  <c r="E4" i="5" s="1"/>
  <c r="E31" i="5" a="1"/>
  <c r="E31" i="5" s="1"/>
  <c r="O8" i="8" s="1"/>
  <c r="E14" i="5" a="1"/>
  <c r="E14" i="5" s="1"/>
  <c r="E25" i="5" a="1"/>
  <c r="E25" i="5" s="1"/>
  <c r="E46" i="4" s="1"/>
  <c r="E20" i="5" a="1"/>
  <c r="E20" i="5" s="1"/>
  <c r="E15" i="5" a="1"/>
  <c r="E15" i="5" s="1"/>
  <c r="F62" i="4" s="1"/>
  <c r="E26" i="5" a="1"/>
  <c r="E26" i="5" s="1"/>
  <c r="E10" i="5" a="1"/>
  <c r="E10" i="5" s="1"/>
  <c r="D7" i="5" a="1"/>
  <c r="D7" i="5" s="1"/>
  <c r="E50" i="4"/>
  <c r="D37" i="5" a="1"/>
  <c r="D37" i="5" s="1"/>
  <c r="D26" i="5" a="1"/>
  <c r="D26" i="5" s="1"/>
  <c r="E2" i="4" s="1"/>
  <c r="E51" i="4" s="1"/>
  <c r="E47" i="4"/>
  <c r="E57" i="4"/>
  <c r="D10" i="5" a="1"/>
  <c r="D10" i="5" s="1"/>
  <c r="D14" i="5" a="1"/>
  <c r="D14" i="5" s="1"/>
  <c r="F25" i="8" l="1"/>
  <c r="L8" i="8"/>
  <c r="M8" i="8"/>
  <c r="F57" i="8"/>
  <c r="F89" i="8"/>
  <c r="F56" i="8"/>
  <c r="F88" i="8"/>
  <c r="F24" i="8"/>
  <c r="D104" i="8"/>
  <c r="G11" i="4"/>
  <c r="P6" i="8" s="1"/>
  <c r="D103" i="8"/>
  <c r="B3" i="8"/>
  <c r="B68" i="8"/>
  <c r="G939" i="8"/>
  <c r="H939" i="8" s="1"/>
  <c r="I939" i="8" s="1"/>
  <c r="G1028" i="8"/>
  <c r="H1028" i="8" s="1"/>
  <c r="I1028" i="8" s="1"/>
  <c r="B36" i="8"/>
  <c r="G213" i="8"/>
  <c r="H213" i="8" s="1"/>
  <c r="I213" i="8" s="1"/>
  <c r="G941" i="8"/>
  <c r="H941" i="8" s="1"/>
  <c r="I941" i="8" s="1"/>
  <c r="G1079" i="8"/>
  <c r="H1079" i="8" s="1"/>
  <c r="I1079" i="8" s="1"/>
  <c r="G1088" i="8"/>
  <c r="H1088" i="8" s="1"/>
  <c r="I1088" i="8" s="1"/>
  <c r="G676" i="8"/>
  <c r="H676" i="8" s="1"/>
  <c r="I676" i="8" s="1"/>
  <c r="G1112" i="8"/>
  <c r="H1112" i="8" s="1"/>
  <c r="I1112" i="8" s="1"/>
  <c r="G450" i="8"/>
  <c r="H450" i="8" s="1"/>
  <c r="I450" i="8" s="1"/>
  <c r="G1070" i="8"/>
  <c r="H1070" i="8" s="1"/>
  <c r="I1070" i="8" s="1"/>
  <c r="G884" i="8"/>
  <c r="H884" i="8" s="1"/>
  <c r="I884" i="8" s="1"/>
  <c r="G598" i="8"/>
  <c r="H598" i="8" s="1"/>
  <c r="I598" i="8" s="1"/>
  <c r="G541" i="8"/>
  <c r="H541" i="8" s="1"/>
  <c r="I541" i="8" s="1"/>
  <c r="G252" i="8"/>
  <c r="H252" i="8" s="1"/>
  <c r="I252" i="8" s="1"/>
  <c r="G953" i="8"/>
  <c r="H953" i="8" s="1"/>
  <c r="I953" i="8" s="1"/>
  <c r="G1012" i="8"/>
  <c r="H1012" i="8" s="1"/>
  <c r="I1012" i="8" s="1"/>
  <c r="G449" i="8"/>
  <c r="H449" i="8" s="1"/>
  <c r="I449" i="8" s="1"/>
  <c r="G502" i="8"/>
  <c r="H502" i="8" s="1"/>
  <c r="I502" i="8" s="1"/>
  <c r="G1039" i="8"/>
  <c r="H1039" i="8" s="1"/>
  <c r="I1039" i="8" s="1"/>
  <c r="G481" i="8"/>
  <c r="H481" i="8" s="1"/>
  <c r="I481" i="8" s="1"/>
  <c r="G211" i="8"/>
  <c r="H211" i="8" s="1"/>
  <c r="I211" i="8" s="1"/>
  <c r="G861" i="8"/>
  <c r="H861" i="8" s="1"/>
  <c r="I861" i="8" s="1"/>
  <c r="G306" i="8"/>
  <c r="H306" i="8" s="1"/>
  <c r="I306" i="8" s="1"/>
  <c r="G588" i="8"/>
  <c r="H588" i="8" s="1"/>
  <c r="I588" i="8" s="1"/>
  <c r="G695" i="8"/>
  <c r="H695" i="8" s="1"/>
  <c r="I695" i="8" s="1"/>
  <c r="G224" i="8"/>
  <c r="H224" i="8" s="1"/>
  <c r="I224" i="8" s="1"/>
  <c r="G798" i="8"/>
  <c r="H798" i="8" s="1"/>
  <c r="I798" i="8" s="1"/>
  <c r="G359" i="8"/>
  <c r="H359" i="8" s="1"/>
  <c r="I359" i="8" s="1"/>
  <c r="G1155" i="8"/>
  <c r="H1155" i="8" s="1"/>
  <c r="I1155" i="8" s="1"/>
  <c r="G240" i="8"/>
  <c r="H240" i="8" s="1"/>
  <c r="I240" i="8" s="1"/>
  <c r="G437" i="8"/>
  <c r="H437" i="8" s="1"/>
  <c r="I437" i="8" s="1"/>
  <c r="G1095" i="8"/>
  <c r="H1095" i="8" s="1"/>
  <c r="I1095" i="8" s="1"/>
  <c r="G718" i="8"/>
  <c r="H718" i="8" s="1"/>
  <c r="I718" i="8" s="1"/>
  <c r="G348" i="8"/>
  <c r="H348" i="8" s="1"/>
  <c r="I348" i="8" s="1"/>
  <c r="G983" i="8"/>
  <c r="H983" i="8" s="1"/>
  <c r="I983" i="8" s="1"/>
  <c r="G586" i="8"/>
  <c r="H586" i="8" s="1"/>
  <c r="I586" i="8" s="1"/>
  <c r="G1022" i="8"/>
  <c r="H1022" i="8" s="1"/>
  <c r="I1022" i="8" s="1"/>
  <c r="G334" i="8"/>
  <c r="H334" i="8" s="1"/>
  <c r="I334" i="8" s="1"/>
  <c r="G829" i="8"/>
  <c r="H829" i="8" s="1"/>
  <c r="I829" i="8" s="1"/>
  <c r="G337" i="8"/>
  <c r="H337" i="8" s="1"/>
  <c r="I337" i="8" s="1"/>
  <c r="G469" i="8"/>
  <c r="H469" i="8" s="1"/>
  <c r="I469" i="8" s="1"/>
  <c r="G708" i="8"/>
  <c r="H708" i="8" s="1"/>
  <c r="I708" i="8" s="1"/>
  <c r="G1150" i="8"/>
  <c r="H1150" i="8" s="1"/>
  <c r="I1150" i="8" s="1"/>
  <c r="G464" i="8"/>
  <c r="H464" i="8" s="1"/>
  <c r="I464" i="8" s="1"/>
  <c r="G894" i="8"/>
  <c r="H894" i="8" s="1"/>
  <c r="I894" i="8" s="1"/>
  <c r="G207" i="8"/>
  <c r="H207" i="8" s="1"/>
  <c r="I207" i="8" s="1"/>
  <c r="G263" i="8"/>
  <c r="H263" i="8" s="1"/>
  <c r="I263" i="8" s="1"/>
  <c r="G209" i="8"/>
  <c r="H209" i="8" s="1"/>
  <c r="I209" i="8" s="1"/>
  <c r="G807" i="8"/>
  <c r="H807" i="8" s="1"/>
  <c r="I807" i="8" s="1"/>
  <c r="G709" i="8"/>
  <c r="H709" i="8" s="1"/>
  <c r="I709" i="8" s="1"/>
  <c r="G1176" i="8"/>
  <c r="H1176" i="8" s="1"/>
  <c r="I1176" i="8" s="1"/>
  <c r="G286" i="8"/>
  <c r="H286" i="8" s="1"/>
  <c r="I286" i="8" s="1"/>
  <c r="G1168" i="8"/>
  <c r="H1168" i="8" s="1"/>
  <c r="I1168" i="8" s="1"/>
  <c r="G822" i="8"/>
  <c r="H822" i="8" s="1"/>
  <c r="I822" i="8" s="1"/>
  <c r="G1015" i="8"/>
  <c r="H1015" i="8" s="1"/>
  <c r="I1015" i="8" s="1"/>
  <c r="G938" i="8"/>
  <c r="H938" i="8" s="1"/>
  <c r="I938" i="8" s="1"/>
  <c r="G370" i="8"/>
  <c r="H370" i="8" s="1"/>
  <c r="I370" i="8" s="1"/>
  <c r="G1162" i="8"/>
  <c r="H1162" i="8" s="1"/>
  <c r="I1162" i="8" s="1"/>
  <c r="G413" i="8"/>
  <c r="H413" i="8" s="1"/>
  <c r="I413" i="8" s="1"/>
  <c r="G1085" i="8"/>
  <c r="H1085" i="8" s="1"/>
  <c r="I1085" i="8" s="1"/>
  <c r="G984" i="8"/>
  <c r="H984" i="8" s="1"/>
  <c r="I984" i="8" s="1"/>
  <c r="G253" i="8"/>
  <c r="H253" i="8" s="1"/>
  <c r="I253" i="8" s="1"/>
  <c r="G771" i="8"/>
  <c r="H771" i="8" s="1"/>
  <c r="I771" i="8" s="1"/>
  <c r="G1082" i="8"/>
  <c r="H1082" i="8" s="1"/>
  <c r="I1082" i="8" s="1"/>
  <c r="G663" i="8"/>
  <c r="H663" i="8" s="1"/>
  <c r="I663" i="8" s="1"/>
  <c r="G670" i="8"/>
  <c r="H670" i="8" s="1"/>
  <c r="I670" i="8" s="1"/>
  <c r="G1030" i="8"/>
  <c r="H1030" i="8" s="1"/>
  <c r="I1030" i="8" s="1"/>
  <c r="G1078" i="8"/>
  <c r="H1078" i="8" s="1"/>
  <c r="I1078" i="8" s="1"/>
  <c r="G791" i="8"/>
  <c r="H791" i="8" s="1"/>
  <c r="I791" i="8" s="1"/>
  <c r="G579" i="8"/>
  <c r="H579" i="8" s="1"/>
  <c r="I579" i="8" s="1"/>
  <c r="G434" i="8"/>
  <c r="H434" i="8" s="1"/>
  <c r="I434" i="8" s="1"/>
  <c r="G440" i="8"/>
  <c r="H440" i="8" s="1"/>
  <c r="I440" i="8" s="1"/>
  <c r="G844" i="8"/>
  <c r="H844" i="8" s="1"/>
  <c r="I844" i="8" s="1"/>
  <c r="G728" i="8"/>
  <c r="H728" i="8" s="1"/>
  <c r="I728" i="8" s="1"/>
  <c r="G809" i="8"/>
  <c r="H809" i="8" s="1"/>
  <c r="I809" i="8" s="1"/>
  <c r="G879" i="8"/>
  <c r="H879" i="8" s="1"/>
  <c r="I879" i="8" s="1"/>
  <c r="G1002" i="8"/>
  <c r="H1002" i="8" s="1"/>
  <c r="I1002" i="8" s="1"/>
  <c r="G629" i="8"/>
  <c r="H629" i="8" s="1"/>
  <c r="I629" i="8" s="1"/>
  <c r="G577" i="8"/>
  <c r="H577" i="8" s="1"/>
  <c r="I577" i="8" s="1"/>
  <c r="G1100" i="8"/>
  <c r="H1100" i="8" s="1"/>
  <c r="I1100" i="8" s="1"/>
  <c r="G315" i="8"/>
  <c r="H315" i="8" s="1"/>
  <c r="I315" i="8" s="1"/>
  <c r="G830" i="8"/>
  <c r="H830" i="8" s="1"/>
  <c r="I830" i="8" s="1"/>
  <c r="G897" i="8"/>
  <c r="H897" i="8" s="1"/>
  <c r="I897" i="8" s="1"/>
  <c r="G580" i="8"/>
  <c r="H580" i="8" s="1"/>
  <c r="I580" i="8" s="1"/>
  <c r="G1121" i="8"/>
  <c r="H1121" i="8" s="1"/>
  <c r="I1121" i="8" s="1"/>
  <c r="G656" i="8"/>
  <c r="H656" i="8" s="1"/>
  <c r="I656" i="8" s="1"/>
  <c r="G494" i="8"/>
  <c r="H494" i="8" s="1"/>
  <c r="I494" i="8" s="1"/>
  <c r="G1152" i="8"/>
  <c r="H1152" i="8" s="1"/>
  <c r="I1152" i="8" s="1"/>
  <c r="G410" i="8"/>
  <c r="H410" i="8" s="1"/>
  <c r="I410" i="8" s="1"/>
  <c r="G595" i="8"/>
  <c r="H595" i="8" s="1"/>
  <c r="I595" i="8" s="1"/>
  <c r="G904" i="8"/>
  <c r="H904" i="8" s="1"/>
  <c r="I904" i="8" s="1"/>
  <c r="G271" i="8"/>
  <c r="H271" i="8" s="1"/>
  <c r="I271" i="8" s="1"/>
  <c r="G795" i="8"/>
  <c r="H795" i="8" s="1"/>
  <c r="I795" i="8" s="1"/>
  <c r="G862" i="8"/>
  <c r="H862" i="8" s="1"/>
  <c r="I862" i="8" s="1"/>
  <c r="G289" i="8"/>
  <c r="H289" i="8" s="1"/>
  <c r="I289" i="8" s="1"/>
  <c r="G293" i="8"/>
  <c r="H293" i="8" s="1"/>
  <c r="I293" i="8" s="1"/>
  <c r="G1024" i="8"/>
  <c r="H1024" i="8" s="1"/>
  <c r="I1024" i="8" s="1"/>
  <c r="G896" i="8"/>
  <c r="H896" i="8" s="1"/>
  <c r="I896" i="8" s="1"/>
  <c r="G999" i="8"/>
  <c r="H999" i="8" s="1"/>
  <c r="I999" i="8" s="1"/>
  <c r="G312" i="8"/>
  <c r="H312" i="8" s="1"/>
  <c r="I312" i="8" s="1"/>
  <c r="G364" i="8"/>
  <c r="H364" i="8" s="1"/>
  <c r="I364" i="8" s="1"/>
  <c r="G183" i="8"/>
  <c r="H183" i="8" s="1"/>
  <c r="I183" i="8" s="1"/>
  <c r="G653" i="8"/>
  <c r="H653" i="8" s="1"/>
  <c r="I653" i="8" s="1"/>
  <c r="G749" i="8"/>
  <c r="H749" i="8" s="1"/>
  <c r="I749" i="8" s="1"/>
  <c r="G504" i="8"/>
  <c r="H504" i="8" s="1"/>
  <c r="I504" i="8" s="1"/>
  <c r="G535" i="8"/>
  <c r="H535" i="8" s="1"/>
  <c r="I535" i="8" s="1"/>
  <c r="G462" i="8"/>
  <c r="H462" i="8" s="1"/>
  <c r="I462" i="8" s="1"/>
  <c r="G1154" i="8"/>
  <c r="H1154" i="8" s="1"/>
  <c r="I1154" i="8" s="1"/>
  <c r="G910" i="8"/>
  <c r="H910" i="8" s="1"/>
  <c r="I910" i="8" s="1"/>
  <c r="G850" i="8"/>
  <c r="H850" i="8" s="1"/>
  <c r="I850" i="8" s="1"/>
  <c r="G201" i="8"/>
  <c r="H201" i="8" s="1"/>
  <c r="I201" i="8" s="1"/>
  <c r="G933" i="8"/>
  <c r="H933" i="8" s="1"/>
  <c r="I933" i="8" s="1"/>
  <c r="G1017" i="8"/>
  <c r="H1017" i="8" s="1"/>
  <c r="I1017" i="8" s="1"/>
  <c r="G1174" i="8"/>
  <c r="H1174" i="8" s="1"/>
  <c r="I1174" i="8" s="1"/>
  <c r="G439" i="8"/>
  <c r="H439" i="8" s="1"/>
  <c r="I439" i="8" s="1"/>
  <c r="G880" i="8"/>
  <c r="H880" i="8" s="1"/>
  <c r="I880" i="8" s="1"/>
  <c r="G501" i="8"/>
  <c r="H501" i="8" s="1"/>
  <c r="I501" i="8" s="1"/>
  <c r="G874" i="8"/>
  <c r="H874" i="8" s="1"/>
  <c r="I874" i="8" s="1"/>
  <c r="G386" i="8"/>
  <c r="H386" i="8" s="1"/>
  <c r="I386" i="8" s="1"/>
  <c r="G566" i="8"/>
  <c r="H566" i="8" s="1"/>
  <c r="I566" i="8" s="1"/>
  <c r="G870" i="8"/>
  <c r="H870" i="8" s="1"/>
  <c r="I870" i="8" s="1"/>
  <c r="G934" i="8"/>
  <c r="H934" i="8" s="1"/>
  <c r="I934" i="8" s="1"/>
  <c r="G1119" i="8"/>
  <c r="H1119" i="8" s="1"/>
  <c r="I1119" i="8" s="1"/>
  <c r="G1171" i="8"/>
  <c r="H1171" i="8" s="1"/>
  <c r="I1171" i="8" s="1"/>
  <c r="G403" i="8"/>
  <c r="H403" i="8" s="1"/>
  <c r="I403" i="8" s="1"/>
  <c r="G982" i="8"/>
  <c r="H982" i="8" s="1"/>
  <c r="I982" i="8" s="1"/>
  <c r="G400" i="8"/>
  <c r="H400" i="8" s="1"/>
  <c r="I400" i="8" s="1"/>
  <c r="G740" i="8"/>
  <c r="H740" i="8" s="1"/>
  <c r="I740" i="8" s="1"/>
  <c r="G923" i="8"/>
  <c r="H923" i="8" s="1"/>
  <c r="I923" i="8" s="1"/>
  <c r="G448" i="8"/>
  <c r="H448" i="8" s="1"/>
  <c r="I448" i="8" s="1"/>
  <c r="G226" i="8"/>
  <c r="H226" i="8" s="1"/>
  <c r="I226" i="8" s="1"/>
  <c r="G731" i="8"/>
  <c r="H731" i="8" s="1"/>
  <c r="I731" i="8" s="1"/>
  <c r="G810" i="8"/>
  <c r="H810" i="8" s="1"/>
  <c r="I810" i="8" s="1"/>
  <c r="G527" i="8"/>
  <c r="H527" i="8" s="1"/>
  <c r="I527" i="8" s="1"/>
  <c r="G747" i="8"/>
  <c r="H747" i="8" s="1"/>
  <c r="I747" i="8" s="1"/>
  <c r="G760" i="8"/>
  <c r="H760" i="8" s="1"/>
  <c r="I760" i="8" s="1"/>
  <c r="G864" i="8"/>
  <c r="H864" i="8" s="1"/>
  <c r="I864" i="8" s="1"/>
  <c r="G1099" i="8"/>
  <c r="H1099" i="8" s="1"/>
  <c r="I1099" i="8" s="1"/>
  <c r="G1093" i="8"/>
  <c r="H1093" i="8" s="1"/>
  <c r="I1093" i="8" s="1"/>
  <c r="G1134" i="8"/>
  <c r="H1134" i="8" s="1"/>
  <c r="I1134" i="8" s="1"/>
  <c r="G1165" i="8"/>
  <c r="H1165" i="8" s="1"/>
  <c r="I1165" i="8" s="1"/>
  <c r="G1013" i="8"/>
  <c r="H1013" i="8" s="1"/>
  <c r="I1013" i="8" s="1"/>
  <c r="G719" i="8"/>
  <c r="H719" i="8" s="1"/>
  <c r="I719" i="8" s="1"/>
  <c r="G564" i="8"/>
  <c r="H564" i="8" s="1"/>
  <c r="I564" i="8" s="1"/>
  <c r="G543" i="8"/>
  <c r="H543" i="8" s="1"/>
  <c r="I543" i="8" s="1"/>
  <c r="G654" i="8"/>
  <c r="H654" i="8" s="1"/>
  <c r="I654" i="8" s="1"/>
  <c r="G786" i="8"/>
  <c r="H786" i="8" s="1"/>
  <c r="I786" i="8" s="1"/>
  <c r="G1092" i="8"/>
  <c r="H1092" i="8" s="1"/>
  <c r="I1092" i="8" s="1"/>
  <c r="G833" i="8"/>
  <c r="H833" i="8" s="1"/>
  <c r="I833" i="8" s="1"/>
  <c r="G772" i="8"/>
  <c r="H772" i="8" s="1"/>
  <c r="I772" i="8" s="1"/>
  <c r="G643" i="8"/>
  <c r="H643" i="8" s="1"/>
  <c r="I643" i="8" s="1"/>
  <c r="G406" i="8"/>
  <c r="H406" i="8" s="1"/>
  <c r="I406" i="8" s="1"/>
  <c r="G1090" i="8"/>
  <c r="H1090" i="8" s="1"/>
  <c r="I1090" i="8" s="1"/>
  <c r="G538" i="8"/>
  <c r="H538" i="8" s="1"/>
  <c r="I538" i="8" s="1"/>
  <c r="G766" i="8"/>
  <c r="H766" i="8" s="1"/>
  <c r="I766" i="8" s="1"/>
  <c r="G1051" i="8"/>
  <c r="H1051" i="8" s="1"/>
  <c r="I1051" i="8" s="1"/>
  <c r="G768" i="8"/>
  <c r="H768" i="8" s="1"/>
  <c r="I768" i="8" s="1"/>
  <c r="G978" i="8"/>
  <c r="H978" i="8" s="1"/>
  <c r="I978" i="8" s="1"/>
  <c r="G951" i="8"/>
  <c r="H951" i="8" s="1"/>
  <c r="I951" i="8" s="1"/>
  <c r="G1126" i="8"/>
  <c r="H1126" i="8" s="1"/>
  <c r="I1126" i="8" s="1"/>
  <c r="G300" i="8"/>
  <c r="H300" i="8" s="1"/>
  <c r="I300" i="8" s="1"/>
  <c r="G203" i="8"/>
  <c r="H203" i="8" s="1"/>
  <c r="I203" i="8" s="1"/>
  <c r="G1074" i="8"/>
  <c r="H1074" i="8" s="1"/>
  <c r="I1074" i="8" s="1"/>
  <c r="G831" i="8"/>
  <c r="H831" i="8" s="1"/>
  <c r="I831" i="8" s="1"/>
  <c r="G876" i="8"/>
  <c r="H876" i="8" s="1"/>
  <c r="I876" i="8" s="1"/>
  <c r="G193" i="8"/>
  <c r="H193" i="8" s="1"/>
  <c r="I193" i="8" s="1"/>
  <c r="G973" i="8"/>
  <c r="H973" i="8" s="1"/>
  <c r="I973" i="8" s="1"/>
  <c r="G902" i="8"/>
  <c r="H902" i="8" s="1"/>
  <c r="I902" i="8" s="1"/>
  <c r="G536" i="8"/>
  <c r="H536" i="8" s="1"/>
  <c r="I536" i="8" s="1"/>
  <c r="G1075" i="8"/>
  <c r="H1075" i="8" s="1"/>
  <c r="I1075" i="8" s="1"/>
  <c r="G458" i="8"/>
  <c r="H458" i="8" s="1"/>
  <c r="I458" i="8" s="1"/>
  <c r="G272" i="8"/>
  <c r="H272" i="8" s="1"/>
  <c r="I272" i="8" s="1"/>
  <c r="G1179" i="8"/>
  <c r="H1179" i="8" s="1"/>
  <c r="I1179" i="8" s="1"/>
  <c r="G631" i="8"/>
  <c r="H631" i="8" s="1"/>
  <c r="I631" i="8" s="1"/>
  <c r="G790" i="8"/>
  <c r="H790" i="8" s="1"/>
  <c r="I790" i="8" s="1"/>
  <c r="G340" i="8"/>
  <c r="H340" i="8" s="1"/>
  <c r="I340" i="8" s="1"/>
  <c r="G408" i="8"/>
  <c r="H408" i="8" s="1"/>
  <c r="I408" i="8" s="1"/>
  <c r="G280" i="8"/>
  <c r="H280" i="8" s="1"/>
  <c r="I280" i="8" s="1"/>
  <c r="G784" i="8"/>
  <c r="H784" i="8" s="1"/>
  <c r="I784" i="8" s="1"/>
  <c r="G1045" i="8"/>
  <c r="H1045" i="8" s="1"/>
  <c r="I1045" i="8" s="1"/>
  <c r="G637" i="8"/>
  <c r="H637" i="8" s="1"/>
  <c r="I637" i="8" s="1"/>
  <c r="G514" i="8"/>
  <c r="H514" i="8" s="1"/>
  <c r="I514" i="8" s="1"/>
  <c r="G922" i="8"/>
  <c r="H922" i="8" s="1"/>
  <c r="I922" i="8" s="1"/>
  <c r="G239" i="8"/>
  <c r="H239" i="8" s="1"/>
  <c r="I239" i="8" s="1"/>
  <c r="G206" i="8"/>
  <c r="H206" i="8" s="1"/>
  <c r="I206" i="8" s="1"/>
  <c r="G1050" i="8"/>
  <c r="H1050" i="8" s="1"/>
  <c r="I1050" i="8" s="1"/>
  <c r="G792" i="8"/>
  <c r="H792" i="8" s="1"/>
  <c r="I792" i="8" s="1"/>
  <c r="G513" i="8"/>
  <c r="H513" i="8" s="1"/>
  <c r="I513" i="8" s="1"/>
  <c r="G1025" i="8"/>
  <c r="H1025" i="8" s="1"/>
  <c r="I1025" i="8" s="1"/>
  <c r="G1036" i="8"/>
  <c r="H1036" i="8" s="1"/>
  <c r="I1036" i="8" s="1"/>
  <c r="G700" i="8"/>
  <c r="H700" i="8" s="1"/>
  <c r="I700" i="8" s="1"/>
  <c r="G1147" i="8"/>
  <c r="H1147" i="8" s="1"/>
  <c r="I1147" i="8" s="1"/>
  <c r="G625" i="8"/>
  <c r="H625" i="8" s="1"/>
  <c r="I625" i="8" s="1"/>
  <c r="G270" i="8"/>
  <c r="H270" i="8" s="1"/>
  <c r="I270" i="8" s="1"/>
  <c r="G445" i="8"/>
  <c r="H445" i="8" s="1"/>
  <c r="I445" i="8" s="1"/>
  <c r="G1003" i="8"/>
  <c r="H1003" i="8" s="1"/>
  <c r="I1003" i="8" s="1"/>
  <c r="G841" i="8"/>
  <c r="H841" i="8" s="1"/>
  <c r="I841" i="8" s="1"/>
  <c r="G819" i="8"/>
  <c r="H819" i="8" s="1"/>
  <c r="I819" i="8" s="1"/>
  <c r="G1138" i="8"/>
  <c r="H1138" i="8" s="1"/>
  <c r="I1138" i="8" s="1"/>
  <c r="G997" i="8"/>
  <c r="H997" i="8" s="1"/>
  <c r="I997" i="8" s="1"/>
  <c r="G594" i="8"/>
  <c r="H594" i="8" s="1"/>
  <c r="I594" i="8" s="1"/>
  <c r="G667" i="8"/>
  <c r="H667" i="8" s="1"/>
  <c r="I667" i="8" s="1"/>
  <c r="G674" i="8"/>
  <c r="H674" i="8" s="1"/>
  <c r="I674" i="8" s="1"/>
  <c r="G511" i="8"/>
  <c r="H511" i="8" s="1"/>
  <c r="I511" i="8" s="1"/>
  <c r="G998" i="8"/>
  <c r="H998" i="8" s="1"/>
  <c r="I998" i="8" s="1"/>
  <c r="G360" i="8"/>
  <c r="H360" i="8" s="1"/>
  <c r="I360" i="8" s="1"/>
  <c r="G811" i="8"/>
  <c r="H811" i="8" s="1"/>
  <c r="I811" i="8" s="1"/>
  <c r="G593" i="8"/>
  <c r="H593" i="8" s="1"/>
  <c r="I593" i="8" s="1"/>
  <c r="G1167" i="8"/>
  <c r="H1167" i="8" s="1"/>
  <c r="I1167" i="8" s="1"/>
  <c r="G388" i="8"/>
  <c r="H388" i="8" s="1"/>
  <c r="I388" i="8" s="1"/>
  <c r="G195" i="8"/>
  <c r="H195" i="8" s="1"/>
  <c r="I195" i="8" s="1"/>
  <c r="G1118" i="8"/>
  <c r="H1118" i="8" s="1"/>
  <c r="I1118" i="8" s="1"/>
  <c r="G738" i="8"/>
  <c r="H738" i="8" s="1"/>
  <c r="I738" i="8" s="1"/>
  <c r="G444" i="8"/>
  <c r="H444" i="8" s="1"/>
  <c r="I444" i="8" s="1"/>
  <c r="G1175" i="8"/>
  <c r="H1175" i="8" s="1"/>
  <c r="I1175" i="8" s="1"/>
  <c r="G1177" i="8"/>
  <c r="H1177" i="8" s="1"/>
  <c r="I1177" i="8" s="1"/>
  <c r="G971" i="8"/>
  <c r="H971" i="8" s="1"/>
  <c r="I971" i="8" s="1"/>
  <c r="G417" i="8"/>
  <c r="H417" i="8" s="1"/>
  <c r="I417" i="8" s="1"/>
  <c r="G259" i="8"/>
  <c r="H259" i="8" s="1"/>
  <c r="I259" i="8" s="1"/>
  <c r="G327" i="8"/>
  <c r="H327" i="8" s="1"/>
  <c r="I327" i="8" s="1"/>
  <c r="G1108" i="8"/>
  <c r="H1108" i="8" s="1"/>
  <c r="I1108" i="8" s="1"/>
  <c r="G655" i="8"/>
  <c r="H655" i="8" s="1"/>
  <c r="I655" i="8" s="1"/>
  <c r="G558" i="8"/>
  <c r="H558" i="8" s="1"/>
  <c r="I558" i="8" s="1"/>
  <c r="G512" i="8"/>
  <c r="H512" i="8" s="1"/>
  <c r="I512" i="8" s="1"/>
  <c r="G608" i="8"/>
  <c r="H608" i="8" s="1"/>
  <c r="I608" i="8" s="1"/>
  <c r="G872" i="8"/>
  <c r="H872" i="8" s="1"/>
  <c r="I872" i="8" s="1"/>
  <c r="G298" i="8"/>
  <c r="H298" i="8" s="1"/>
  <c r="I298" i="8" s="1"/>
  <c r="G507" i="8"/>
  <c r="H507" i="8" s="1"/>
  <c r="I507" i="8" s="1"/>
  <c r="G602" i="8"/>
  <c r="H602" i="8" s="1"/>
  <c r="I602" i="8" s="1"/>
  <c r="G269" i="8"/>
  <c r="H269" i="8" s="1"/>
  <c r="I269" i="8" s="1"/>
  <c r="G392" i="8"/>
  <c r="H392" i="8" s="1"/>
  <c r="I392" i="8" s="1"/>
  <c r="G745" i="8"/>
  <c r="H745" i="8" s="1"/>
  <c r="I745" i="8" s="1"/>
  <c r="G261" i="8"/>
  <c r="H261" i="8" s="1"/>
  <c r="I261" i="8" s="1"/>
  <c r="G893" i="8"/>
  <c r="H893" i="8" s="1"/>
  <c r="I893" i="8" s="1"/>
  <c r="G835" i="8"/>
  <c r="H835" i="8" s="1"/>
  <c r="I835" i="8" s="1"/>
  <c r="G194" i="8"/>
  <c r="H194" i="8" s="1"/>
  <c r="I194" i="8" s="1"/>
  <c r="G851" i="8"/>
  <c r="H851" i="8" s="1"/>
  <c r="I851" i="8" s="1"/>
  <c r="G219" i="8"/>
  <c r="H219" i="8" s="1"/>
  <c r="I219" i="8" s="1"/>
  <c r="G472" i="8"/>
  <c r="H472" i="8" s="1"/>
  <c r="I472" i="8" s="1"/>
  <c r="G906" i="8"/>
  <c r="H906" i="8" s="1"/>
  <c r="I906" i="8" s="1"/>
  <c r="G949" i="8"/>
  <c r="H949" i="8" s="1"/>
  <c r="I949" i="8" s="1"/>
  <c r="G578" i="8"/>
  <c r="H578" i="8" s="1"/>
  <c r="I578" i="8" s="1"/>
  <c r="G1087" i="8"/>
  <c r="H1087" i="8" s="1"/>
  <c r="I1087" i="8" s="1"/>
  <c r="G368" i="8"/>
  <c r="H368" i="8" s="1"/>
  <c r="I368" i="8" s="1"/>
  <c r="G849" i="8"/>
  <c r="H849" i="8" s="1"/>
  <c r="I849" i="8" s="1"/>
  <c r="G834" i="8"/>
  <c r="H834" i="8" s="1"/>
  <c r="I834" i="8" s="1"/>
  <c r="G915" i="8"/>
  <c r="H915" i="8" s="1"/>
  <c r="I915" i="8" s="1"/>
  <c r="G948" i="8"/>
  <c r="H948" i="8" s="1"/>
  <c r="I948" i="8" s="1"/>
  <c r="G354" i="8"/>
  <c r="H354" i="8" s="1"/>
  <c r="I354" i="8" s="1"/>
  <c r="G916" i="8"/>
  <c r="H916" i="8" s="1"/>
  <c r="I916" i="8" s="1"/>
  <c r="G273" i="8"/>
  <c r="H273" i="8" s="1"/>
  <c r="I273" i="8" s="1"/>
  <c r="G661" i="8"/>
  <c r="H661" i="8" s="1"/>
  <c r="I661" i="8" s="1"/>
  <c r="G721" i="8"/>
  <c r="H721" i="8" s="1"/>
  <c r="I721" i="8" s="1"/>
  <c r="G217" i="8"/>
  <c r="H217" i="8" s="1"/>
  <c r="I217" i="8" s="1"/>
  <c r="G250" i="8"/>
  <c r="H250" i="8" s="1"/>
  <c r="I250" i="8" s="1"/>
  <c r="G1006" i="8"/>
  <c r="H1006" i="8" s="1"/>
  <c r="I1006" i="8" s="1"/>
  <c r="G1001" i="8"/>
  <c r="H1001" i="8" s="1"/>
  <c r="I1001" i="8" s="1"/>
  <c r="G624" i="8"/>
  <c r="H624" i="8" s="1"/>
  <c r="I624" i="8" s="1"/>
  <c r="G1060" i="8"/>
  <c r="H1060" i="8" s="1"/>
  <c r="I1060" i="8" s="1"/>
  <c r="G957" i="8"/>
  <c r="H957" i="8" s="1"/>
  <c r="I957" i="8" s="1"/>
  <c r="G823" i="8"/>
  <c r="H823" i="8" s="1"/>
  <c r="I823" i="8" s="1"/>
  <c r="G907" i="8"/>
  <c r="H907" i="8" s="1"/>
  <c r="I907" i="8" s="1"/>
  <c r="G281" i="8"/>
  <c r="H281" i="8" s="1"/>
  <c r="I281" i="8" s="1"/>
  <c r="G1084" i="8"/>
  <c r="H1084" i="8" s="1"/>
  <c r="I1084" i="8" s="1"/>
  <c r="G309" i="8"/>
  <c r="H309" i="8" s="1"/>
  <c r="I309" i="8" s="1"/>
  <c r="G1130" i="8"/>
  <c r="H1130" i="8" s="1"/>
  <c r="I1130" i="8" s="1"/>
  <c r="G519" i="8"/>
  <c r="H519" i="8" s="1"/>
  <c r="I519" i="8" s="1"/>
  <c r="G958" i="8"/>
  <c r="H958" i="8" s="1"/>
  <c r="I958" i="8" s="1"/>
  <c r="G632" i="8"/>
  <c r="H632" i="8" s="1"/>
  <c r="I632" i="8" s="1"/>
  <c r="G712" i="8"/>
  <c r="H712" i="8" s="1"/>
  <c r="I712" i="8" s="1"/>
  <c r="G552" i="8"/>
  <c r="H552" i="8" s="1"/>
  <c r="I552" i="8" s="1"/>
  <c r="G606" i="8"/>
  <c r="H606" i="8" s="1"/>
  <c r="I606" i="8" s="1"/>
  <c r="G626" i="8"/>
  <c r="H626" i="8" s="1"/>
  <c r="I626" i="8" s="1"/>
  <c r="G495" i="8"/>
  <c r="H495" i="8" s="1"/>
  <c r="I495" i="8" s="1"/>
  <c r="G521" i="8"/>
  <c r="H521" i="8" s="1"/>
  <c r="I521" i="8" s="1"/>
  <c r="G814" i="8"/>
  <c r="H814" i="8" s="1"/>
  <c r="I814" i="8" s="1"/>
  <c r="G969" i="8"/>
  <c r="H969" i="8" s="1"/>
  <c r="I969" i="8" s="1"/>
  <c r="G838" i="8"/>
  <c r="H838" i="8" s="1"/>
  <c r="I838" i="8" s="1"/>
  <c r="G539" i="8"/>
  <c r="H539" i="8" s="1"/>
  <c r="I539" i="8" s="1"/>
  <c r="G303" i="8"/>
  <c r="H303" i="8" s="1"/>
  <c r="I303" i="8" s="1"/>
  <c r="G1043" i="8"/>
  <c r="H1043" i="8" s="1"/>
  <c r="I1043" i="8" s="1"/>
  <c r="G528" i="8"/>
  <c r="H528" i="8" s="1"/>
  <c r="I528" i="8" s="1"/>
  <c r="G797" i="8"/>
  <c r="H797" i="8" s="1"/>
  <c r="I797" i="8" s="1"/>
  <c r="G351" i="8"/>
  <c r="H351" i="8" s="1"/>
  <c r="I351" i="8" s="1"/>
  <c r="G222" i="8"/>
  <c r="H222" i="8" s="1"/>
  <c r="I222" i="8" s="1"/>
  <c r="G716" i="8"/>
  <c r="H716" i="8" s="1"/>
  <c r="I716" i="8" s="1"/>
  <c r="G534" i="8"/>
  <c r="H534" i="8" s="1"/>
  <c r="I534" i="8" s="1"/>
  <c r="G466" i="8"/>
  <c r="H466" i="8" s="1"/>
  <c r="I466" i="8" s="1"/>
  <c r="G730" i="8"/>
  <c r="H730" i="8" s="1"/>
  <c r="I730" i="8" s="1"/>
  <c r="G520" i="8"/>
  <c r="H520" i="8" s="1"/>
  <c r="I520" i="8" s="1"/>
  <c r="G530" i="8"/>
  <c r="H530" i="8" s="1"/>
  <c r="I530" i="8" s="1"/>
  <c r="G276" i="8"/>
  <c r="H276" i="8" s="1"/>
  <c r="I276" i="8" s="1"/>
  <c r="G581" i="8"/>
  <c r="H581" i="8" s="1"/>
  <c r="I581" i="8" s="1"/>
  <c r="G967" i="8"/>
  <c r="H967" i="8" s="1"/>
  <c r="I967" i="8" s="1"/>
  <c r="G485" i="8"/>
  <c r="H485" i="8" s="1"/>
  <c r="I485" i="8" s="1"/>
  <c r="G706" i="8"/>
  <c r="H706" i="8" s="1"/>
  <c r="I706" i="8" s="1"/>
  <c r="G328" i="8"/>
  <c r="H328" i="8" s="1"/>
  <c r="I328" i="8" s="1"/>
  <c r="G1122" i="8"/>
  <c r="H1122" i="8" s="1"/>
  <c r="I1122" i="8" s="1"/>
  <c r="G648" i="8"/>
  <c r="H648" i="8" s="1"/>
  <c r="I648" i="8" s="1"/>
  <c r="G423" i="8"/>
  <c r="H423" i="8" s="1"/>
  <c r="I423" i="8" s="1"/>
  <c r="G442" i="8"/>
  <c r="H442" i="8" s="1"/>
  <c r="I442" i="8" s="1"/>
  <c r="G186" i="8"/>
  <c r="H186" i="8" s="1"/>
  <c r="I186" i="8" s="1"/>
  <c r="G1062" i="8"/>
  <c r="H1062" i="8" s="1"/>
  <c r="I1062" i="8" s="1"/>
  <c r="G736" i="8"/>
  <c r="H736" i="8" s="1"/>
  <c r="I736" i="8" s="1"/>
  <c r="G839" i="8"/>
  <c r="H839" i="8" s="1"/>
  <c r="I839" i="8" s="1"/>
  <c r="G476" i="8"/>
  <c r="H476" i="8" s="1"/>
  <c r="I476" i="8" s="1"/>
  <c r="G308" i="8"/>
  <c r="H308" i="8" s="1"/>
  <c r="I308" i="8" s="1"/>
  <c r="G256" i="8"/>
  <c r="H256" i="8" s="1"/>
  <c r="I256" i="8" s="1"/>
  <c r="G821" i="8"/>
  <c r="H821" i="8" s="1"/>
  <c r="I821" i="8" s="1"/>
  <c r="G710" i="8"/>
  <c r="H710" i="8" s="1"/>
  <c r="I710" i="8" s="1"/>
  <c r="G793" i="8"/>
  <c r="H793" i="8" s="1"/>
  <c r="I793" i="8" s="1"/>
  <c r="G191" i="8"/>
  <c r="H191" i="8" s="1"/>
  <c r="I191" i="8" s="1"/>
  <c r="G1021" i="8"/>
  <c r="H1021" i="8" s="1"/>
  <c r="I1021" i="8" s="1"/>
  <c r="G739" i="8"/>
  <c r="H739" i="8" s="1"/>
  <c r="I739" i="8" s="1"/>
  <c r="G947" i="8"/>
  <c r="H947" i="8" s="1"/>
  <c r="I947" i="8" s="1"/>
  <c r="G431" i="8"/>
  <c r="H431" i="8" s="1"/>
  <c r="I431" i="8" s="1"/>
  <c r="G1159" i="8"/>
  <c r="H1159" i="8" s="1"/>
  <c r="I1159" i="8" s="1"/>
  <c r="G634" i="8"/>
  <c r="H634" i="8" s="1"/>
  <c r="I634" i="8" s="1"/>
  <c r="G633" i="8"/>
  <c r="H633" i="8" s="1"/>
  <c r="I633" i="8" s="1"/>
  <c r="G1110" i="8"/>
  <c r="H1110" i="8" s="1"/>
  <c r="I1110" i="8" s="1"/>
  <c r="G685" i="8"/>
  <c r="H685" i="8" s="1"/>
  <c r="I685" i="8" s="1"/>
  <c r="G647" i="8"/>
  <c r="H647" i="8" s="1"/>
  <c r="I647" i="8" s="1"/>
  <c r="G684" i="8"/>
  <c r="H684" i="8" s="1"/>
  <c r="I684" i="8" s="1"/>
  <c r="G572" i="8"/>
  <c r="H572" i="8" s="1"/>
  <c r="I572" i="8" s="1"/>
  <c r="G1139" i="8"/>
  <c r="H1139" i="8" s="1"/>
  <c r="I1139" i="8" s="1"/>
  <c r="G755" i="8"/>
  <c r="H755" i="8" s="1"/>
  <c r="I755" i="8" s="1"/>
  <c r="G961" i="8"/>
  <c r="H961" i="8" s="1"/>
  <c r="I961" i="8" s="1"/>
  <c r="G1161" i="8"/>
  <c r="H1161" i="8" s="1"/>
  <c r="I1161" i="8" s="1"/>
  <c r="G669" i="8"/>
  <c r="H669" i="8" s="1"/>
  <c r="I669" i="8" s="1"/>
  <c r="G929" i="8"/>
  <c r="H929" i="8" s="1"/>
  <c r="I929" i="8" s="1"/>
  <c r="G265" i="8"/>
  <c r="H265" i="8" s="1"/>
  <c r="I265" i="8" s="1"/>
  <c r="G1040" i="8"/>
  <c r="H1040" i="8" s="1"/>
  <c r="I1040" i="8" s="1"/>
  <c r="G1063" i="8"/>
  <c r="H1063" i="8" s="1"/>
  <c r="I1063" i="8" s="1"/>
  <c r="G363" i="8"/>
  <c r="H363" i="8" s="1"/>
  <c r="I363" i="8" s="1"/>
  <c r="G675" i="8"/>
  <c r="H675" i="8" s="1"/>
  <c r="I675" i="8" s="1"/>
  <c r="G799" i="8"/>
  <c r="H799" i="8" s="1"/>
  <c r="I799" i="8" s="1"/>
  <c r="G601" i="8"/>
  <c r="H601" i="8" s="1"/>
  <c r="I601" i="8" s="1"/>
  <c r="G356" i="8"/>
  <c r="H356" i="8" s="1"/>
  <c r="I356" i="8" s="1"/>
  <c r="G374" i="8"/>
  <c r="H374" i="8" s="1"/>
  <c r="I374" i="8" s="1"/>
  <c r="G677" i="8"/>
  <c r="H677" i="8" s="1"/>
  <c r="I677" i="8" s="1"/>
  <c r="G402" i="8"/>
  <c r="H402" i="8" s="1"/>
  <c r="I402" i="8" s="1"/>
  <c r="G1164" i="8"/>
  <c r="H1164" i="8" s="1"/>
  <c r="I1164" i="8" s="1"/>
  <c r="G498" i="8"/>
  <c r="H498" i="8" s="1"/>
  <c r="I498" i="8" s="1"/>
  <c r="G696" i="8"/>
  <c r="H696" i="8" s="1"/>
  <c r="I696" i="8" s="1"/>
  <c r="G486" i="8"/>
  <c r="H486" i="8" s="1"/>
  <c r="I486" i="8" s="1"/>
  <c r="G1042" i="8"/>
  <c r="H1042" i="8" s="1"/>
  <c r="I1042" i="8" s="1"/>
  <c r="G1131" i="8"/>
  <c r="H1131" i="8" s="1"/>
  <c r="I1131" i="8" s="1"/>
  <c r="G488" i="8"/>
  <c r="H488" i="8" s="1"/>
  <c r="I488" i="8" s="1"/>
  <c r="G396" i="8"/>
  <c r="H396" i="8" s="1"/>
  <c r="I396" i="8" s="1"/>
  <c r="G1098" i="8"/>
  <c r="H1098" i="8" s="1"/>
  <c r="I1098" i="8" s="1"/>
  <c r="G1083" i="8"/>
  <c r="H1083" i="8" s="1"/>
  <c r="I1083" i="8" s="1"/>
  <c r="G942" i="8"/>
  <c r="H942" i="8" s="1"/>
  <c r="I942" i="8" s="1"/>
  <c r="G697" i="8"/>
  <c r="H697" i="8" s="1"/>
  <c r="I697" i="8" s="1"/>
  <c r="G473" i="8"/>
  <c r="H473" i="8" s="1"/>
  <c r="I473" i="8" s="1"/>
  <c r="G523" i="8"/>
  <c r="H523" i="8" s="1"/>
  <c r="I523" i="8" s="1"/>
  <c r="G574" i="8"/>
  <c r="H574" i="8" s="1"/>
  <c r="I574" i="8" s="1"/>
  <c r="G254" i="8"/>
  <c r="H254" i="8" s="1"/>
  <c r="I254" i="8" s="1"/>
  <c r="G1086" i="8"/>
  <c r="H1086" i="8" s="1"/>
  <c r="I1086" i="8" s="1"/>
  <c r="G424" i="8"/>
  <c r="H424" i="8" s="1"/>
  <c r="I424" i="8" s="1"/>
  <c r="G959" i="8"/>
  <c r="H959" i="8" s="1"/>
  <c r="I959" i="8" s="1"/>
  <c r="G275" i="8"/>
  <c r="H275" i="8" s="1"/>
  <c r="I275" i="8" s="1"/>
  <c r="G717" i="8"/>
  <c r="H717" i="8" s="1"/>
  <c r="I717" i="8" s="1"/>
  <c r="G616" i="8"/>
  <c r="H616" i="8" s="1"/>
  <c r="I616" i="8" s="1"/>
  <c r="G645" i="8"/>
  <c r="H645" i="8" s="1"/>
  <c r="I645" i="8" s="1"/>
  <c r="G571" i="8"/>
  <c r="H571" i="8" s="1"/>
  <c r="I571" i="8" s="1"/>
  <c r="G461" i="8"/>
  <c r="H461" i="8" s="1"/>
  <c r="I461" i="8" s="1"/>
  <c r="G1049" i="8"/>
  <c r="H1049" i="8" s="1"/>
  <c r="I1049" i="8" s="1"/>
  <c r="G1169" i="8"/>
  <c r="H1169" i="8" s="1"/>
  <c r="I1169" i="8" s="1"/>
  <c r="G756" i="8"/>
  <c r="H756" i="8" s="1"/>
  <c r="I756" i="8" s="1"/>
  <c r="G1073" i="8"/>
  <c r="H1073" i="8" s="1"/>
  <c r="I1073" i="8" s="1"/>
  <c r="G1047" i="8"/>
  <c r="H1047" i="8" s="1"/>
  <c r="I1047" i="8" s="1"/>
  <c r="G1054" i="8"/>
  <c r="H1054" i="8" s="1"/>
  <c r="I1054" i="8" s="1"/>
  <c r="G752" i="8"/>
  <c r="H752" i="8" s="1"/>
  <c r="I752" i="8" s="1"/>
  <c r="G715" i="8"/>
  <c r="H715" i="8" s="1"/>
  <c r="I715" i="8" s="1"/>
  <c r="G228" i="8"/>
  <c r="H228" i="8" s="1"/>
  <c r="I228" i="8" s="1"/>
  <c r="G329" i="8"/>
  <c r="H329" i="8" s="1"/>
  <c r="I329" i="8" s="1"/>
  <c r="G291" i="8"/>
  <c r="H291" i="8" s="1"/>
  <c r="I291" i="8" s="1"/>
  <c r="G563" i="8"/>
  <c r="H563" i="8" s="1"/>
  <c r="I563" i="8" s="1"/>
  <c r="G848" i="8"/>
  <c r="H848" i="8" s="1"/>
  <c r="I848" i="8" s="1"/>
  <c r="G725" i="8"/>
  <c r="H725" i="8" s="1"/>
  <c r="I725" i="8" s="1"/>
  <c r="G567" i="8"/>
  <c r="H567" i="8" s="1"/>
  <c r="I567" i="8" s="1"/>
  <c r="G441" i="8"/>
  <c r="H441" i="8" s="1"/>
  <c r="I441" i="8" s="1"/>
  <c r="G691" i="8"/>
  <c r="H691" i="8" s="1"/>
  <c r="I691" i="8" s="1"/>
  <c r="G428" i="8"/>
  <c r="H428" i="8" s="1"/>
  <c r="I428" i="8" s="1"/>
  <c r="G1097" i="8"/>
  <c r="H1097" i="8" s="1"/>
  <c r="I1097" i="8" s="1"/>
  <c r="G390" i="8"/>
  <c r="H390" i="8" s="1"/>
  <c r="I390" i="8" s="1"/>
  <c r="G597" i="8"/>
  <c r="H597" i="8" s="1"/>
  <c r="I597" i="8" s="1"/>
  <c r="G559" i="8"/>
  <c r="H559" i="8" s="1"/>
  <c r="I559" i="8" s="1"/>
  <c r="G1010" i="8"/>
  <c r="H1010" i="8" s="1"/>
  <c r="I1010" i="8" s="1"/>
  <c r="G966" i="8"/>
  <c r="H966" i="8" s="1"/>
  <c r="I966" i="8" s="1"/>
  <c r="G955" i="8"/>
  <c r="H955" i="8" s="1"/>
  <c r="I955" i="8" s="1"/>
  <c r="G508" i="8"/>
  <c r="H508" i="8" s="1"/>
  <c r="I508" i="8" s="1"/>
  <c r="G1077" i="8"/>
  <c r="H1077" i="8" s="1"/>
  <c r="I1077" i="8" s="1"/>
  <c r="G926" i="8"/>
  <c r="H926" i="8" s="1"/>
  <c r="I926" i="8" s="1"/>
  <c r="G1033" i="8"/>
  <c r="H1033" i="8" s="1"/>
  <c r="I1033" i="8" s="1"/>
  <c r="G331" i="8"/>
  <c r="H331" i="8" s="1"/>
  <c r="I331" i="8" s="1"/>
  <c r="G972" i="8"/>
  <c r="H972" i="8" s="1"/>
  <c r="I972" i="8" s="1"/>
  <c r="G773" i="8"/>
  <c r="H773" i="8" s="1"/>
  <c r="I773" i="8" s="1"/>
  <c r="G233" i="8"/>
  <c r="H233" i="8" s="1"/>
  <c r="I233" i="8" s="1"/>
  <c r="G970" i="8"/>
  <c r="H970" i="8" s="1"/>
  <c r="I970" i="8" s="1"/>
  <c r="G690" i="8"/>
  <c r="H690" i="8" s="1"/>
  <c r="I690" i="8" s="1"/>
  <c r="G243" i="8"/>
  <c r="H243" i="8" s="1"/>
  <c r="I243" i="8" s="1"/>
  <c r="G323" i="8"/>
  <c r="H323" i="8" s="1"/>
  <c r="I323" i="8" s="1"/>
  <c r="G314" i="8"/>
  <c r="H314" i="8" s="1"/>
  <c r="I314" i="8" s="1"/>
  <c r="G1076" i="8"/>
  <c r="H1076" i="8" s="1"/>
  <c r="I1076" i="8" s="1"/>
  <c r="G383" i="8"/>
  <c r="H383" i="8" s="1"/>
  <c r="I383" i="8" s="1"/>
  <c r="G190" i="8"/>
  <c r="H190" i="8" s="1"/>
  <c r="I190" i="8" s="1"/>
  <c r="G200" i="8"/>
  <c r="H200" i="8" s="1"/>
  <c r="I200" i="8" s="1"/>
  <c r="G446" i="8"/>
  <c r="H446" i="8" s="1"/>
  <c r="I446" i="8" s="1"/>
  <c r="G963" i="8"/>
  <c r="H963" i="8" s="1"/>
  <c r="I963" i="8" s="1"/>
  <c r="G988" i="8"/>
  <c r="H988" i="8" s="1"/>
  <c r="I988" i="8" s="1"/>
  <c r="G1044" i="8"/>
  <c r="H1044" i="8" s="1"/>
  <c r="I1044" i="8" s="1"/>
  <c r="G623" i="8"/>
  <c r="H623" i="8" s="1"/>
  <c r="I623" i="8" s="1"/>
  <c r="G604" i="8"/>
  <c r="H604" i="8" s="1"/>
  <c r="I604" i="8" s="1"/>
  <c r="G943" i="8"/>
  <c r="H943" i="8" s="1"/>
  <c r="I943" i="8" s="1"/>
  <c r="G257" i="8"/>
  <c r="H257" i="8" s="1"/>
  <c r="I257" i="8" s="1"/>
  <c r="G619" i="8"/>
  <c r="H619" i="8" s="1"/>
  <c r="I619" i="8" s="1"/>
  <c r="G994" i="8"/>
  <c r="H994" i="8" s="1"/>
  <c r="I994" i="8" s="1"/>
  <c r="G266" i="8"/>
  <c r="H266" i="8" s="1"/>
  <c r="I266" i="8" s="1"/>
  <c r="G802" i="8"/>
  <c r="H802" i="8" s="1"/>
  <c r="I802" i="8" s="1"/>
  <c r="G1058" i="8"/>
  <c r="H1058" i="8" s="1"/>
  <c r="I1058" i="8" s="1"/>
  <c r="G214" i="8"/>
  <c r="H214" i="8" s="1"/>
  <c r="I214" i="8" s="1"/>
  <c r="G415" i="8"/>
  <c r="H415" i="8" s="1"/>
  <c r="I415" i="8" s="1"/>
  <c r="G713" i="8"/>
  <c r="H713" i="8" s="1"/>
  <c r="I713" i="8" s="1"/>
  <c r="G549" i="8"/>
  <c r="H549" i="8" s="1"/>
  <c r="I549" i="8" s="1"/>
  <c r="G1031" i="8"/>
  <c r="H1031" i="8" s="1"/>
  <c r="I1031" i="8" s="1"/>
  <c r="G583" i="8"/>
  <c r="H583" i="8" s="1"/>
  <c r="I583" i="8" s="1"/>
  <c r="G365" i="8"/>
  <c r="H365" i="8" s="1"/>
  <c r="I365" i="8" s="1"/>
  <c r="G925" i="8"/>
  <c r="H925" i="8" s="1"/>
  <c r="I925" i="8" s="1"/>
  <c r="G443" i="8"/>
  <c r="H443" i="8" s="1"/>
  <c r="I443" i="8" s="1"/>
  <c r="G630" i="8"/>
  <c r="H630" i="8" s="1"/>
  <c r="I630" i="8" s="1"/>
  <c r="G478" i="8"/>
  <c r="H478" i="8" s="1"/>
  <c r="I478" i="8" s="1"/>
  <c r="G1115" i="8"/>
  <c r="H1115" i="8" s="1"/>
  <c r="I1115" i="8" s="1"/>
  <c r="G412" i="8"/>
  <c r="H412" i="8" s="1"/>
  <c r="I412" i="8" s="1"/>
  <c r="G912" i="8"/>
  <c r="H912" i="8" s="1"/>
  <c r="I912" i="8" s="1"/>
  <c r="G429" i="8"/>
  <c r="H429" i="8" s="1"/>
  <c r="I429" i="8" s="1"/>
  <c r="G533" i="8"/>
  <c r="H533" i="8" s="1"/>
  <c r="I533" i="8" s="1"/>
  <c r="G192" i="8"/>
  <c r="H192" i="8" s="1"/>
  <c r="I192" i="8" s="1"/>
  <c r="G742" i="8"/>
  <c r="H742" i="8" s="1"/>
  <c r="I742" i="8" s="1"/>
  <c r="G1120" i="8"/>
  <c r="H1120" i="8" s="1"/>
  <c r="I1120" i="8" s="1"/>
  <c r="G905" i="8"/>
  <c r="H905" i="8" s="1"/>
  <c r="I905" i="8" s="1"/>
  <c r="G734" i="8"/>
  <c r="H734" i="8" s="1"/>
  <c r="I734" i="8" s="1"/>
  <c r="G346" i="8"/>
  <c r="H346" i="8" s="1"/>
  <c r="I346" i="8" s="1"/>
  <c r="G826" i="8"/>
  <c r="H826" i="8" s="1"/>
  <c r="I826" i="8" s="1"/>
  <c r="G640" i="8"/>
  <c r="H640" i="8" s="1"/>
  <c r="I640" i="8" s="1"/>
  <c r="G860" i="8"/>
  <c r="H860" i="8" s="1"/>
  <c r="I860" i="8" s="1"/>
  <c r="G391" i="8"/>
  <c r="H391" i="8" s="1"/>
  <c r="I391" i="8" s="1"/>
  <c r="G940" i="8"/>
  <c r="H940" i="8" s="1"/>
  <c r="I940" i="8" s="1"/>
  <c r="G659" i="8"/>
  <c r="H659" i="8" s="1"/>
  <c r="I659" i="8" s="1"/>
  <c r="G493" i="8"/>
  <c r="H493" i="8" s="1"/>
  <c r="I493" i="8" s="1"/>
  <c r="G326" i="8"/>
  <c r="H326" i="8" s="1"/>
  <c r="I326" i="8" s="1"/>
  <c r="G550" i="8"/>
  <c r="H550" i="8" s="1"/>
  <c r="I550" i="8" s="1"/>
  <c r="G296" i="8"/>
  <c r="H296" i="8" s="1"/>
  <c r="I296" i="8" s="1"/>
  <c r="G339" i="8"/>
  <c r="H339" i="8" s="1"/>
  <c r="I339" i="8" s="1"/>
  <c r="G277" i="8"/>
  <c r="H277" i="8" s="1"/>
  <c r="I277" i="8" s="1"/>
  <c r="G290" i="8"/>
  <c r="H290" i="8" s="1"/>
  <c r="I290" i="8" s="1"/>
  <c r="G367" i="8"/>
  <c r="H367" i="8" s="1"/>
  <c r="I367" i="8" s="1"/>
  <c r="G268" i="8"/>
  <c r="H268" i="8" s="1"/>
  <c r="I268" i="8" s="1"/>
  <c r="G537" i="8"/>
  <c r="H537" i="8" s="1"/>
  <c r="I537" i="8" s="1"/>
  <c r="G218" i="8"/>
  <c r="H218" i="8" s="1"/>
  <c r="I218" i="8" s="1"/>
  <c r="G854" i="8"/>
  <c r="H854" i="8" s="1"/>
  <c r="I854" i="8" s="1"/>
  <c r="G787" i="8"/>
  <c r="H787" i="8" s="1"/>
  <c r="I787" i="8" s="1"/>
  <c r="G242" i="8"/>
  <c r="H242" i="8" s="1"/>
  <c r="I242" i="8" s="1"/>
  <c r="G467" i="8"/>
  <c r="H467" i="8" s="1"/>
  <c r="I467" i="8" s="1"/>
  <c r="G573" i="8"/>
  <c r="H573" i="8" s="1"/>
  <c r="I573" i="8" s="1"/>
  <c r="G355" i="8"/>
  <c r="H355" i="8" s="1"/>
  <c r="I355" i="8" s="1"/>
  <c r="G584" i="8"/>
  <c r="H584" i="8" s="1"/>
  <c r="I584" i="8" s="1"/>
  <c r="G474" i="8"/>
  <c r="H474" i="8" s="1"/>
  <c r="I474" i="8" s="1"/>
  <c r="G924" i="8"/>
  <c r="H924" i="8" s="1"/>
  <c r="I924" i="8" s="1"/>
  <c r="G818" i="8"/>
  <c r="H818" i="8" s="1"/>
  <c r="I818" i="8" s="1"/>
  <c r="G255" i="8"/>
  <c r="H255" i="8" s="1"/>
  <c r="I255" i="8" s="1"/>
  <c r="G198" i="8"/>
  <c r="H198" i="8" s="1"/>
  <c r="I198" i="8" s="1"/>
  <c r="G991" i="8"/>
  <c r="H991" i="8" s="1"/>
  <c r="I991" i="8" s="1"/>
  <c r="G1116" i="8"/>
  <c r="H1116" i="8" s="1"/>
  <c r="I1116" i="8" s="1"/>
  <c r="G373" i="8"/>
  <c r="H373" i="8" s="1"/>
  <c r="I373" i="8" s="1"/>
  <c r="G976" i="8"/>
  <c r="H976" i="8" s="1"/>
  <c r="I976" i="8" s="1"/>
  <c r="G801" i="8"/>
  <c r="H801" i="8" s="1"/>
  <c r="I801" i="8" s="1"/>
  <c r="G664" i="8"/>
  <c r="H664" i="8" s="1"/>
  <c r="I664" i="8" s="1"/>
  <c r="G639" i="8"/>
  <c r="H639" i="8" s="1"/>
  <c r="I639" i="8" s="1"/>
  <c r="G881" i="8"/>
  <c r="H881" i="8" s="1"/>
  <c r="I881" i="8" s="1"/>
  <c r="G1048" i="8"/>
  <c r="H1048" i="8" s="1"/>
  <c r="I1048" i="8" s="1"/>
  <c r="G662" i="8"/>
  <c r="H662" i="8" s="1"/>
  <c r="I662" i="8" s="1"/>
  <c r="G832" i="8"/>
  <c r="H832" i="8" s="1"/>
  <c r="I832" i="8" s="1"/>
  <c r="G816" i="8"/>
  <c r="H816" i="8" s="1"/>
  <c r="I816" i="8" s="1"/>
  <c r="G349" i="8"/>
  <c r="H349" i="8" s="1"/>
  <c r="I349" i="8" s="1"/>
  <c r="G1080" i="8"/>
  <c r="H1080" i="8" s="1"/>
  <c r="I1080" i="8" s="1"/>
  <c r="G471" i="8"/>
  <c r="H471" i="8" s="1"/>
  <c r="I471" i="8" s="1"/>
  <c r="G628" i="8"/>
  <c r="H628" i="8" s="1"/>
  <c r="I628" i="8" s="1"/>
  <c r="G657" i="8"/>
  <c r="H657" i="8" s="1"/>
  <c r="I657" i="8" s="1"/>
  <c r="G1105" i="8"/>
  <c r="H1105" i="8" s="1"/>
  <c r="I1105" i="8" s="1"/>
  <c r="G288" i="8"/>
  <c r="H288" i="8" s="1"/>
  <c r="I288" i="8" s="1"/>
  <c r="G452" i="8"/>
  <c r="H452" i="8" s="1"/>
  <c r="I452" i="8" s="1"/>
  <c r="G341" i="8"/>
  <c r="H341" i="8" s="1"/>
  <c r="I341" i="8" s="1"/>
  <c r="G582" i="8"/>
  <c r="H582" i="8" s="1"/>
  <c r="I582" i="8" s="1"/>
  <c r="G347" i="8"/>
  <c r="H347" i="8" s="1"/>
  <c r="I347" i="8" s="1"/>
  <c r="G529" i="8"/>
  <c r="H529" i="8" s="1"/>
  <c r="I529" i="8" s="1"/>
  <c r="G398" i="8"/>
  <c r="H398" i="8" s="1"/>
  <c r="I398" i="8" s="1"/>
  <c r="G545" i="8"/>
  <c r="H545" i="8" s="1"/>
  <c r="I545" i="8" s="1"/>
  <c r="G279" i="8"/>
  <c r="H279" i="8" s="1"/>
  <c r="I279" i="8" s="1"/>
  <c r="G1056" i="8"/>
  <c r="H1056" i="8" s="1"/>
  <c r="I1056" i="8" s="1"/>
  <c r="G451" i="8"/>
  <c r="H451" i="8" s="1"/>
  <c r="I451" i="8" s="1"/>
  <c r="G319" i="8"/>
  <c r="H319" i="8" s="1"/>
  <c r="I319" i="8" s="1"/>
  <c r="G1157" i="8"/>
  <c r="H1157" i="8" s="1"/>
  <c r="I1157" i="8" s="1"/>
  <c r="G459" i="8"/>
  <c r="H459" i="8" s="1"/>
  <c r="I459" i="8" s="1"/>
  <c r="G783" i="8"/>
  <c r="H783" i="8" s="1"/>
  <c r="I783" i="8" s="1"/>
  <c r="G1106" i="8"/>
  <c r="H1106" i="8" s="1"/>
  <c r="I1106" i="8" s="1"/>
  <c r="G330" i="8"/>
  <c r="H330" i="8" s="1"/>
  <c r="I330" i="8" s="1"/>
  <c r="G846" i="8"/>
  <c r="H846" i="8" s="1"/>
  <c r="I846" i="8" s="1"/>
  <c r="G1170" i="8"/>
  <c r="H1170" i="8" s="1"/>
  <c r="I1170" i="8" s="1"/>
  <c r="G1096" i="8"/>
  <c r="H1096" i="8" s="1"/>
  <c r="I1096" i="8" s="1"/>
  <c r="G646" i="8"/>
  <c r="H646" i="8" s="1"/>
  <c r="I646" i="8" s="1"/>
  <c r="G264" i="8"/>
  <c r="H264" i="8" s="1"/>
  <c r="I264" i="8" s="1"/>
  <c r="G729" i="8"/>
  <c r="H729" i="8" s="1"/>
  <c r="I729" i="8" s="1"/>
  <c r="G859" i="8"/>
  <c r="H859" i="8" s="1"/>
  <c r="I859" i="8" s="1"/>
  <c r="G856" i="8"/>
  <c r="H856" i="8" s="1"/>
  <c r="I856" i="8" s="1"/>
  <c r="G617" i="8"/>
  <c r="H617" i="8" s="1"/>
  <c r="I617" i="8" s="1"/>
  <c r="G531" i="8"/>
  <c r="H531" i="8" s="1"/>
  <c r="I531" i="8" s="1"/>
  <c r="G453" i="8"/>
  <c r="H453" i="8" s="1"/>
  <c r="I453" i="8" s="1"/>
  <c r="G244" i="8"/>
  <c r="H244" i="8" s="1"/>
  <c r="I244" i="8" s="1"/>
  <c r="G438" i="8"/>
  <c r="H438" i="8" s="1"/>
  <c r="I438" i="8" s="1"/>
  <c r="G377" i="8"/>
  <c r="H377" i="8" s="1"/>
  <c r="I377" i="8" s="1"/>
  <c r="G426" i="8"/>
  <c r="H426" i="8" s="1"/>
  <c r="I426" i="8" s="1"/>
  <c r="G887" i="8"/>
  <c r="H887" i="8" s="1"/>
  <c r="I887" i="8" s="1"/>
  <c r="G180" i="8"/>
  <c r="H180" i="8" s="1"/>
  <c r="G936" i="8"/>
  <c r="H936" i="8" s="1"/>
  <c r="I936" i="8" s="1"/>
  <c r="G221" i="8"/>
  <c r="H221" i="8" s="1"/>
  <c r="I221" i="8" s="1"/>
  <c r="G184" i="8"/>
  <c r="H184" i="8" s="1"/>
  <c r="I184" i="8" s="1"/>
  <c r="G483" i="8"/>
  <c r="H483" i="8" s="1"/>
  <c r="I483" i="8" s="1"/>
  <c r="G1136" i="8"/>
  <c r="H1136" i="8" s="1"/>
  <c r="I1136" i="8" s="1"/>
  <c r="G869" i="8"/>
  <c r="H869" i="8" s="1"/>
  <c r="I869" i="8" s="1"/>
  <c r="G332" i="8"/>
  <c r="H332" i="8" s="1"/>
  <c r="I332" i="8" s="1"/>
  <c r="G937" i="8"/>
  <c r="H937" i="8" s="1"/>
  <c r="I937" i="8" s="1"/>
  <c r="G215" i="8"/>
  <c r="H215" i="8" s="1"/>
  <c r="I215" i="8" s="1"/>
  <c r="G548" i="8"/>
  <c r="H548" i="8" s="1"/>
  <c r="I548" i="8" s="1"/>
  <c r="G419" i="8"/>
  <c r="H419" i="8" s="1"/>
  <c r="I419" i="8" s="1"/>
  <c r="G993" i="8"/>
  <c r="H993" i="8" s="1"/>
  <c r="I993" i="8" s="1"/>
  <c r="G310" i="8"/>
  <c r="H310" i="8" s="1"/>
  <c r="I310" i="8" s="1"/>
  <c r="G889" i="8"/>
  <c r="H889" i="8" s="1"/>
  <c r="I889" i="8" s="1"/>
  <c r="G707" i="8"/>
  <c r="H707" i="8" s="1"/>
  <c r="I707" i="8" s="1"/>
  <c r="G465" i="8"/>
  <c r="H465" i="8" s="1"/>
  <c r="I465" i="8" s="1"/>
  <c r="G187" i="8"/>
  <c r="H187" i="8" s="1"/>
  <c r="I187" i="8" s="1"/>
  <c r="G1046" i="8"/>
  <c r="H1046" i="8" s="1"/>
  <c r="I1046" i="8" s="1"/>
  <c r="G845" i="8"/>
  <c r="H845" i="8" s="1"/>
  <c r="I845" i="8" s="1"/>
  <c r="G1072" i="8"/>
  <c r="H1072" i="8" s="1"/>
  <c r="I1072" i="8" s="1"/>
  <c r="G470" i="8"/>
  <c r="H470" i="8" s="1"/>
  <c r="I470" i="8" s="1"/>
  <c r="G986" i="8"/>
  <c r="H986" i="8" s="1"/>
  <c r="I986" i="8" s="1"/>
  <c r="G855" i="8"/>
  <c r="H855" i="8" s="1"/>
  <c r="I855" i="8" s="1"/>
  <c r="G1061" i="8"/>
  <c r="H1061" i="8" s="1"/>
  <c r="I1061" i="8" s="1"/>
  <c r="G611" i="8"/>
  <c r="H611" i="8" s="1"/>
  <c r="I611" i="8" s="1"/>
  <c r="G699" i="8"/>
  <c r="H699" i="8" s="1"/>
  <c r="I699" i="8" s="1"/>
  <c r="G517" i="8"/>
  <c r="H517" i="8" s="1"/>
  <c r="I517" i="8" s="1"/>
  <c r="G913" i="8"/>
  <c r="H913" i="8" s="1"/>
  <c r="I913" i="8" s="1"/>
  <c r="G561" i="8"/>
  <c r="H561" i="8" s="1"/>
  <c r="I561" i="8" s="1"/>
  <c r="G506" i="8"/>
  <c r="H506" i="8" s="1"/>
  <c r="I506" i="8" s="1"/>
  <c r="G1066" i="8"/>
  <c r="H1066" i="8" s="1"/>
  <c r="I1066" i="8" s="1"/>
  <c r="G1055" i="8"/>
  <c r="H1055" i="8" s="1"/>
  <c r="I1055" i="8" s="1"/>
  <c r="G1091" i="8"/>
  <c r="H1091" i="8" s="1"/>
  <c r="I1091" i="8" s="1"/>
  <c r="G932" i="8"/>
  <c r="H932" i="8" s="1"/>
  <c r="I932" i="8" s="1"/>
  <c r="G241" i="8"/>
  <c r="H241" i="8" s="1"/>
  <c r="I241" i="8" s="1"/>
  <c r="G720" i="8"/>
  <c r="H720" i="8" s="1"/>
  <c r="I720" i="8" s="1"/>
  <c r="G813" i="8"/>
  <c r="H813" i="8" s="1"/>
  <c r="I813" i="8" s="1"/>
  <c r="G668" i="8"/>
  <c r="H668" i="8" s="1"/>
  <c r="I668" i="8" s="1"/>
  <c r="G427" i="8"/>
  <c r="H427" i="8" s="1"/>
  <c r="I427" i="8" s="1"/>
  <c r="G1102" i="8"/>
  <c r="H1102" i="8" s="1"/>
  <c r="I1102" i="8" s="1"/>
  <c r="G292" i="8"/>
  <c r="H292" i="8" s="1"/>
  <c r="I292" i="8" s="1"/>
  <c r="G638" i="8"/>
  <c r="H638" i="8" s="1"/>
  <c r="I638" i="8" s="1"/>
  <c r="G952" i="8"/>
  <c r="H952" i="8" s="1"/>
  <c r="I952" i="8" s="1"/>
  <c r="G885" i="8"/>
  <c r="H885" i="8" s="1"/>
  <c r="I885" i="8" s="1"/>
  <c r="G911" i="8"/>
  <c r="H911" i="8" s="1"/>
  <c r="I911" i="8" s="1"/>
  <c r="G260" i="8"/>
  <c r="H260" i="8" s="1"/>
  <c r="I260" i="8" s="1"/>
  <c r="G421" i="8"/>
  <c r="H421" i="8" s="1"/>
  <c r="I421" i="8" s="1"/>
  <c r="G1032" i="8"/>
  <c r="H1032" i="8" s="1"/>
  <c r="I1032" i="8" s="1"/>
  <c r="G610" i="8"/>
  <c r="H610" i="8" s="1"/>
  <c r="I610" i="8" s="1"/>
  <c r="G1124" i="8"/>
  <c r="H1124" i="8" s="1"/>
  <c r="I1124" i="8" s="1"/>
  <c r="G238" i="8"/>
  <c r="H238" i="8" s="1"/>
  <c r="I238" i="8" s="1"/>
  <c r="G210" i="8"/>
  <c r="H210" i="8" s="1"/>
  <c r="I210" i="8" s="1"/>
  <c r="G345" i="8"/>
  <c r="H345" i="8" s="1"/>
  <c r="I345" i="8" s="1"/>
  <c r="G701" i="8"/>
  <c r="H701" i="8" s="1"/>
  <c r="I701" i="8" s="1"/>
  <c r="G267" i="8"/>
  <c r="H267" i="8" s="1"/>
  <c r="I267" i="8" s="1"/>
  <c r="G542" i="8"/>
  <c r="H542" i="8" s="1"/>
  <c r="I542" i="8" s="1"/>
  <c r="G692" i="8"/>
  <c r="H692" i="8" s="1"/>
  <c r="I692" i="8" s="1"/>
  <c r="G205" i="8"/>
  <c r="H205" i="8" s="1"/>
  <c r="I205" i="8" s="1"/>
  <c r="G285" i="8"/>
  <c r="H285" i="8" s="1"/>
  <c r="I285" i="8" s="1"/>
  <c r="G316" i="8"/>
  <c r="H316" i="8" s="1"/>
  <c r="I316" i="8" s="1"/>
  <c r="G1114" i="8"/>
  <c r="H1114" i="8" s="1"/>
  <c r="I1114" i="8" s="1"/>
  <c r="G636" i="8"/>
  <c r="H636" i="8" s="1"/>
  <c r="I636" i="8" s="1"/>
  <c r="G1143" i="8"/>
  <c r="H1143" i="8" s="1"/>
  <c r="I1143" i="8" s="1"/>
  <c r="G1128" i="8"/>
  <c r="H1128" i="8" s="1"/>
  <c r="I1128" i="8" s="1"/>
  <c r="G927" i="8"/>
  <c r="H927" i="8" s="1"/>
  <c r="I927" i="8" s="1"/>
  <c r="G960" i="8"/>
  <c r="H960" i="8" s="1"/>
  <c r="I960" i="8" s="1"/>
  <c r="G817" i="8"/>
  <c r="H817" i="8" s="1"/>
  <c r="I817" i="8" s="1"/>
  <c r="G515" i="8"/>
  <c r="H515" i="8" s="1"/>
  <c r="I515" i="8" s="1"/>
  <c r="G433" i="8"/>
  <c r="H433" i="8" s="1"/>
  <c r="I433" i="8" s="1"/>
  <c r="G919" i="8"/>
  <c r="H919" i="8" s="1"/>
  <c r="I919" i="8" s="1"/>
  <c r="G968" i="8"/>
  <c r="H968" i="8" s="1"/>
  <c r="I968" i="8" s="1"/>
  <c r="G974" i="8"/>
  <c r="H974" i="8" s="1"/>
  <c r="I974" i="8" s="1"/>
  <c r="G1037" i="8"/>
  <c r="H1037" i="8" s="1"/>
  <c r="I1037" i="8" s="1"/>
  <c r="G287" i="8"/>
  <c r="H287" i="8" s="1"/>
  <c r="I287" i="8" s="1"/>
  <c r="G202" i="8"/>
  <c r="H202" i="8" s="1"/>
  <c r="I202" i="8" s="1"/>
  <c r="G722" i="8"/>
  <c r="H722" i="8" s="1"/>
  <c r="I722" i="8" s="1"/>
  <c r="G1041" i="8"/>
  <c r="H1041" i="8" s="1"/>
  <c r="I1041" i="8" s="1"/>
  <c r="G733" i="8"/>
  <c r="H733" i="8" s="1"/>
  <c r="I733" i="8" s="1"/>
  <c r="G871" i="8"/>
  <c r="H871" i="8" s="1"/>
  <c r="I871" i="8" s="1"/>
  <c r="G230" i="8"/>
  <c r="H230" i="8" s="1"/>
  <c r="I230" i="8" s="1"/>
  <c r="G236" i="8"/>
  <c r="H236" i="8" s="1"/>
  <c r="I236" i="8" s="1"/>
  <c r="G777" i="8"/>
  <c r="H777" i="8" s="1"/>
  <c r="I777" i="8" s="1"/>
  <c r="G954" i="8"/>
  <c r="H954" i="8" s="1"/>
  <c r="I954" i="8" s="1"/>
  <c r="G590" i="8"/>
  <c r="H590" i="8" s="1"/>
  <c r="I590" i="8" s="1"/>
  <c r="G245" i="8"/>
  <c r="H245" i="8" s="1"/>
  <c r="I245" i="8" s="1"/>
  <c r="G500" i="8"/>
  <c r="H500" i="8" s="1"/>
  <c r="I500" i="8" s="1"/>
  <c r="G1068" i="8"/>
  <c r="H1068" i="8" s="1"/>
  <c r="I1068" i="8" s="1"/>
  <c r="G554" i="8"/>
  <c r="H554" i="8" s="1"/>
  <c r="I554" i="8" s="1"/>
  <c r="G892" i="8"/>
  <c r="H892" i="8" s="1"/>
  <c r="I892" i="8" s="1"/>
  <c r="G568" i="8"/>
  <c r="H568" i="8" s="1"/>
  <c r="I568" i="8" s="1"/>
  <c r="G774" i="8"/>
  <c r="H774" i="8" s="1"/>
  <c r="I774" i="8" s="1"/>
  <c r="G526" i="8"/>
  <c r="H526" i="8" s="1"/>
  <c r="I526" i="8" s="1"/>
  <c r="G806" i="8"/>
  <c r="H806" i="8" s="1"/>
  <c r="I806" i="8" s="1"/>
  <c r="G612" i="8"/>
  <c r="H612" i="8" s="1"/>
  <c r="I612" i="8" s="1"/>
  <c r="G895" i="8"/>
  <c r="H895" i="8" s="1"/>
  <c r="I895" i="8" s="1"/>
  <c r="G918" i="8"/>
  <c r="H918" i="8" s="1"/>
  <c r="I918" i="8" s="1"/>
  <c r="G1005" i="8"/>
  <c r="H1005" i="8" s="1"/>
  <c r="I1005" i="8" s="1"/>
  <c r="G785" i="8"/>
  <c r="H785" i="8" s="1"/>
  <c r="I785" i="8" s="1"/>
  <c r="G686" i="8"/>
  <c r="H686" i="8" s="1"/>
  <c r="I686" i="8" s="1"/>
  <c r="G649" i="8"/>
  <c r="H649" i="8" s="1"/>
  <c r="I649" i="8" s="1"/>
  <c r="G914" i="8"/>
  <c r="H914" i="8" s="1"/>
  <c r="I914" i="8" s="1"/>
  <c r="G901" i="8"/>
  <c r="H901" i="8" s="1"/>
  <c r="I901" i="8" s="1"/>
  <c r="G671" i="8"/>
  <c r="H671" i="8" s="1"/>
  <c r="I671" i="8" s="1"/>
  <c r="G283" i="8"/>
  <c r="H283" i="8" s="1"/>
  <c r="I283" i="8" s="1"/>
  <c r="G547" i="8"/>
  <c r="H547" i="8" s="1"/>
  <c r="I547" i="8" s="1"/>
  <c r="G828" i="8"/>
  <c r="H828" i="8" s="1"/>
  <c r="I828" i="8" s="1"/>
  <c r="G1038" i="8"/>
  <c r="H1038" i="8" s="1"/>
  <c r="I1038" i="8" s="1"/>
  <c r="G301" i="8"/>
  <c r="H301" i="8" s="1"/>
  <c r="I301" i="8" s="1"/>
  <c r="G497" i="8"/>
  <c r="H497" i="8" s="1"/>
  <c r="I497" i="8" s="1"/>
  <c r="G875" i="8"/>
  <c r="H875" i="8" s="1"/>
  <c r="I875" i="8" s="1"/>
  <c r="G587" i="8"/>
  <c r="H587" i="8" s="1"/>
  <c r="I587" i="8" s="1"/>
  <c r="G964" i="8"/>
  <c r="H964" i="8" s="1"/>
  <c r="I964" i="8" s="1"/>
  <c r="G416" i="8"/>
  <c r="H416" i="8" s="1"/>
  <c r="I416" i="8" s="1"/>
  <c r="G778" i="8"/>
  <c r="H778" i="8" s="1"/>
  <c r="I778" i="8" s="1"/>
  <c r="G555" i="8"/>
  <c r="H555" i="8" s="1"/>
  <c r="I555" i="8" s="1"/>
  <c r="G278" i="8"/>
  <c r="H278" i="8" s="1"/>
  <c r="I278" i="8" s="1"/>
  <c r="G376" i="8"/>
  <c r="H376" i="8" s="1"/>
  <c r="I376" i="8" s="1"/>
  <c r="G888" i="8"/>
  <c r="H888" i="8" s="1"/>
  <c r="I888" i="8" s="1"/>
  <c r="G227" i="8"/>
  <c r="H227" i="8" s="1"/>
  <c r="I227" i="8" s="1"/>
  <c r="G409" i="8"/>
  <c r="H409" i="8" s="1"/>
  <c r="I409" i="8" s="1"/>
  <c r="G1103" i="8"/>
  <c r="H1103" i="8" s="1"/>
  <c r="I1103" i="8" s="1"/>
  <c r="G732" i="8"/>
  <c r="H732" i="8" s="1"/>
  <c r="I732" i="8" s="1"/>
  <c r="G1146" i="8"/>
  <c r="H1146" i="8" s="1"/>
  <c r="I1146" i="8" s="1"/>
  <c r="G794" i="8"/>
  <c r="H794" i="8" s="1"/>
  <c r="I794" i="8" s="1"/>
  <c r="G950" i="8"/>
  <c r="H950" i="8" s="1"/>
  <c r="I950" i="8" s="1"/>
  <c r="G908" i="8"/>
  <c r="H908" i="8" s="1"/>
  <c r="I908" i="8" s="1"/>
  <c r="G714" i="8"/>
  <c r="H714" i="8" s="1"/>
  <c r="I714" i="8" s="1"/>
  <c r="G369" i="8"/>
  <c r="H369" i="8" s="1"/>
  <c r="I369" i="8" s="1"/>
  <c r="G1071" i="8"/>
  <c r="H1071" i="8" s="1"/>
  <c r="I1071" i="8" s="1"/>
  <c r="G1053" i="8"/>
  <c r="H1053" i="8" s="1"/>
  <c r="I1053" i="8" s="1"/>
  <c r="G182" i="8"/>
  <c r="H182" i="8" s="1"/>
  <c r="I182" i="8" s="1"/>
  <c r="G842" i="8"/>
  <c r="H842" i="8" s="1"/>
  <c r="I842" i="8" s="1"/>
  <c r="G575" i="8"/>
  <c r="H575" i="8" s="1"/>
  <c r="I575" i="8" s="1"/>
  <c r="G877" i="8"/>
  <c r="H877" i="8" s="1"/>
  <c r="I877" i="8" s="1"/>
  <c r="G900" i="8"/>
  <c r="H900" i="8" s="1"/>
  <c r="I900" i="8" s="1"/>
  <c r="G703" i="8"/>
  <c r="H703" i="8" s="1"/>
  <c r="I703" i="8" s="1"/>
  <c r="G223" i="8"/>
  <c r="H223" i="8" s="1"/>
  <c r="I223" i="8" s="1"/>
  <c r="G1000" i="8"/>
  <c r="H1000" i="8" s="1"/>
  <c r="I1000" i="8" s="1"/>
  <c r="G727" i="8"/>
  <c r="H727" i="8" s="1"/>
  <c r="I727" i="8" s="1"/>
  <c r="G371" i="8"/>
  <c r="H371" i="8" s="1"/>
  <c r="I371" i="8" s="1"/>
  <c r="G782" i="8"/>
  <c r="H782" i="8" s="1"/>
  <c r="I782" i="8" s="1"/>
  <c r="G248" i="8"/>
  <c r="H248" i="8" s="1"/>
  <c r="I248" i="8" s="1"/>
  <c r="G262" i="8"/>
  <c r="H262" i="8" s="1"/>
  <c r="I262" i="8" s="1"/>
  <c r="G299" i="8"/>
  <c r="H299" i="8" s="1"/>
  <c r="I299" i="8" s="1"/>
  <c r="G1007" i="8"/>
  <c r="H1007" i="8" s="1"/>
  <c r="I1007" i="8" s="1"/>
  <c r="G204" i="8"/>
  <c r="H204" i="8" s="1"/>
  <c r="I204" i="8" s="1"/>
  <c r="G318" i="8"/>
  <c r="H318" i="8" s="1"/>
  <c r="I318" i="8" s="1"/>
  <c r="G917" i="8"/>
  <c r="H917" i="8" s="1"/>
  <c r="I917" i="8" s="1"/>
  <c r="G909" i="8"/>
  <c r="H909" i="8" s="1"/>
  <c r="I909" i="8" s="1"/>
  <c r="G857" i="8"/>
  <c r="H857" i="8" s="1"/>
  <c r="I857" i="8" s="1"/>
  <c r="G605" i="8"/>
  <c r="H605" i="8" s="1"/>
  <c r="I605" i="8" s="1"/>
  <c r="G769" i="8"/>
  <c r="H769" i="8" s="1"/>
  <c r="I769" i="8" s="1"/>
  <c r="G302" i="8"/>
  <c r="H302" i="8" s="1"/>
  <c r="I302" i="8" s="1"/>
  <c r="G603" i="8"/>
  <c r="H603" i="8" s="1"/>
  <c r="I603" i="8" s="1"/>
  <c r="G432" i="8"/>
  <c r="H432" i="8" s="1"/>
  <c r="I432" i="8" s="1"/>
  <c r="G804" i="8"/>
  <c r="H804" i="8" s="1"/>
  <c r="I804" i="8" s="1"/>
  <c r="G422" i="8"/>
  <c r="H422" i="8" s="1"/>
  <c r="I422" i="8" s="1"/>
  <c r="G540" i="8"/>
  <c r="H540" i="8" s="1"/>
  <c r="I540" i="8" s="1"/>
  <c r="G284" i="8"/>
  <c r="H284" i="8" s="1"/>
  <c r="I284" i="8" s="1"/>
  <c r="G898" i="8"/>
  <c r="H898" i="8" s="1"/>
  <c r="I898" i="8" s="1"/>
  <c r="G1109" i="8"/>
  <c r="H1109" i="8" s="1"/>
  <c r="I1109" i="8" s="1"/>
  <c r="G824" i="8"/>
  <c r="H824" i="8" s="1"/>
  <c r="I824" i="8" s="1"/>
  <c r="G350" i="8"/>
  <c r="H350" i="8" s="1"/>
  <c r="I350" i="8" s="1"/>
  <c r="G741" i="8"/>
  <c r="H741" i="8" s="1"/>
  <c r="I741" i="8" s="1"/>
  <c r="G808" i="8"/>
  <c r="H808" i="8" s="1"/>
  <c r="I808" i="8" s="1"/>
  <c r="G724" i="8"/>
  <c r="H724" i="8" s="1"/>
  <c r="I724" i="8" s="1"/>
  <c r="G704" i="8"/>
  <c r="H704" i="8" s="1"/>
  <c r="I704" i="8" s="1"/>
  <c r="G510" i="8"/>
  <c r="H510" i="8" s="1"/>
  <c r="I510" i="8" s="1"/>
  <c r="G382" i="8"/>
  <c r="H382" i="8" s="1"/>
  <c r="I382" i="8" s="1"/>
  <c r="G544" i="8"/>
  <c r="H544" i="8" s="1"/>
  <c r="I544" i="8" s="1"/>
  <c r="G397" i="8"/>
  <c r="H397" i="8" s="1"/>
  <c r="I397" i="8" s="1"/>
  <c r="G196" i="8"/>
  <c r="H196" i="8" s="1"/>
  <c r="I196" i="8" s="1"/>
  <c r="G847" i="8"/>
  <c r="H847" i="8" s="1"/>
  <c r="I847" i="8" s="1"/>
  <c r="G496" i="8"/>
  <c r="H496" i="8" s="1"/>
  <c r="I496" i="8" s="1"/>
  <c r="G591" i="8"/>
  <c r="H591" i="8" s="1"/>
  <c r="I591" i="8" s="1"/>
  <c r="G305" i="8"/>
  <c r="H305" i="8" s="1"/>
  <c r="I305" i="8" s="1"/>
  <c r="G404" i="8"/>
  <c r="H404" i="8" s="1"/>
  <c r="I404" i="8" s="1"/>
  <c r="G393" i="8"/>
  <c r="H393" i="8" s="1"/>
  <c r="I393" i="8" s="1"/>
  <c r="G333" i="8"/>
  <c r="H333" i="8" s="1"/>
  <c r="I333" i="8" s="1"/>
  <c r="G525" i="8"/>
  <c r="H525" i="8" s="1"/>
  <c r="I525" i="8" s="1"/>
  <c r="G705" i="8"/>
  <c r="H705" i="8" s="1"/>
  <c r="I705" i="8" s="1"/>
  <c r="G779" i="8"/>
  <c r="H779" i="8" s="1"/>
  <c r="I779" i="8" s="1"/>
  <c r="G380" i="8"/>
  <c r="H380" i="8" s="1"/>
  <c r="I380" i="8" s="1"/>
  <c r="G366" i="8"/>
  <c r="H366" i="8" s="1"/>
  <c r="I366" i="8" s="1"/>
  <c r="G1020" i="8"/>
  <c r="H1020" i="8" s="1"/>
  <c r="I1020" i="8" s="1"/>
  <c r="G503" i="8"/>
  <c r="H503" i="8" s="1"/>
  <c r="I503" i="8" s="1"/>
  <c r="G873" i="8"/>
  <c r="H873" i="8" s="1"/>
  <c r="I873" i="8" s="1"/>
  <c r="G379" i="8"/>
  <c r="H379" i="8" s="1"/>
  <c r="I379" i="8" s="1"/>
  <c r="G189" i="8"/>
  <c r="H189" i="8" s="1"/>
  <c r="I189" i="8" s="1"/>
  <c r="G698" i="8"/>
  <c r="H698" i="8" s="1"/>
  <c r="I698" i="8" s="1"/>
  <c r="G613" i="8"/>
  <c r="H613" i="8" s="1"/>
  <c r="I613" i="8" s="1"/>
  <c r="G977" i="8"/>
  <c r="H977" i="8" s="1"/>
  <c r="I977" i="8" s="1"/>
  <c r="G460" i="8"/>
  <c r="H460" i="8" s="1"/>
  <c r="I460" i="8" s="1"/>
  <c r="G1137" i="8"/>
  <c r="H1137" i="8" s="1"/>
  <c r="I1137" i="8" s="1"/>
  <c r="G505" i="8"/>
  <c r="H505" i="8" s="1"/>
  <c r="I505" i="8" s="1"/>
  <c r="G212" i="8"/>
  <c r="H212" i="8" s="1"/>
  <c r="I212" i="8" s="1"/>
  <c r="G1064" i="8"/>
  <c r="H1064" i="8" s="1"/>
  <c r="I1064" i="8" s="1"/>
  <c r="G399" i="8"/>
  <c r="H399" i="8" s="1"/>
  <c r="I399" i="8" s="1"/>
  <c r="G840" i="8"/>
  <c r="H840" i="8" s="1"/>
  <c r="I840" i="8" s="1"/>
  <c r="G935" i="8"/>
  <c r="H935" i="8" s="1"/>
  <c r="I935" i="8" s="1"/>
  <c r="G518" i="8"/>
  <c r="H518" i="8" s="1"/>
  <c r="I518" i="8" s="1"/>
  <c r="G553" i="8"/>
  <c r="H553" i="8" s="1"/>
  <c r="I553" i="8" s="1"/>
  <c r="G836" i="8"/>
  <c r="H836" i="8" s="1"/>
  <c r="I836" i="8" s="1"/>
  <c r="G866" i="8"/>
  <c r="H866" i="8" s="1"/>
  <c r="I866" i="8" s="1"/>
  <c r="G796" i="8"/>
  <c r="H796" i="8" s="1"/>
  <c r="I796" i="8" s="1"/>
  <c r="G867" i="8"/>
  <c r="H867" i="8" s="1"/>
  <c r="I867" i="8" s="1"/>
  <c r="G352" i="8"/>
  <c r="H352" i="8" s="1"/>
  <c r="I352" i="8" s="1"/>
  <c r="G235" i="8"/>
  <c r="H235" i="8" s="1"/>
  <c r="I235" i="8" s="1"/>
  <c r="G358" i="8"/>
  <c r="H358" i="8" s="1"/>
  <c r="I358" i="8" s="1"/>
  <c r="G1069" i="8"/>
  <c r="H1069" i="8" s="1"/>
  <c r="I1069" i="8" s="1"/>
  <c r="G463" i="8"/>
  <c r="H463" i="8" s="1"/>
  <c r="I463" i="8" s="1"/>
  <c r="G405" i="8"/>
  <c r="H405" i="8" s="1"/>
  <c r="I405" i="8" s="1"/>
  <c r="G249" i="8"/>
  <c r="H249" i="8" s="1"/>
  <c r="I249" i="8" s="1"/>
  <c r="G748" i="8"/>
  <c r="H748" i="8" s="1"/>
  <c r="I748" i="8" s="1"/>
  <c r="G820" i="8"/>
  <c r="H820" i="8" s="1"/>
  <c r="I820" i="8" s="1"/>
  <c r="G362" i="8"/>
  <c r="H362" i="8" s="1"/>
  <c r="I362" i="8" s="1"/>
  <c r="G336" i="8"/>
  <c r="H336" i="8" s="1"/>
  <c r="I336" i="8" s="1"/>
  <c r="G743" i="8"/>
  <c r="H743" i="8" s="1"/>
  <c r="I743" i="8" s="1"/>
  <c r="G1094" i="8"/>
  <c r="H1094" i="8" s="1"/>
  <c r="I1094" i="8" s="1"/>
  <c r="G946" i="8"/>
  <c r="H946" i="8" s="1"/>
  <c r="I946" i="8" s="1"/>
  <c r="G878" i="8"/>
  <c r="H878" i="8" s="1"/>
  <c r="I878" i="8" s="1"/>
  <c r="G764" i="8"/>
  <c r="H764" i="8" s="1"/>
  <c r="I764" i="8" s="1"/>
  <c r="G1081" i="8"/>
  <c r="H1081" i="8" s="1"/>
  <c r="I1081" i="8" s="1"/>
  <c r="G1016" i="8"/>
  <c r="H1016" i="8" s="1"/>
  <c r="I1016" i="8" s="1"/>
  <c r="G985" i="8"/>
  <c r="H985" i="8" s="1"/>
  <c r="I985" i="8" s="1"/>
  <c r="G1027" i="8"/>
  <c r="H1027" i="8" s="1"/>
  <c r="I1027" i="8" s="1"/>
  <c r="G609" i="8"/>
  <c r="H609" i="8" s="1"/>
  <c r="I609" i="8" s="1"/>
  <c r="G800" i="8"/>
  <c r="H800" i="8" s="1"/>
  <c r="I800" i="8" s="1"/>
  <c r="G789" i="8"/>
  <c r="H789" i="8" s="1"/>
  <c r="I789" i="8" s="1"/>
  <c r="G378" i="8"/>
  <c r="H378" i="8" s="1"/>
  <c r="I378" i="8" s="1"/>
  <c r="G975" i="8"/>
  <c r="H975" i="8" s="1"/>
  <c r="I975" i="8" s="1"/>
  <c r="G812" i="8"/>
  <c r="H812" i="8" s="1"/>
  <c r="I812" i="8" s="1"/>
  <c r="G1163" i="8"/>
  <c r="H1163" i="8" s="1"/>
  <c r="I1163" i="8" s="1"/>
  <c r="G1144" i="8"/>
  <c r="H1144" i="8" s="1"/>
  <c r="I1144" i="8" s="1"/>
  <c r="G1158" i="8"/>
  <c r="H1158" i="8" s="1"/>
  <c r="I1158" i="8" s="1"/>
  <c r="G1129" i="8"/>
  <c r="H1129" i="8" s="1"/>
  <c r="I1129" i="8" s="1"/>
  <c r="G1140" i="8"/>
  <c r="H1140" i="8" s="1"/>
  <c r="I1140" i="8" s="1"/>
  <c r="G1178" i="8"/>
  <c r="H1178" i="8" s="1"/>
  <c r="I1178" i="8" s="1"/>
  <c r="G1089" i="8"/>
  <c r="H1089" i="8" s="1"/>
  <c r="I1089" i="8" s="1"/>
  <c r="G920" i="8"/>
  <c r="H920" i="8" s="1"/>
  <c r="I920" i="8" s="1"/>
  <c r="G1148" i="8"/>
  <c r="H1148" i="8" s="1"/>
  <c r="I1148" i="8" s="1"/>
  <c r="G430" i="8"/>
  <c r="H430" i="8" s="1"/>
  <c r="I430" i="8" s="1"/>
  <c r="G387" i="8"/>
  <c r="H387" i="8" s="1"/>
  <c r="I387" i="8" s="1"/>
  <c r="G447" i="8"/>
  <c r="H447" i="8" s="1"/>
  <c r="I447" i="8" s="1"/>
  <c r="G357" i="8"/>
  <c r="H357" i="8" s="1"/>
  <c r="I357" i="8" s="1"/>
  <c r="G482" i="8"/>
  <c r="H482" i="8" s="1"/>
  <c r="I482" i="8" s="1"/>
  <c r="G401" i="8"/>
  <c r="H401" i="8" s="1"/>
  <c r="I401" i="8" s="1"/>
  <c r="G375" i="8"/>
  <c r="H375" i="8" s="1"/>
  <c r="I375" i="8" s="1"/>
  <c r="G335" i="8"/>
  <c r="H335" i="8" s="1"/>
  <c r="I335" i="8" s="1"/>
  <c r="G457" i="8"/>
  <c r="H457" i="8" s="1"/>
  <c r="I457" i="8" s="1"/>
  <c r="G596" i="8"/>
  <c r="H596" i="8" s="1"/>
  <c r="I596" i="8" s="1"/>
  <c r="G762" i="8"/>
  <c r="H762" i="8" s="1"/>
  <c r="I762" i="8" s="1"/>
  <c r="G775" i="8"/>
  <c r="H775" i="8" s="1"/>
  <c r="I775" i="8" s="1"/>
  <c r="G757" i="8"/>
  <c r="H757" i="8" s="1"/>
  <c r="I757" i="8" s="1"/>
  <c r="G475" i="8"/>
  <c r="H475" i="8" s="1"/>
  <c r="I475" i="8" s="1"/>
  <c r="G251" i="8"/>
  <c r="H251" i="8" s="1"/>
  <c r="I251" i="8" s="1"/>
  <c r="G607" i="8"/>
  <c r="H607" i="8" s="1"/>
  <c r="I607" i="8" s="1"/>
  <c r="G815" i="8"/>
  <c r="H815" i="8" s="1"/>
  <c r="I815" i="8" s="1"/>
  <c r="G325" i="8"/>
  <c r="H325" i="8" s="1"/>
  <c r="I325" i="8" s="1"/>
  <c r="G480" i="8"/>
  <c r="H480" i="8" s="1"/>
  <c r="I480" i="8" s="1"/>
  <c r="G599" i="8"/>
  <c r="H599" i="8" s="1"/>
  <c r="I599" i="8" s="1"/>
  <c r="G490" i="8"/>
  <c r="H490" i="8" s="1"/>
  <c r="I490" i="8" s="1"/>
  <c r="G237" i="8"/>
  <c r="H237" i="8" s="1"/>
  <c r="I237" i="8" s="1"/>
  <c r="G694" i="8"/>
  <c r="H694" i="8" s="1"/>
  <c r="I694" i="8" s="1"/>
  <c r="G1160" i="8"/>
  <c r="H1160" i="8" s="1"/>
  <c r="I1160" i="8" s="1"/>
  <c r="G258" i="8"/>
  <c r="H258" i="8" s="1"/>
  <c r="I258" i="8" s="1"/>
  <c r="G980" i="8"/>
  <c r="H980" i="8" s="1"/>
  <c r="I980" i="8" s="1"/>
  <c r="G615" i="8"/>
  <c r="H615" i="8" s="1"/>
  <c r="I615" i="8" s="1"/>
  <c r="G1125" i="8"/>
  <c r="H1125" i="8" s="1"/>
  <c r="I1125" i="8" s="1"/>
  <c r="G322" i="8"/>
  <c r="H322" i="8" s="1"/>
  <c r="I322" i="8" s="1"/>
  <c r="G181" i="8"/>
  <c r="H181" i="8" s="1"/>
  <c r="I181" i="8" s="1"/>
  <c r="G931" i="8"/>
  <c r="H931" i="8" s="1"/>
  <c r="I931" i="8" s="1"/>
  <c r="G995" i="8"/>
  <c r="H995" i="8" s="1"/>
  <c r="I995" i="8" s="1"/>
  <c r="G435" i="8"/>
  <c r="H435" i="8" s="1"/>
  <c r="I435" i="8" s="1"/>
  <c r="G956" i="8"/>
  <c r="H956" i="8" s="1"/>
  <c r="I956" i="8" s="1"/>
  <c r="G425" i="8"/>
  <c r="H425" i="8" s="1"/>
  <c r="I425" i="8" s="1"/>
  <c r="G886" i="8"/>
  <c r="H886" i="8" s="1"/>
  <c r="I886" i="8" s="1"/>
  <c r="G313" i="8"/>
  <c r="H313" i="8" s="1"/>
  <c r="I313" i="8" s="1"/>
  <c r="G660" i="8"/>
  <c r="H660" i="8" s="1"/>
  <c r="I660" i="8" s="1"/>
  <c r="G1127" i="8"/>
  <c r="H1127" i="8" s="1"/>
  <c r="I1127" i="8" s="1"/>
  <c r="G1009" i="8"/>
  <c r="H1009" i="8" s="1"/>
  <c r="I1009" i="8" s="1"/>
  <c r="G384" i="8"/>
  <c r="H384" i="8" s="1"/>
  <c r="I384" i="8" s="1"/>
  <c r="G651" i="8"/>
  <c r="H651" i="8" s="1"/>
  <c r="I651" i="8" s="1"/>
  <c r="G484" i="8"/>
  <c r="H484" i="8" s="1"/>
  <c r="I484" i="8" s="1"/>
  <c r="G996" i="8"/>
  <c r="H996" i="8" s="1"/>
  <c r="I996" i="8" s="1"/>
  <c r="G726" i="8"/>
  <c r="H726" i="8" s="1"/>
  <c r="I726" i="8" s="1"/>
  <c r="G199" i="8"/>
  <c r="H199" i="8" s="1"/>
  <c r="I199" i="8" s="1"/>
  <c r="G693" i="8"/>
  <c r="H693" i="8" s="1"/>
  <c r="I693" i="8" s="1"/>
  <c r="G683" i="8"/>
  <c r="H683" i="8" s="1"/>
  <c r="I683" i="8" s="1"/>
  <c r="G665" i="8"/>
  <c r="H665" i="8" s="1"/>
  <c r="I665" i="8" s="1"/>
  <c r="G858" i="8"/>
  <c r="H858" i="8" s="1"/>
  <c r="I858" i="8" s="1"/>
  <c r="G456" i="8"/>
  <c r="H456" i="8" s="1"/>
  <c r="I456" i="8" s="1"/>
  <c r="G1123" i="8"/>
  <c r="H1123" i="8" s="1"/>
  <c r="I1123" i="8" s="1"/>
  <c r="G1104" i="8"/>
  <c r="H1104" i="8" s="1"/>
  <c r="I1104" i="8" s="1"/>
  <c r="G689" i="8"/>
  <c r="H689" i="8" s="1"/>
  <c r="I689" i="8" s="1"/>
  <c r="G1113" i="8"/>
  <c r="H1113" i="8" s="1"/>
  <c r="I1113" i="8" s="1"/>
  <c r="G744" i="8"/>
  <c r="H744" i="8" s="1"/>
  <c r="I744" i="8" s="1"/>
  <c r="G491" i="8"/>
  <c r="H491" i="8" s="1"/>
  <c r="I491" i="8" s="1"/>
  <c r="G989" i="8"/>
  <c r="H989" i="8" s="1"/>
  <c r="I989" i="8" s="1"/>
  <c r="G1014" i="8"/>
  <c r="H1014" i="8" s="1"/>
  <c r="I1014" i="8" s="1"/>
  <c r="G1141" i="8"/>
  <c r="H1141" i="8" s="1"/>
  <c r="I1141" i="8" s="1"/>
  <c r="G1173" i="8"/>
  <c r="H1173" i="8" s="1"/>
  <c r="I1173" i="8" s="1"/>
  <c r="G1111" i="8"/>
  <c r="H1111" i="8" s="1"/>
  <c r="I1111" i="8" s="1"/>
  <c r="G247" i="8"/>
  <c r="H247" i="8" s="1"/>
  <c r="I247" i="8" s="1"/>
  <c r="G338" i="8"/>
  <c r="H338" i="8" s="1"/>
  <c r="I338" i="8" s="1"/>
  <c r="G1101" i="8"/>
  <c r="H1101" i="8" s="1"/>
  <c r="I1101" i="8" s="1"/>
  <c r="G395" i="8"/>
  <c r="H395" i="8" s="1"/>
  <c r="I395" i="8" s="1"/>
  <c r="G672" i="8"/>
  <c r="H672" i="8" s="1"/>
  <c r="I672" i="8" s="1"/>
  <c r="G992" i="8"/>
  <c r="H992" i="8" s="1"/>
  <c r="I992" i="8" s="1"/>
  <c r="G635" i="8"/>
  <c r="H635" i="8" s="1"/>
  <c r="I635" i="8" s="1"/>
  <c r="G411" i="8"/>
  <c r="H411" i="8" s="1"/>
  <c r="I411" i="8" s="1"/>
  <c r="G679" i="8"/>
  <c r="H679" i="8" s="1"/>
  <c r="I679" i="8" s="1"/>
  <c r="G751" i="8"/>
  <c r="H751" i="8" s="1"/>
  <c r="I751" i="8" s="1"/>
  <c r="G682" i="8"/>
  <c r="H682" i="8" s="1"/>
  <c r="I682" i="8" s="1"/>
  <c r="G865" i="8"/>
  <c r="H865" i="8" s="1"/>
  <c r="I865" i="8" s="1"/>
  <c r="G317" i="8"/>
  <c r="H317" i="8" s="1"/>
  <c r="I317" i="8" s="1"/>
  <c r="G225" i="8"/>
  <c r="H225" i="8" s="1"/>
  <c r="I225" i="8" s="1"/>
  <c r="G570" i="8"/>
  <c r="H570" i="8" s="1"/>
  <c r="I570" i="8" s="1"/>
  <c r="G1019" i="8"/>
  <c r="H1019" i="8" s="1"/>
  <c r="I1019" i="8" s="1"/>
  <c r="G781" i="8"/>
  <c r="H781" i="8" s="1"/>
  <c r="I781" i="8" s="1"/>
  <c r="G231" i="8"/>
  <c r="H231" i="8" s="1"/>
  <c r="I231" i="8" s="1"/>
  <c r="G843" i="8"/>
  <c r="H843" i="8" s="1"/>
  <c r="I843" i="8" s="1"/>
  <c r="G185" i="8"/>
  <c r="H185" i="8" s="1"/>
  <c r="I185" i="8" s="1"/>
  <c r="G1142" i="8"/>
  <c r="H1142" i="8" s="1"/>
  <c r="I1142" i="8" s="1"/>
  <c r="G420" i="8"/>
  <c r="H420" i="8" s="1"/>
  <c r="I420" i="8" s="1"/>
  <c r="G687" i="8"/>
  <c r="H687" i="8" s="1"/>
  <c r="I687" i="8" s="1"/>
  <c r="G1156" i="8"/>
  <c r="H1156" i="8" s="1"/>
  <c r="I1156" i="8" s="1"/>
  <c r="G753" i="8"/>
  <c r="H753" i="8" s="1"/>
  <c r="I753" i="8" s="1"/>
  <c r="G343" i="8"/>
  <c r="H343" i="8" s="1"/>
  <c r="I343" i="8" s="1"/>
  <c r="G735" i="8"/>
  <c r="H735" i="8" s="1"/>
  <c r="I735" i="8" s="1"/>
  <c r="G746" i="8"/>
  <c r="H746" i="8" s="1"/>
  <c r="I746" i="8" s="1"/>
  <c r="G723" i="8"/>
  <c r="H723" i="8" s="1"/>
  <c r="I723" i="8" s="1"/>
  <c r="G220" i="8"/>
  <c r="H220" i="8" s="1"/>
  <c r="I220" i="8" s="1"/>
  <c r="G295" i="8"/>
  <c r="H295" i="8" s="1"/>
  <c r="I295" i="8" s="1"/>
  <c r="G1057" i="8"/>
  <c r="H1057" i="8" s="1"/>
  <c r="I1057" i="8" s="1"/>
  <c r="G524" i="8"/>
  <c r="H524" i="8" s="1"/>
  <c r="I524" i="8" s="1"/>
  <c r="G761" i="8"/>
  <c r="H761" i="8" s="1"/>
  <c r="I761" i="8" s="1"/>
  <c r="G436" i="8"/>
  <c r="H436" i="8" s="1"/>
  <c r="I436" i="8" s="1"/>
  <c r="G551" i="8"/>
  <c r="H551" i="8" s="1"/>
  <c r="I551" i="8" s="1"/>
  <c r="G1132" i="8"/>
  <c r="H1132" i="8" s="1"/>
  <c r="I1132" i="8" s="1"/>
  <c r="G585" i="8"/>
  <c r="H585" i="8" s="1"/>
  <c r="I585" i="8" s="1"/>
  <c r="G681" i="8"/>
  <c r="H681" i="8" s="1"/>
  <c r="I681" i="8" s="1"/>
  <c r="G805" i="8"/>
  <c r="H805" i="8" s="1"/>
  <c r="I805" i="8" s="1"/>
  <c r="G1059" i="8"/>
  <c r="H1059" i="8" s="1"/>
  <c r="I1059" i="8" s="1"/>
  <c r="G763" i="8"/>
  <c r="H763" i="8" s="1"/>
  <c r="I763" i="8" s="1"/>
  <c r="G294" i="8"/>
  <c r="H294" i="8" s="1"/>
  <c r="I294" i="8" s="1"/>
  <c r="G1151" i="8"/>
  <c r="H1151" i="8" s="1"/>
  <c r="I1151" i="8" s="1"/>
  <c r="G1018" i="8"/>
  <c r="H1018" i="8" s="1"/>
  <c r="I1018" i="8" s="1"/>
  <c r="G532" i="8"/>
  <c r="H532" i="8" s="1"/>
  <c r="I532" i="8" s="1"/>
  <c r="G711" i="8"/>
  <c r="H711" i="8" s="1"/>
  <c r="I711" i="8" s="1"/>
  <c r="G1011" i="8"/>
  <c r="H1011" i="8" s="1"/>
  <c r="I1011" i="8" s="1"/>
  <c r="G776" i="8"/>
  <c r="H776" i="8" s="1"/>
  <c r="I776" i="8" s="1"/>
  <c r="G208" i="8"/>
  <c r="H208" i="8" s="1"/>
  <c r="I208" i="8" s="1"/>
  <c r="G197" i="8"/>
  <c r="H197" i="8" s="1"/>
  <c r="I197" i="8" s="1"/>
  <c r="G944" i="8"/>
  <c r="H944" i="8" s="1"/>
  <c r="I944" i="8" s="1"/>
  <c r="G1067" i="8"/>
  <c r="H1067" i="8" s="1"/>
  <c r="I1067" i="8" s="1"/>
  <c r="G899" i="8"/>
  <c r="H899" i="8" s="1"/>
  <c r="I899" i="8" s="1"/>
  <c r="G650" i="8"/>
  <c r="H650" i="8" s="1"/>
  <c r="I650" i="8" s="1"/>
  <c r="G890" i="8"/>
  <c r="H890" i="8" s="1"/>
  <c r="I890" i="8" s="1"/>
  <c r="G556" i="8"/>
  <c r="H556" i="8" s="1"/>
  <c r="I556" i="8" s="1"/>
  <c r="G454" i="8"/>
  <c r="H454" i="8" s="1"/>
  <c r="I454" i="8" s="1"/>
  <c r="G614" i="8"/>
  <c r="H614" i="8" s="1"/>
  <c r="I614" i="8" s="1"/>
  <c r="G516" i="8"/>
  <c r="H516" i="8" s="1"/>
  <c r="I516" i="8" s="1"/>
  <c r="G883" i="8"/>
  <c r="H883" i="8" s="1"/>
  <c r="I883" i="8" s="1"/>
  <c r="G569" i="8"/>
  <c r="H569" i="8" s="1"/>
  <c r="I569" i="8" s="1"/>
  <c r="G652" i="8"/>
  <c r="H652" i="8" s="1"/>
  <c r="I652" i="8" s="1"/>
  <c r="G600" i="8"/>
  <c r="H600" i="8" s="1"/>
  <c r="I600" i="8" s="1"/>
  <c r="G837" i="8"/>
  <c r="H837" i="8" s="1"/>
  <c r="I837" i="8" s="1"/>
  <c r="G1065" i="8"/>
  <c r="H1065" i="8" s="1"/>
  <c r="I1065" i="8" s="1"/>
  <c r="G702" i="8"/>
  <c r="H702" i="8" s="1"/>
  <c r="I702" i="8" s="1"/>
  <c r="G827" i="8"/>
  <c r="H827" i="8" s="1"/>
  <c r="I827" i="8" s="1"/>
  <c r="G750" i="8"/>
  <c r="H750" i="8" s="1"/>
  <c r="I750" i="8" s="1"/>
  <c r="G234" i="8"/>
  <c r="H234" i="8" s="1"/>
  <c r="I234" i="8" s="1"/>
  <c r="G987" i="8"/>
  <c r="H987" i="8" s="1"/>
  <c r="I987" i="8" s="1"/>
  <c r="G385" i="8"/>
  <c r="H385" i="8" s="1"/>
  <c r="I385" i="8" s="1"/>
  <c r="G479" i="8"/>
  <c r="H479" i="8" s="1"/>
  <c r="I479" i="8" s="1"/>
  <c r="G1149" i="8"/>
  <c r="H1149" i="8" s="1"/>
  <c r="I1149" i="8" s="1"/>
  <c r="G589" i="8"/>
  <c r="H589" i="8" s="1"/>
  <c r="I589" i="8" s="1"/>
  <c r="G1153" i="8"/>
  <c r="H1153" i="8" s="1"/>
  <c r="I1153" i="8" s="1"/>
  <c r="G1029" i="8"/>
  <c r="H1029" i="8" s="1"/>
  <c r="I1029" i="8" s="1"/>
  <c r="G1008" i="8"/>
  <c r="H1008" i="8" s="1"/>
  <c r="I1008" i="8" s="1"/>
  <c r="G754" i="8"/>
  <c r="H754" i="8" s="1"/>
  <c r="I754" i="8" s="1"/>
  <c r="G1166" i="8"/>
  <c r="H1166" i="8" s="1"/>
  <c r="I1166" i="8" s="1"/>
  <c r="G981" i="8"/>
  <c r="H981" i="8" s="1"/>
  <c r="I981" i="8" s="1"/>
  <c r="G658" i="8"/>
  <c r="H658" i="8" s="1"/>
  <c r="I658" i="8" s="1"/>
  <c r="G882" i="8"/>
  <c r="H882" i="8" s="1"/>
  <c r="I882" i="8" s="1"/>
  <c r="G759" i="8"/>
  <c r="H759" i="8" s="1"/>
  <c r="I759" i="8" s="1"/>
  <c r="G990" i="8"/>
  <c r="H990" i="8" s="1"/>
  <c r="I990" i="8" s="1"/>
  <c r="G344" i="8"/>
  <c r="H344" i="8" s="1"/>
  <c r="I344" i="8" s="1"/>
  <c r="G1107" i="8"/>
  <c r="H1107" i="8" s="1"/>
  <c r="I1107" i="8" s="1"/>
  <c r="G232" i="8"/>
  <c r="H232" i="8" s="1"/>
  <c r="I232" i="8" s="1"/>
  <c r="G1035" i="8"/>
  <c r="H1035" i="8" s="1"/>
  <c r="I1035" i="8" s="1"/>
  <c r="G246" i="8"/>
  <c r="H246" i="8" s="1"/>
  <c r="I246" i="8" s="1"/>
  <c r="G930" i="8"/>
  <c r="H930" i="8" s="1"/>
  <c r="I930" i="8" s="1"/>
  <c r="G324" i="8"/>
  <c r="H324" i="8" s="1"/>
  <c r="I324" i="8" s="1"/>
  <c r="G780" i="8"/>
  <c r="H780" i="8" s="1"/>
  <c r="I780" i="8" s="1"/>
  <c r="G642" i="8"/>
  <c r="H642" i="8" s="1"/>
  <c r="I642" i="8" s="1"/>
  <c r="G282" i="8"/>
  <c r="H282" i="8" s="1"/>
  <c r="I282" i="8" s="1"/>
  <c r="G468" i="8"/>
  <c r="H468" i="8" s="1"/>
  <c r="I468" i="8" s="1"/>
  <c r="G546" i="8"/>
  <c r="H546" i="8" s="1"/>
  <c r="I546" i="8" s="1"/>
  <c r="G767" i="8"/>
  <c r="H767" i="8" s="1"/>
  <c r="I767" i="8" s="1"/>
  <c r="G891" i="8"/>
  <c r="H891" i="8" s="1"/>
  <c r="I891" i="8" s="1"/>
  <c r="G274" i="8"/>
  <c r="H274" i="8" s="1"/>
  <c r="I274" i="8" s="1"/>
  <c r="G320" i="8"/>
  <c r="H320" i="8" s="1"/>
  <c r="I320" i="8" s="1"/>
  <c r="G962" i="8"/>
  <c r="H962" i="8" s="1"/>
  <c r="I962" i="8" s="1"/>
  <c r="G1023" i="8"/>
  <c r="H1023" i="8" s="1"/>
  <c r="I1023" i="8" s="1"/>
  <c r="G1145" i="8"/>
  <c r="H1145" i="8" s="1"/>
  <c r="I1145" i="8" s="1"/>
  <c r="G407" i="8"/>
  <c r="H407" i="8" s="1"/>
  <c r="I407" i="8" s="1"/>
  <c r="G562" i="8"/>
  <c r="H562" i="8" s="1"/>
  <c r="I562" i="8" s="1"/>
  <c r="G945" i="8"/>
  <c r="H945" i="8" s="1"/>
  <c r="I945" i="8" s="1"/>
  <c r="G592" i="8"/>
  <c r="H592" i="8" s="1"/>
  <c r="I592" i="8" s="1"/>
  <c r="G627" i="8"/>
  <c r="H627" i="8" s="1"/>
  <c r="I627" i="8" s="1"/>
  <c r="G853" i="8"/>
  <c r="H853" i="8" s="1"/>
  <c r="I853" i="8" s="1"/>
  <c r="G307" i="8"/>
  <c r="H307" i="8" s="1"/>
  <c r="I307" i="8" s="1"/>
  <c r="G921" i="8"/>
  <c r="H921" i="8" s="1"/>
  <c r="I921" i="8" s="1"/>
  <c r="G644" i="8"/>
  <c r="H644" i="8" s="1"/>
  <c r="I644" i="8" s="1"/>
  <c r="G678" i="8"/>
  <c r="H678" i="8" s="1"/>
  <c r="I678" i="8" s="1"/>
  <c r="G825" i="8"/>
  <c r="H825" i="8" s="1"/>
  <c r="I825" i="8" s="1"/>
  <c r="G1133" i="8"/>
  <c r="H1133" i="8" s="1"/>
  <c r="I1133" i="8" s="1"/>
  <c r="G304" i="8"/>
  <c r="H304" i="8" s="1"/>
  <c r="I304" i="8" s="1"/>
  <c r="G965" i="8"/>
  <c r="H965" i="8" s="1"/>
  <c r="I965" i="8" s="1"/>
  <c r="G414" i="8"/>
  <c r="H414" i="8" s="1"/>
  <c r="I414" i="8" s="1"/>
  <c r="G1117" i="8"/>
  <c r="H1117" i="8" s="1"/>
  <c r="I1117" i="8" s="1"/>
  <c r="G522" i="8"/>
  <c r="H522" i="8" s="1"/>
  <c r="I522" i="8" s="1"/>
  <c r="G666" i="8"/>
  <c r="H666" i="8" s="1"/>
  <c r="I666" i="8" s="1"/>
  <c r="G641" i="8"/>
  <c r="H641" i="8" s="1"/>
  <c r="I641" i="8" s="1"/>
  <c r="G622" i="8"/>
  <c r="H622" i="8" s="1"/>
  <c r="I622" i="8" s="1"/>
  <c r="G863" i="8"/>
  <c r="H863" i="8" s="1"/>
  <c r="I863" i="8" s="1"/>
  <c r="G688" i="8"/>
  <c r="H688" i="8" s="1"/>
  <c r="I688" i="8" s="1"/>
  <c r="G372" i="8"/>
  <c r="H372" i="8" s="1"/>
  <c r="I372" i="8" s="1"/>
  <c r="G342" i="8"/>
  <c r="H342" i="8" s="1"/>
  <c r="I342" i="8" s="1"/>
  <c r="G1004" i="8"/>
  <c r="H1004" i="8" s="1"/>
  <c r="I1004" i="8" s="1"/>
  <c r="G673" i="8"/>
  <c r="H673" i="8" s="1"/>
  <c r="I673" i="8" s="1"/>
  <c r="G903" i="8"/>
  <c r="H903" i="8" s="1"/>
  <c r="I903" i="8" s="1"/>
  <c r="G492" i="8"/>
  <c r="H492" i="8" s="1"/>
  <c r="I492" i="8" s="1"/>
  <c r="G803" i="8"/>
  <c r="H803" i="8" s="1"/>
  <c r="I803" i="8" s="1"/>
  <c r="G770" i="8"/>
  <c r="H770" i="8" s="1"/>
  <c r="I770" i="8" s="1"/>
  <c r="G361" i="8"/>
  <c r="H361" i="8" s="1"/>
  <c r="I361" i="8" s="1"/>
  <c r="G1034" i="8"/>
  <c r="H1034" i="8" s="1"/>
  <c r="I1034" i="8" s="1"/>
  <c r="G765" i="8"/>
  <c r="H765" i="8" s="1"/>
  <c r="I765" i="8" s="1"/>
  <c r="G216" i="8"/>
  <c r="H216" i="8" s="1"/>
  <c r="I216" i="8" s="1"/>
  <c r="G557" i="8"/>
  <c r="H557" i="8" s="1"/>
  <c r="I557" i="8" s="1"/>
  <c r="G477" i="8"/>
  <c r="H477" i="8" s="1"/>
  <c r="I477" i="8" s="1"/>
  <c r="G788" i="8"/>
  <c r="H788" i="8" s="1"/>
  <c r="I788" i="8" s="1"/>
  <c r="G229" i="8"/>
  <c r="H229" i="8" s="1"/>
  <c r="I229" i="8" s="1"/>
  <c r="G979" i="8"/>
  <c r="H979" i="8" s="1"/>
  <c r="I979" i="8" s="1"/>
  <c r="G1135" i="8"/>
  <c r="H1135" i="8" s="1"/>
  <c r="I1135" i="8" s="1"/>
  <c r="G489" i="8"/>
  <c r="H489" i="8" s="1"/>
  <c r="I489" i="8" s="1"/>
  <c r="G852" i="8"/>
  <c r="H852" i="8" s="1"/>
  <c r="I852" i="8" s="1"/>
  <c r="G737" i="8"/>
  <c r="H737" i="8" s="1"/>
  <c r="I737" i="8" s="1"/>
  <c r="G321" i="8"/>
  <c r="H321" i="8" s="1"/>
  <c r="I321" i="8" s="1"/>
  <c r="G618" i="8"/>
  <c r="H618" i="8" s="1"/>
  <c r="I618" i="8" s="1"/>
  <c r="G680" i="8"/>
  <c r="H680" i="8" s="1"/>
  <c r="I680" i="8" s="1"/>
  <c r="G297" i="8"/>
  <c r="H297" i="8" s="1"/>
  <c r="I297" i="8" s="1"/>
  <c r="G509" i="8"/>
  <c r="H509" i="8" s="1"/>
  <c r="I509" i="8" s="1"/>
  <c r="G455" i="8"/>
  <c r="H455" i="8" s="1"/>
  <c r="I455" i="8" s="1"/>
  <c r="G928" i="8"/>
  <c r="H928" i="8" s="1"/>
  <c r="I928" i="8" s="1"/>
  <c r="G311" i="8"/>
  <c r="H311" i="8" s="1"/>
  <c r="I311" i="8" s="1"/>
  <c r="G381" i="8"/>
  <c r="H381" i="8" s="1"/>
  <c r="I381" i="8" s="1"/>
  <c r="G188" i="8"/>
  <c r="H188" i="8" s="1"/>
  <c r="I188" i="8" s="1"/>
  <c r="G1026" i="8"/>
  <c r="H1026" i="8" s="1"/>
  <c r="I1026" i="8" s="1"/>
  <c r="G487" i="8"/>
  <c r="H487" i="8" s="1"/>
  <c r="I487" i="8" s="1"/>
  <c r="G1172" i="8"/>
  <c r="H1172" i="8" s="1"/>
  <c r="I1172" i="8" s="1"/>
  <c r="G560" i="8"/>
  <c r="H560" i="8" s="1"/>
  <c r="I560" i="8" s="1"/>
  <c r="G418" i="8"/>
  <c r="H418" i="8" s="1"/>
  <c r="I418" i="8" s="1"/>
  <c r="G576" i="8"/>
  <c r="H576" i="8" s="1"/>
  <c r="I576" i="8" s="1"/>
  <c r="G758" i="8"/>
  <c r="H758" i="8" s="1"/>
  <c r="I758" i="8" s="1"/>
  <c r="G620" i="8"/>
  <c r="H620" i="8" s="1"/>
  <c r="I620" i="8" s="1"/>
  <c r="G353" i="8"/>
  <c r="H353" i="8" s="1"/>
  <c r="I353" i="8" s="1"/>
  <c r="G621" i="8"/>
  <c r="H621" i="8" s="1"/>
  <c r="I621" i="8" s="1"/>
  <c r="G868" i="8"/>
  <c r="H868" i="8" s="1"/>
  <c r="I868" i="8" s="1"/>
  <c r="G499" i="8"/>
  <c r="H499" i="8" s="1"/>
  <c r="I499" i="8" s="1"/>
  <c r="G389" i="8"/>
  <c r="H389" i="8" s="1"/>
  <c r="I389" i="8" s="1"/>
  <c r="G1052" i="8"/>
  <c r="H1052" i="8" s="1"/>
  <c r="I1052" i="8" s="1"/>
  <c r="G394" i="8"/>
  <c r="H394" i="8" s="1"/>
  <c r="I394" i="8" s="1"/>
  <c r="G565" i="8"/>
  <c r="H565" i="8" s="1"/>
  <c r="I565" i="8" s="1"/>
  <c r="D109" i="8"/>
  <c r="D101" i="8"/>
  <c r="E41" i="4"/>
  <c r="E40" i="4"/>
  <c r="G37" i="4"/>
  <c r="B53" i="1" s="1"/>
  <c r="G10" i="4"/>
  <c r="P5" i="8" s="1"/>
  <c r="E11" i="4"/>
  <c r="N6" i="8" s="1"/>
  <c r="F8" i="4"/>
  <c r="O9" i="8" s="1"/>
  <c r="E9" i="4"/>
  <c r="N4" i="8" s="1"/>
  <c r="E37" i="4"/>
  <c r="D53" i="1" s="1"/>
  <c r="E10" i="4"/>
  <c r="N5" i="8" s="1"/>
  <c r="E39" i="4"/>
  <c r="D55" i="1" s="1"/>
  <c r="D55" i="4"/>
  <c r="D40" i="4"/>
  <c r="D41" i="4"/>
  <c r="C55" i="4"/>
  <c r="D39" i="4"/>
  <c r="D13" i="4"/>
  <c r="D6" i="4"/>
  <c r="D7" i="4" s="1"/>
  <c r="D4" i="4"/>
  <c r="D5" i="4" s="1"/>
  <c r="D31" i="4"/>
  <c r="G34" i="4"/>
  <c r="G33" i="4"/>
  <c r="D10" i="4"/>
  <c r="M5" i="8" s="1"/>
  <c r="E38" i="4"/>
  <c r="D54" i="1" s="1"/>
  <c r="F35" i="4"/>
  <c r="F3" i="4"/>
  <c r="O10" i="8" s="1"/>
  <c r="G2" i="4"/>
  <c r="G51" i="4" s="1"/>
  <c r="G57" i="4"/>
  <c r="G47" i="4"/>
  <c r="E35" i="4"/>
  <c r="D38" i="4"/>
  <c r="D32" i="4"/>
  <c r="D63" i="4"/>
  <c r="E14" i="4"/>
  <c r="E58" i="4"/>
  <c r="C34" i="4"/>
  <c r="C33" i="4"/>
  <c r="C8" i="4"/>
  <c r="G6" i="4"/>
  <c r="G4" i="4"/>
  <c r="G31" i="4"/>
  <c r="E16" i="4"/>
  <c r="E52" i="4" s="1"/>
  <c r="C46" i="4"/>
  <c r="D49" i="4"/>
  <c r="F4" i="4"/>
  <c r="F31" i="4"/>
  <c r="F6" i="4"/>
  <c r="G55" i="4"/>
  <c r="G13" i="4"/>
  <c r="P16" i="8" s="1"/>
  <c r="G40" i="4"/>
  <c r="G39" i="4"/>
  <c r="B55" i="1" s="1"/>
  <c r="G41" i="4"/>
  <c r="D11" i="4"/>
  <c r="M6" i="8" s="1"/>
  <c r="E73" i="4"/>
  <c r="D62" i="4"/>
  <c r="F58" i="4"/>
  <c r="F14" i="4"/>
  <c r="F38" i="4"/>
  <c r="C54" i="1" s="1"/>
  <c r="G35" i="4"/>
  <c r="F56" i="4"/>
  <c r="F50" i="4"/>
  <c r="D16" i="4"/>
  <c r="F34" i="4"/>
  <c r="F33" i="4"/>
  <c r="D56" i="4"/>
  <c r="C56" i="4"/>
  <c r="E68" i="4"/>
  <c r="E69" i="4"/>
  <c r="D8" i="4"/>
  <c r="M9" i="8" s="1"/>
  <c r="C47" i="4"/>
  <c r="C57" i="4"/>
  <c r="C45" i="4"/>
  <c r="C40" i="4"/>
  <c r="C2" i="4"/>
  <c r="E54" i="4"/>
  <c r="N2" i="8" s="1"/>
  <c r="F45" i="4"/>
  <c r="D43" i="4"/>
  <c r="C43" i="4" s="1"/>
  <c r="E70" i="4"/>
  <c r="D50" i="4"/>
  <c r="G61" i="4"/>
  <c r="G15" i="4"/>
  <c r="G38" i="4"/>
  <c r="B54" i="1" s="1"/>
  <c r="F55" i="4"/>
  <c r="F13" i="4"/>
  <c r="O16" i="8" s="1"/>
  <c r="F39" i="4"/>
  <c r="C55" i="1" s="1"/>
  <c r="F41" i="4"/>
  <c r="F40" i="4"/>
  <c r="D46" i="4"/>
  <c r="D9" i="4"/>
  <c r="M4" i="8" s="1"/>
  <c r="E32" i="4"/>
  <c r="E63" i="4"/>
  <c r="F49" i="4"/>
  <c r="F2" i="4"/>
  <c r="F51" i="4" s="1"/>
  <c r="F57" i="4"/>
  <c r="F47" i="4"/>
  <c r="G8" i="4"/>
  <c r="P9" i="8" s="1"/>
  <c r="C19" i="4"/>
  <c r="C22" i="4" s="1"/>
  <c r="D34" i="4"/>
  <c r="D33" i="4"/>
  <c r="D12" i="4"/>
  <c r="M11" i="8" s="1"/>
  <c r="F46" i="4"/>
  <c r="F9" i="4"/>
  <c r="O4" i="8" s="1"/>
  <c r="G32" i="4"/>
  <c r="G63" i="4"/>
  <c r="D2" i="4"/>
  <c r="D45" i="4"/>
  <c r="D57" i="4"/>
  <c r="D47" i="4"/>
  <c r="C32" i="4"/>
  <c r="C63" i="4"/>
  <c r="G49" i="4"/>
  <c r="E62" i="4"/>
  <c r="F32" i="4"/>
  <c r="F63" i="4"/>
  <c r="C31" i="4"/>
  <c r="C4" i="4"/>
  <c r="C6" i="4"/>
  <c r="C54" i="4"/>
  <c r="D54" i="4"/>
  <c r="M2" i="8" s="1"/>
  <c r="E72" i="4"/>
  <c r="E45" i="4"/>
  <c r="C64" i="4"/>
  <c r="F43" i="4"/>
  <c r="G14" i="4"/>
  <c r="G58" i="4"/>
  <c r="G56" i="4"/>
  <c r="G50" i="4"/>
  <c r="D58" i="4"/>
  <c r="C58" i="4"/>
  <c r="D14" i="4"/>
  <c r="C14" i="4" s="1"/>
  <c r="E13" i="4"/>
  <c r="N16" i="8" s="1"/>
  <c r="G54" i="4"/>
  <c r="P2" i="8" s="1"/>
  <c r="E55" i="4"/>
  <c r="G43" i="4"/>
  <c r="D37" i="4"/>
  <c r="F54" i="4"/>
  <c r="O2" i="8" s="1"/>
  <c r="G9" i="4"/>
  <c r="P4" i="8" s="1"/>
  <c r="G46" i="4"/>
  <c r="C41" i="4"/>
  <c r="C49" i="4"/>
  <c r="G12" i="4"/>
  <c r="P11" i="8" s="1"/>
  <c r="D3" i="4"/>
  <c r="M10" i="8" s="1"/>
  <c r="E3" i="4"/>
  <c r="N10" i="8" s="1"/>
  <c r="D110" i="8" l="1"/>
  <c r="D111" i="8" s="1"/>
  <c r="D112" i="8" s="1"/>
  <c r="H21" i="1" s="1"/>
  <c r="F7" i="4"/>
  <c r="D51" i="4"/>
  <c r="D127" i="8"/>
  <c r="D102" i="8"/>
  <c r="D106" i="8" s="1"/>
  <c r="F5" i="4"/>
  <c r="F15" i="4" s="1"/>
  <c r="W3" i="8"/>
  <c r="M21" i="8" s="1"/>
  <c r="D128" i="8"/>
  <c r="D130" i="8" s="1"/>
  <c r="B151" i="8"/>
  <c r="B152" i="8" s="1"/>
  <c r="B48" i="8"/>
  <c r="B37" i="8"/>
  <c r="B38" i="8" s="1"/>
  <c r="B39" i="8"/>
  <c r="C36" i="8"/>
  <c r="B47" i="8"/>
  <c r="B46" i="8"/>
  <c r="C13" i="4"/>
  <c r="H13" i="4" s="1"/>
  <c r="L16" i="8" s="1"/>
  <c r="M16" i="8"/>
  <c r="H49" i="4"/>
  <c r="C68" i="8"/>
  <c r="B78" i="8"/>
  <c r="B79" i="8"/>
  <c r="B80" i="8"/>
  <c r="B71" i="8"/>
  <c r="B69" i="8"/>
  <c r="B70" i="8" s="1"/>
  <c r="B6" i="8"/>
  <c r="W27" i="8"/>
  <c r="S34" i="8" s="1"/>
  <c r="B14" i="8"/>
  <c r="B15" i="8"/>
  <c r="C3" i="8"/>
  <c r="B4" i="8"/>
  <c r="B5" i="8" s="1"/>
  <c r="B7" i="8" s="1"/>
  <c r="B9" i="8" s="1"/>
  <c r="B10" i="8" s="1"/>
  <c r="B11" i="8" s="1"/>
  <c r="B13" i="8"/>
  <c r="H32" i="4"/>
  <c r="H41" i="4"/>
  <c r="H58" i="4"/>
  <c r="D116" i="8" s="1"/>
  <c r="D118" i="8" s="1"/>
  <c r="D119" i="8" s="1"/>
  <c r="H47" i="4"/>
  <c r="H54" i="4"/>
  <c r="E5" i="4"/>
  <c r="E15" i="4" s="1"/>
  <c r="C3" i="4"/>
  <c r="C12" i="4"/>
  <c r="H12" i="4" s="1"/>
  <c r="L11" i="8" s="1"/>
  <c r="H45" i="4"/>
  <c r="H62" i="4"/>
  <c r="H46" i="4"/>
  <c r="D15" i="4"/>
  <c r="B32" i="2"/>
  <c r="G42" i="4"/>
  <c r="H8" i="4"/>
  <c r="L9" i="8" s="1"/>
  <c r="B7" i="2"/>
  <c r="E54" i="1"/>
  <c r="C38" i="4"/>
  <c r="H57" i="4"/>
  <c r="D52" i="4"/>
  <c r="C52" i="4" s="1"/>
  <c r="H16" i="4"/>
  <c r="C11" i="4"/>
  <c r="H11" i="4" s="1"/>
  <c r="L6" i="8" s="1"/>
  <c r="H33" i="4"/>
  <c r="H35" i="4"/>
  <c r="H34" i="4"/>
  <c r="C16" i="2"/>
  <c r="B21" i="2"/>
  <c r="H50" i="4"/>
  <c r="B15" i="2"/>
  <c r="C9" i="4"/>
  <c r="H9" i="4" s="1"/>
  <c r="L4" i="8" s="1"/>
  <c r="E53" i="1"/>
  <c r="B6" i="2"/>
  <c r="C37" i="4"/>
  <c r="B28" i="2"/>
  <c r="F61" i="4"/>
  <c r="C33" i="2"/>
  <c r="B33" i="2"/>
  <c r="B22" i="2"/>
  <c r="D22" i="2" s="1"/>
  <c r="H43" i="4"/>
  <c r="H56" i="4"/>
  <c r="B27" i="2"/>
  <c r="H6" i="4"/>
  <c r="C7" i="4"/>
  <c r="E71" i="4"/>
  <c r="C23" i="4"/>
  <c r="N13" i="8" s="1"/>
  <c r="E61" i="4"/>
  <c r="B8" i="2"/>
  <c r="E55" i="1"/>
  <c r="C39" i="4"/>
  <c r="C5" i="4"/>
  <c r="H5" i="4" s="1"/>
  <c r="H4" i="4"/>
  <c r="H63" i="4"/>
  <c r="B17" i="2"/>
  <c r="H55" i="4"/>
  <c r="H31" i="4"/>
  <c r="B16" i="2"/>
  <c r="B9" i="2"/>
  <c r="H14" i="4"/>
  <c r="H2" i="4"/>
  <c r="C51" i="4"/>
  <c r="E7" i="4"/>
  <c r="B10" i="2"/>
  <c r="H40" i="4"/>
  <c r="D61" i="4"/>
  <c r="C10" i="4"/>
  <c r="H10" i="4" s="1"/>
  <c r="L5" i="8" s="1"/>
  <c r="B34" i="2"/>
  <c r="H23" i="1" l="1"/>
  <c r="H22" i="1"/>
  <c r="B16" i="8"/>
  <c r="B17" i="8" s="1"/>
  <c r="C79" i="8"/>
  <c r="D68" i="8"/>
  <c r="C78" i="8"/>
  <c r="C69" i="8"/>
  <c r="C70" i="8" s="1"/>
  <c r="C80" i="8"/>
  <c r="C71" i="8"/>
  <c r="C37" i="8"/>
  <c r="C38" i="8" s="1"/>
  <c r="D36" i="8"/>
  <c r="C47" i="8"/>
  <c r="C46" i="8"/>
  <c r="C48" i="8"/>
  <c r="C39" i="8"/>
  <c r="C40" i="8" s="1"/>
  <c r="C42" i="8" s="1"/>
  <c r="C43" i="8" s="1"/>
  <c r="C44" i="8" s="1"/>
  <c r="T31" i="8"/>
  <c r="T30" i="8"/>
  <c r="L2" i="8"/>
  <c r="C14" i="8"/>
  <c r="C13" i="8"/>
  <c r="C6" i="8"/>
  <c r="D3" i="8"/>
  <c r="C4" i="8"/>
  <c r="C5" i="8" s="1"/>
  <c r="C7" i="8" s="1"/>
  <c r="C9" i="8" s="1"/>
  <c r="C10" i="8" s="1"/>
  <c r="C11" i="8" s="1"/>
  <c r="C15" i="8"/>
  <c r="B40" i="8"/>
  <c r="B42" i="8" s="1"/>
  <c r="B43" i="8" s="1"/>
  <c r="B44" i="8" s="1"/>
  <c r="B49" i="8" s="1"/>
  <c r="B50" i="8" s="1"/>
  <c r="B72" i="8"/>
  <c r="B74" i="8" s="1"/>
  <c r="C9" i="2"/>
  <c r="E9" i="2" s="1"/>
  <c r="C32" i="2"/>
  <c r="E32" i="2" s="1"/>
  <c r="H39" i="4"/>
  <c r="F55" i="1"/>
  <c r="C27" i="2"/>
  <c r="E27" i="2" s="1"/>
  <c r="E33" i="2"/>
  <c r="D33" i="2"/>
  <c r="F42" i="4"/>
  <c r="D32" i="2"/>
  <c r="B12" i="1"/>
  <c r="C10" i="2"/>
  <c r="E10" i="2" s="1"/>
  <c r="E42" i="4"/>
  <c r="D9" i="2"/>
  <c r="B9" i="1"/>
  <c r="C15" i="2"/>
  <c r="E15" i="2" s="1"/>
  <c r="C22" i="2"/>
  <c r="E22" i="2" s="1"/>
  <c r="F22" i="2" s="1"/>
  <c r="D8" i="2"/>
  <c r="D27" i="2"/>
  <c r="H37" i="4"/>
  <c r="F53" i="1"/>
  <c r="B8" i="1"/>
  <c r="D15" i="2"/>
  <c r="C23" i="2"/>
  <c r="E23" i="2" s="1"/>
  <c r="F23" i="2" s="1"/>
  <c r="D10" i="2"/>
  <c r="H51" i="4"/>
  <c r="E16" i="2"/>
  <c r="D16" i="2"/>
  <c r="D6" i="2"/>
  <c r="C21" i="2"/>
  <c r="E21" i="2" s="1"/>
  <c r="D17" i="2"/>
  <c r="D34" i="2"/>
  <c r="B6" i="1"/>
  <c r="D21" i="2"/>
  <c r="C65" i="4"/>
  <c r="C34" i="2"/>
  <c r="E34" i="2" s="1"/>
  <c r="H38" i="4"/>
  <c r="F54" i="1"/>
  <c r="C17" i="2"/>
  <c r="E17" i="2" s="1"/>
  <c r="H7" i="4"/>
  <c r="B10" i="1"/>
  <c r="D42" i="4"/>
  <c r="D28" i="2"/>
  <c r="C28" i="2"/>
  <c r="E28" i="2" s="1"/>
  <c r="H3" i="4"/>
  <c r="L10" i="8" s="1"/>
  <c r="C15" i="4"/>
  <c r="C61" i="4"/>
  <c r="H52" i="4"/>
  <c r="H61" i="4"/>
  <c r="B11" i="2"/>
  <c r="C49" i="8" l="1"/>
  <c r="C50" i="8" s="1"/>
  <c r="T32" i="8"/>
  <c r="T33" i="8" s="1"/>
  <c r="T34" i="8" s="1"/>
  <c r="U31" i="8" s="1"/>
  <c r="B75" i="8"/>
  <c r="B76" i="8" s="1"/>
  <c r="B81" i="8" s="1"/>
  <c r="B82" i="8" s="1"/>
  <c r="C16" i="8"/>
  <c r="D47" i="8"/>
  <c r="D39" i="8"/>
  <c r="D48" i="8"/>
  <c r="D37" i="8"/>
  <c r="D38" i="8" s="1"/>
  <c r="D40" i="8" s="1"/>
  <c r="D42" i="8" s="1"/>
  <c r="D43" i="8" s="1"/>
  <c r="D44" i="8" s="1"/>
  <c r="E36" i="8"/>
  <c r="D46" i="8"/>
  <c r="D15" i="8"/>
  <c r="D6" i="8"/>
  <c r="D14" i="8"/>
  <c r="E3" i="8"/>
  <c r="D4" i="8"/>
  <c r="D5" i="8" s="1"/>
  <c r="D13" i="8"/>
  <c r="C72" i="8"/>
  <c r="C74" i="8" s="1"/>
  <c r="C75" i="8" s="1"/>
  <c r="C76" i="8" s="1"/>
  <c r="C81" i="8" s="1"/>
  <c r="C82" i="8" s="1"/>
  <c r="D79" i="8"/>
  <c r="E68" i="8"/>
  <c r="D71" i="8"/>
  <c r="D69" i="8"/>
  <c r="D70" i="8" s="1"/>
  <c r="D78" i="8"/>
  <c r="D80" i="8"/>
  <c r="F33" i="2"/>
  <c r="F34" i="2"/>
  <c r="N7" i="1"/>
  <c r="F16" i="2"/>
  <c r="O7" i="1"/>
  <c r="F10" i="2"/>
  <c r="F21" i="2"/>
  <c r="F24" i="2" s="1"/>
  <c r="C6" i="2"/>
  <c r="E6" i="2" s="1"/>
  <c r="F6" i="2" s="1"/>
  <c r="C11" i="2"/>
  <c r="E11" i="2" s="1"/>
  <c r="F27" i="2"/>
  <c r="C8" i="2"/>
  <c r="E8" i="2" s="1"/>
  <c r="F8" i="2" s="1"/>
  <c r="C7" i="2"/>
  <c r="F7" i="2" s="1"/>
  <c r="F9" i="2"/>
  <c r="F28" i="2"/>
  <c r="F15" i="2"/>
  <c r="F17" i="2"/>
  <c r="D11" i="2"/>
  <c r="B11" i="1"/>
  <c r="C42" i="4"/>
  <c r="H42" i="4" s="1"/>
  <c r="H15" i="4"/>
  <c r="F32" i="2"/>
  <c r="D72" i="8" l="1"/>
  <c r="D74" i="8" s="1"/>
  <c r="D75" i="8" s="1"/>
  <c r="D76" i="8" s="1"/>
  <c r="U30" i="8"/>
  <c r="U32" i="8" s="1"/>
  <c r="U33" i="8" s="1"/>
  <c r="U34" i="8" s="1"/>
  <c r="V31" i="8" s="1"/>
  <c r="D49" i="8"/>
  <c r="D50" i="8" s="1"/>
  <c r="E46" i="8"/>
  <c r="E48" i="8"/>
  <c r="E47" i="8"/>
  <c r="E39" i="8"/>
  <c r="E37" i="8"/>
  <c r="E38" i="8" s="1"/>
  <c r="E40" i="8" s="1"/>
  <c r="E42" i="8" s="1"/>
  <c r="E43" i="8" s="1"/>
  <c r="E44" i="8" s="1"/>
  <c r="E49" i="8" s="1"/>
  <c r="E50" i="8" s="1"/>
  <c r="F36" i="8"/>
  <c r="C17" i="8"/>
  <c r="F68" i="8"/>
  <c r="E79" i="8"/>
  <c r="E78" i="8"/>
  <c r="E69" i="8"/>
  <c r="E70" i="8" s="1"/>
  <c r="E71" i="8"/>
  <c r="E80" i="8"/>
  <c r="D7" i="8"/>
  <c r="D9" i="8" s="1"/>
  <c r="D10" i="8" s="1"/>
  <c r="D11" i="8" s="1"/>
  <c r="D16" i="8" s="1"/>
  <c r="D17" i="8" s="1"/>
  <c r="D81" i="8"/>
  <c r="D82" i="8" s="1"/>
  <c r="F3" i="8"/>
  <c r="E14" i="8"/>
  <c r="E13" i="8"/>
  <c r="E4" i="8"/>
  <c r="E5" i="8" s="1"/>
  <c r="E15" i="8"/>
  <c r="E6" i="8"/>
  <c r="C6" i="1"/>
  <c r="C10" i="1"/>
  <c r="F18" i="2"/>
  <c r="C8" i="1"/>
  <c r="F29" i="2"/>
  <c r="F11" i="2"/>
  <c r="F12" i="2" s="1"/>
  <c r="F35" i="2"/>
  <c r="C12" i="1"/>
  <c r="C9" i="1"/>
  <c r="B16" i="1"/>
  <c r="C16" i="1" s="1"/>
  <c r="B48" i="2"/>
  <c r="D48" i="2" s="1"/>
  <c r="V30" i="8" l="1"/>
  <c r="E72" i="8"/>
  <c r="E74" i="8" s="1"/>
  <c r="E75" i="8" s="1"/>
  <c r="E76" i="8" s="1"/>
  <c r="E81" i="8" s="1"/>
  <c r="E82" i="8" s="1"/>
  <c r="V32" i="8"/>
  <c r="V33" i="8" s="1"/>
  <c r="V34" i="8" s="1"/>
  <c r="W31" i="8" s="1"/>
  <c r="F79" i="8"/>
  <c r="F80" i="8"/>
  <c r="F69" i="8"/>
  <c r="F70" i="8" s="1"/>
  <c r="F71" i="8"/>
  <c r="F78" i="8"/>
  <c r="E7" i="8"/>
  <c r="E9" i="8" s="1"/>
  <c r="E10" i="8" s="1"/>
  <c r="E11" i="8" s="1"/>
  <c r="E16" i="8" s="1"/>
  <c r="F6" i="8"/>
  <c r="F13" i="8"/>
  <c r="F15" i="8"/>
  <c r="F14" i="8"/>
  <c r="F4" i="8"/>
  <c r="F5" i="8" s="1"/>
  <c r="F47" i="8"/>
  <c r="F48" i="8"/>
  <c r="F46" i="8"/>
  <c r="F37" i="8"/>
  <c r="F38" i="8" s="1"/>
  <c r="F39" i="8"/>
  <c r="B46" i="2"/>
  <c r="D46" i="2" s="1"/>
  <c r="B15" i="1"/>
  <c r="C15" i="1" s="1"/>
  <c r="B47" i="2"/>
  <c r="D47" i="2" s="1"/>
  <c r="B49" i="2"/>
  <c r="D49" i="2" s="1"/>
  <c r="B17" i="1"/>
  <c r="C17" i="1" s="1"/>
  <c r="C11" i="1"/>
  <c r="B50" i="2"/>
  <c r="D50" i="2" s="1"/>
  <c r="B18" i="1"/>
  <c r="C18" i="1" s="1"/>
  <c r="F7" i="8" l="1"/>
  <c r="W30" i="8"/>
  <c r="W32" i="8"/>
  <c r="W33" i="8" s="1"/>
  <c r="W34" i="8" s="1"/>
  <c r="X31" i="8" s="1"/>
  <c r="E17" i="8"/>
  <c r="F40" i="8"/>
  <c r="F42" i="8" s="1"/>
  <c r="F72" i="8"/>
  <c r="F74" i="8" s="1"/>
  <c r="F75" i="8" s="1"/>
  <c r="F76" i="8" s="1"/>
  <c r="F81" i="8" s="1"/>
  <c r="F18" i="8"/>
  <c r="F9" i="8"/>
  <c r="F10" i="8" s="1"/>
  <c r="F11" i="8" s="1"/>
  <c r="F16" i="8" s="1"/>
  <c r="X30" i="8"/>
  <c r="I180" i="8"/>
  <c r="X32" i="8" l="1"/>
  <c r="X33" i="8" s="1"/>
  <c r="X34" i="8" s="1"/>
  <c r="Y30" i="8" s="1"/>
  <c r="F82" i="8"/>
  <c r="F85" i="8"/>
  <c r="F86" i="8" s="1"/>
  <c r="F17" i="8"/>
  <c r="F21" i="8"/>
  <c r="F22" i="8" s="1"/>
  <c r="I16" i="8" a="1"/>
  <c r="I16" i="8" s="1"/>
  <c r="K44" i="8" s="1"/>
  <c r="F43" i="8"/>
  <c r="F44" i="8" s="1"/>
  <c r="F49" i="8" s="1"/>
  <c r="S18" i="8"/>
  <c r="W6" i="8"/>
  <c r="W7" i="8" s="1"/>
  <c r="W8" i="8" s="1"/>
  <c r="W9" i="8" s="1"/>
  <c r="F23" i="8"/>
  <c r="B153" i="8"/>
  <c r="E149" i="8" s="1"/>
  <c r="B154" i="8"/>
  <c r="F149" i="8" s="1"/>
  <c r="D53" i="2"/>
  <c r="B20" i="1"/>
  <c r="Y31" i="8" l="1"/>
  <c r="Y32" i="8" s="1"/>
  <c r="Y33" i="8" s="1"/>
  <c r="Y34" i="8" s="1"/>
  <c r="F53" i="8"/>
  <c r="F54" i="8" s="1"/>
  <c r="F50" i="8"/>
  <c r="J44" i="8"/>
  <c r="I44" i="8"/>
  <c r="N29" i="8"/>
  <c r="N21" i="8"/>
  <c r="F26" i="8"/>
  <c r="F28" i="8" s="1"/>
  <c r="W41" i="8"/>
  <c r="M26" i="8" s="1"/>
  <c r="M22" i="8"/>
  <c r="X11" i="8"/>
  <c r="W11" i="8"/>
  <c r="F87" i="8"/>
  <c r="F90" i="8" s="1"/>
  <c r="F92" i="8" s="1"/>
  <c r="T15" i="8"/>
  <c r="T16" i="8"/>
  <c r="E152" i="8"/>
  <c r="G149" i="8"/>
  <c r="F168" i="8" s="1"/>
  <c r="E169" i="8" s="1"/>
  <c r="B155" i="8"/>
  <c r="J180" i="8"/>
  <c r="J352" i="8"/>
  <c r="J212" i="8"/>
  <c r="J229" i="8"/>
  <c r="J184" i="8"/>
  <c r="J285" i="8"/>
  <c r="J355" i="8"/>
  <c r="J518" i="8"/>
  <c r="J476" i="8"/>
  <c r="J578" i="8"/>
  <c r="J619" i="8"/>
  <c r="J647" i="8"/>
  <c r="J615" i="8"/>
  <c r="J549" i="8"/>
  <c r="J712" i="8"/>
  <c r="J793" i="8"/>
  <c r="J794" i="8"/>
  <c r="J652" i="8"/>
  <c r="J715" i="8"/>
  <c r="J811" i="8"/>
  <c r="J986" i="8"/>
  <c r="J870" i="8"/>
  <c r="J808" i="8"/>
  <c r="J253" i="8"/>
  <c r="J894" i="8"/>
  <c r="J1050" i="8"/>
  <c r="J1136" i="8"/>
  <c r="J1055" i="8"/>
  <c r="J1087" i="8"/>
  <c r="J1109" i="8"/>
  <c r="J837" i="8"/>
  <c r="J1131" i="8"/>
  <c r="J1141" i="8"/>
  <c r="J815" i="8"/>
  <c r="J1174" i="8"/>
  <c r="J850" i="8"/>
  <c r="J932" i="8"/>
  <c r="J1000" i="8"/>
  <c r="J1112" i="8"/>
  <c r="J891" i="8"/>
  <c r="J1095" i="8"/>
  <c r="J913" i="8"/>
  <c r="J1092" i="8"/>
  <c r="J915" i="8"/>
  <c r="J809" i="8"/>
  <c r="J907" i="8"/>
  <c r="J909" i="8"/>
  <c r="J828" i="8"/>
  <c r="J817" i="8"/>
  <c r="J1005" i="8"/>
  <c r="J841" i="8"/>
  <c r="J627" i="8"/>
  <c r="J834" i="8"/>
  <c r="J899" i="8"/>
  <c r="J690" i="8"/>
  <c r="J1111" i="8"/>
  <c r="J1137" i="8"/>
  <c r="J997" i="8"/>
  <c r="J920" i="8"/>
  <c r="J983" i="8"/>
  <c r="J1078" i="8"/>
  <c r="J1031" i="8"/>
  <c r="J694" i="8"/>
  <c r="J968" i="8"/>
  <c r="J842" i="8"/>
  <c r="J919" i="8"/>
  <c r="J822" i="8"/>
  <c r="J820" i="8"/>
  <c r="J762" i="8"/>
  <c r="J819" i="8"/>
  <c r="J795" i="8"/>
  <c r="J1018" i="8"/>
  <c r="J1069" i="8"/>
  <c r="J1176" i="8"/>
  <c r="J1145" i="8"/>
  <c r="J861" i="8"/>
  <c r="J1070" i="8"/>
  <c r="J750" i="8"/>
  <c r="J1017" i="8"/>
  <c r="J746" i="8"/>
  <c r="J1119" i="8"/>
  <c r="J1010" i="8"/>
  <c r="J636" i="8"/>
  <c r="J806" i="8"/>
  <c r="J897" i="8"/>
  <c r="J667" i="8"/>
  <c r="J624" i="8"/>
  <c r="J1158" i="8"/>
  <c r="J1091" i="8"/>
  <c r="J1157" i="8"/>
  <c r="J1042" i="8"/>
  <c r="J1168" i="8"/>
  <c r="J831" i="8"/>
  <c r="J835" i="8"/>
  <c r="J927" i="8"/>
  <c r="J778" i="8"/>
  <c r="J871" i="8"/>
  <c r="J999" i="8"/>
  <c r="J775" i="8"/>
  <c r="J1160" i="8"/>
  <c r="J1015" i="8"/>
  <c r="J1165" i="8"/>
  <c r="J1014" i="8"/>
  <c r="J957" i="8"/>
  <c r="J1142" i="8"/>
  <c r="J1019" i="8"/>
  <c r="J1129" i="8"/>
  <c r="J1084" i="8"/>
  <c r="J1062" i="8"/>
  <c r="J827" i="8"/>
  <c r="J1177" i="8"/>
  <c r="J1033" i="8"/>
  <c r="J955" i="8"/>
  <c r="J961" i="8"/>
  <c r="J693" i="8"/>
  <c r="J1102" i="8"/>
  <c r="J814" i="8"/>
  <c r="J1110" i="8"/>
  <c r="J1105" i="8"/>
  <c r="J895" i="8"/>
  <c r="J657" i="8"/>
  <c r="J930" i="8"/>
  <c r="J736" i="8"/>
  <c r="J1100" i="8"/>
  <c r="J1013" i="8"/>
  <c r="J1098" i="8"/>
  <c r="J1172" i="8"/>
  <c r="J699" i="8"/>
  <c r="J847" i="8"/>
  <c r="J935" i="8"/>
  <c r="J813" i="8"/>
  <c r="J675" i="8"/>
  <c r="J718" i="8"/>
  <c r="J937" i="8"/>
  <c r="J774" i="8"/>
  <c r="J812" i="8"/>
  <c r="J829" i="8"/>
  <c r="J753" i="8"/>
  <c r="J629" i="8"/>
  <c r="J575" i="8"/>
  <c r="J377" i="8"/>
  <c r="J654" i="8"/>
  <c r="J598" i="8"/>
  <c r="J435" i="8"/>
  <c r="J275" i="8"/>
  <c r="J265" i="8"/>
  <c r="J971" i="8"/>
  <c r="J1154" i="8"/>
  <c r="J1032" i="8"/>
  <c r="J1163" i="8"/>
  <c r="J651" i="8"/>
  <c r="J921" i="8"/>
  <c r="J1028" i="8"/>
  <c r="J1088" i="8"/>
  <c r="J898" i="8"/>
  <c r="J886" i="8"/>
  <c r="J804" i="8"/>
  <c r="J733" i="8"/>
  <c r="J781" i="8"/>
  <c r="J749" i="8"/>
  <c r="J243" i="8"/>
  <c r="J1126" i="8"/>
  <c r="J856" i="8"/>
  <c r="J1151" i="8"/>
  <c r="J1115" i="8"/>
  <c r="J1113" i="8"/>
  <c r="J1152" i="8"/>
  <c r="J741" i="8"/>
  <c r="J514" i="8"/>
  <c r="J1003" i="8"/>
  <c r="J705" i="8"/>
  <c r="J756" i="8"/>
  <c r="J731" i="8"/>
  <c r="J623" i="8"/>
  <c r="J685" i="8"/>
  <c r="J580" i="8"/>
  <c r="J562" i="8"/>
  <c r="J601" i="8"/>
  <c r="J430" i="8"/>
  <c r="J635" i="8"/>
  <c r="J617" i="8"/>
  <c r="J609" i="8"/>
  <c r="J574" i="8"/>
  <c r="J458" i="8"/>
  <c r="J282" i="8"/>
  <c r="J496" i="8"/>
  <c r="J1127" i="8"/>
  <c r="J783" i="8"/>
  <c r="J1155" i="8"/>
  <c r="J1094" i="8"/>
  <c r="J975" i="8"/>
  <c r="J1132" i="8"/>
  <c r="J1146" i="8"/>
  <c r="J1082" i="8"/>
  <c r="J1128" i="8"/>
  <c r="J1047" i="8"/>
  <c r="J1178" i="8"/>
  <c r="J1072" i="8"/>
  <c r="J926" i="8"/>
  <c r="J437" i="8"/>
  <c r="J1144" i="8"/>
  <c r="J966" i="8"/>
  <c r="J892" i="8"/>
  <c r="J982" i="8"/>
  <c r="J972" i="8"/>
  <c r="J906" i="8"/>
  <c r="J994" i="8"/>
  <c r="J797" i="8"/>
  <c r="J521" i="8"/>
  <c r="J708" i="8"/>
  <c r="J721" i="8"/>
  <c r="J674" i="8"/>
  <c r="J707" i="8"/>
  <c r="J599" i="8"/>
  <c r="J695" i="8"/>
  <c r="J568" i="8"/>
  <c r="J1022" i="8"/>
  <c r="J1057" i="8"/>
  <c r="J1074" i="8"/>
  <c r="J1060" i="8"/>
  <c r="J1107" i="8"/>
  <c r="J1035" i="8"/>
  <c r="J977" i="8"/>
  <c r="J407" i="8"/>
  <c r="J754" i="8"/>
  <c r="J830" i="8"/>
  <c r="J1044" i="8"/>
  <c r="J946" i="8"/>
  <c r="J872" i="8"/>
  <c r="J789" i="8"/>
  <c r="J475" i="8"/>
  <c r="J495" i="8"/>
  <c r="J668" i="8"/>
  <c r="J492" i="8"/>
  <c r="J573" i="8"/>
  <c r="J251" i="8"/>
  <c r="J398" i="8"/>
  <c r="J459" i="8"/>
  <c r="J209" i="8"/>
  <c r="J296" i="8"/>
  <c r="J317" i="8"/>
  <c r="J262" i="8"/>
  <c r="J300" i="8"/>
  <c r="J280" i="8"/>
  <c r="J362" i="8"/>
  <c r="J245" i="8"/>
  <c r="J370" i="8"/>
  <c r="J319" i="8"/>
  <c r="J442" i="8"/>
  <c r="J663" i="8"/>
  <c r="J1101" i="8"/>
  <c r="J1056" i="8"/>
  <c r="J616" i="8"/>
  <c r="J311" i="8"/>
  <c r="J185" i="8"/>
  <c r="J326" i="8"/>
  <c r="J327" i="8"/>
  <c r="J220" i="8"/>
  <c r="J725" i="8"/>
  <c r="J449" i="8"/>
  <c r="J453" i="8"/>
  <c r="J374" i="8"/>
  <c r="J328" i="8"/>
  <c r="J1134" i="8"/>
  <c r="J1162" i="8"/>
  <c r="J728" i="8"/>
  <c r="J451" i="8"/>
  <c r="J739" i="8"/>
  <c r="J366" i="8"/>
  <c r="J237" i="8"/>
  <c r="J465" i="8"/>
  <c r="J564" i="8"/>
  <c r="J655" i="8"/>
  <c r="J515" i="8"/>
  <c r="J455" i="8"/>
  <c r="J276" i="8"/>
  <c r="J416" i="8"/>
  <c r="J373" i="8"/>
  <c r="J290" i="8"/>
  <c r="J382" i="8"/>
  <c r="J415" i="8"/>
  <c r="J341" i="8"/>
  <c r="J233" i="8"/>
  <c r="J371" i="8"/>
  <c r="J347" i="8"/>
  <c r="J869" i="8"/>
  <c r="J784" i="8"/>
  <c r="J681" i="8"/>
  <c r="J988" i="8"/>
  <c r="J538" i="8"/>
  <c r="J551" i="8"/>
  <c r="J307" i="8"/>
  <c r="J466" i="8"/>
  <c r="J487" i="8"/>
  <c r="J747" i="8"/>
  <c r="J570" i="8"/>
  <c r="J405" i="8"/>
  <c r="J1171" i="8"/>
  <c r="J864" i="8"/>
  <c r="J942" i="8"/>
  <c r="J1009" i="8"/>
  <c r="J333" i="8"/>
  <c r="J669" i="8"/>
  <c r="J785" i="8"/>
  <c r="J866" i="8"/>
  <c r="J947" i="8"/>
  <c r="J735" i="8"/>
  <c r="J767" i="8"/>
  <c r="J519" i="8"/>
  <c r="J823" i="8"/>
  <c r="J763" i="8"/>
  <c r="J446" i="8"/>
  <c r="J688" i="8"/>
  <c r="J697" i="8"/>
  <c r="J612" i="8"/>
  <c r="J268" i="8"/>
  <c r="J571" i="8"/>
  <c r="J187" i="8"/>
  <c r="J213" i="8"/>
  <c r="J434" i="8"/>
  <c r="J665" i="8"/>
  <c r="J422" i="8"/>
  <c r="J321" i="8"/>
  <c r="J1122" i="8"/>
  <c r="J1123" i="8"/>
  <c r="J1073" i="8"/>
  <c r="J836" i="8"/>
  <c r="J686" i="8"/>
  <c r="J230" i="8"/>
  <c r="J691" i="8"/>
  <c r="J395" i="8"/>
  <c r="J537" i="8"/>
  <c r="J648" i="8"/>
  <c r="J189" i="8"/>
  <c r="J391" i="8"/>
  <c r="J363" i="8"/>
  <c r="J281" i="8"/>
  <c r="J294" i="8"/>
  <c r="J240" i="8"/>
  <c r="J292" i="8"/>
  <c r="J342" i="8"/>
  <c r="J261" i="8"/>
  <c r="J182" i="8"/>
  <c r="J271" i="8"/>
  <c r="J198" i="8"/>
  <c r="J226" i="8"/>
  <c r="J238" i="8"/>
  <c r="J1147" i="8"/>
  <c r="J890" i="8"/>
  <c r="J614" i="8"/>
  <c r="J902" i="8"/>
  <c r="J859" i="8"/>
  <c r="J959" i="8"/>
  <c r="J877" i="8"/>
  <c r="J745" i="8"/>
  <c r="J610" i="8"/>
  <c r="J873" i="8"/>
  <c r="J759" i="8"/>
  <c r="J431" i="8"/>
  <c r="J572" i="8"/>
  <c r="J525" i="8"/>
  <c r="J410" i="8"/>
  <c r="J205" i="8"/>
  <c r="J368" i="8"/>
  <c r="J258" i="8"/>
  <c r="J1025" i="8"/>
  <c r="J512" i="8"/>
  <c r="J611" i="8"/>
  <c r="J671" i="8"/>
  <c r="J329" i="8"/>
  <c r="J760" i="8"/>
  <c r="J764" i="8"/>
  <c r="J484" i="8"/>
  <c r="J633" i="8"/>
  <c r="J336" i="8"/>
  <c r="J210" i="8"/>
  <c r="J224" i="8"/>
  <c r="J976" i="8"/>
  <c r="J717" i="8"/>
  <c r="J833" i="8"/>
  <c r="J766" i="8"/>
  <c r="J748" i="8"/>
  <c r="J428" i="8"/>
  <c r="J597" i="8"/>
  <c r="J491" i="8"/>
  <c r="J554" i="8"/>
  <c r="J493" i="8"/>
  <c r="J234" i="8"/>
  <c r="J359" i="8"/>
  <c r="J427" i="8"/>
  <c r="J360" i="8"/>
  <c r="J190" i="8"/>
  <c r="J314" i="8"/>
  <c r="J1066" i="8"/>
  <c r="J516" i="8"/>
  <c r="J585" i="8"/>
  <c r="J231" i="8"/>
  <c r="J1179" i="8"/>
  <c r="J791" i="8"/>
  <c r="J468" i="8"/>
  <c r="J534" i="8"/>
  <c r="J742" i="8"/>
  <c r="J631" i="8"/>
  <c r="J557" i="8"/>
  <c r="J211" i="8"/>
  <c r="J335" i="8"/>
  <c r="J533" i="8"/>
  <c r="J218" i="8"/>
  <c r="J247" i="8"/>
  <c r="J338" i="8"/>
  <c r="J1114" i="8"/>
  <c r="J709" i="8"/>
  <c r="J868" i="8"/>
  <c r="J963" i="8"/>
  <c r="J849" i="8"/>
  <c r="J773" i="8"/>
  <c r="J613" i="8"/>
  <c r="J586" i="8"/>
  <c r="J413" i="8"/>
  <c r="J477" i="8"/>
  <c r="J248" i="8"/>
  <c r="J289" i="8"/>
  <c r="J188" i="8"/>
  <c r="J664" i="8"/>
  <c r="J696" i="8"/>
  <c r="J620" i="8"/>
  <c r="J777" i="8"/>
  <c r="J801" i="8"/>
  <c r="J638" i="8"/>
  <c r="J508" i="8"/>
  <c r="J272" i="8"/>
  <c r="J687" i="8"/>
  <c r="J408" i="8"/>
  <c r="J424" i="8"/>
  <c r="J587" i="8"/>
  <c r="J349" i="8"/>
  <c r="J304" i="8"/>
  <c r="J249" i="8"/>
  <c r="J310" i="8"/>
  <c r="J1029" i="8"/>
  <c r="J852" i="8"/>
  <c r="J283" i="8"/>
  <c r="J1027" i="8"/>
  <c r="J1041" i="8"/>
  <c r="J807" i="8"/>
  <c r="J934" i="8"/>
  <c r="J954" i="8"/>
  <c r="J565" i="8"/>
  <c r="J730" i="8"/>
  <c r="J676" i="8"/>
  <c r="J480" i="8"/>
  <c r="J467" i="8"/>
  <c r="J369" i="8"/>
  <c r="J244" i="8"/>
  <c r="J216" i="8"/>
  <c r="J206" i="8"/>
  <c r="J324" i="8"/>
  <c r="J223" i="8"/>
  <c r="J259" i="8"/>
  <c r="J192" i="8"/>
  <c r="J303" i="8"/>
  <c r="J860" i="8"/>
  <c r="J1124" i="8"/>
  <c r="J316" i="8"/>
  <c r="J703" i="8"/>
  <c r="J641" i="8"/>
  <c r="J448" i="8"/>
  <c r="J432" i="8"/>
  <c r="J322" i="8"/>
  <c r="J308" i="8"/>
  <c r="J383" i="8"/>
  <c r="J318" i="8"/>
  <c r="J445" i="8"/>
  <c r="J357" i="8"/>
  <c r="J345" i="8"/>
  <c r="J381" i="8"/>
  <c r="J286" i="8"/>
  <c r="J1117" i="8"/>
  <c r="J402" i="8"/>
  <c r="J543" i="8"/>
  <c r="J204" i="8"/>
  <c r="J929" i="8"/>
  <c r="J600" i="8"/>
  <c r="J798" i="8"/>
  <c r="J1118" i="8"/>
  <c r="J375" i="8"/>
  <c r="J653" i="8"/>
  <c r="J550" i="8"/>
  <c r="J479" i="8"/>
  <c r="J528" i="8"/>
  <c r="J279" i="8"/>
  <c r="J501" i="8"/>
  <c r="J385" i="8"/>
  <c r="J441" i="8"/>
  <c r="J346" i="8"/>
  <c r="J217" i="8"/>
  <c r="J305" i="8"/>
  <c r="J219" i="8"/>
  <c r="J254" i="8"/>
  <c r="J677" i="8"/>
  <c r="J274" i="8"/>
  <c r="J556" i="8"/>
  <c r="J826" i="8"/>
  <c r="J881" i="8"/>
  <c r="J1053" i="8"/>
  <c r="J1096" i="8"/>
  <c r="J923" i="8"/>
  <c r="J879" i="8"/>
  <c r="J1021" i="8"/>
  <c r="J855" i="8"/>
  <c r="J761" i="8"/>
  <c r="J520" i="8"/>
  <c r="J743" i="8"/>
  <c r="J662" i="8"/>
  <c r="J670" i="8"/>
  <c r="J414" i="8"/>
  <c r="J509" i="8"/>
  <c r="J438" i="8"/>
  <c r="J257" i="8"/>
  <c r="J293" i="8"/>
  <c r="J463" i="8"/>
  <c r="J315" i="8"/>
  <c r="J483" i="8"/>
  <c r="J287" i="8"/>
  <c r="J227" i="8"/>
  <c r="J301" i="8"/>
  <c r="J252" i="8"/>
  <c r="J269" i="8"/>
  <c r="J242" i="8"/>
  <c r="J1139" i="8"/>
  <c r="J246" i="8"/>
  <c r="J505" i="8"/>
  <c r="J857" i="8"/>
  <c r="J298" i="8"/>
  <c r="J901" i="8"/>
  <c r="J1049" i="8"/>
  <c r="J348" i="8"/>
  <c r="J964" i="8"/>
  <c r="J922" i="8"/>
  <c r="J1007" i="8"/>
  <c r="J270" i="8"/>
  <c r="J1083" i="8"/>
  <c r="J1079" i="8"/>
  <c r="J607" i="8"/>
  <c r="J768" i="8"/>
  <c r="J876" i="8"/>
  <c r="J576" i="8"/>
  <c r="J1130" i="8"/>
  <c r="J723" i="8"/>
  <c r="J250" i="8"/>
  <c r="J566" i="8"/>
  <c r="J456" i="8"/>
  <c r="J302" i="8"/>
  <c r="J863" i="8"/>
  <c r="J603" i="8"/>
  <c r="J482" i="8"/>
  <c r="J278" i="8"/>
  <c r="J782" i="8"/>
  <c r="J875" i="8"/>
  <c r="J273" i="8"/>
  <c r="J344" i="8"/>
  <c r="J810" i="8"/>
  <c r="J780" i="8"/>
  <c r="J996" i="8"/>
  <c r="J443" i="8"/>
  <c r="J506" i="8"/>
  <c r="J840" i="8"/>
  <c r="J683" i="8"/>
  <c r="J772" i="8"/>
  <c r="J411" i="8"/>
  <c r="J799" i="8"/>
  <c r="J1071" i="8"/>
  <c r="J700" i="8"/>
  <c r="J1058" i="8"/>
  <c r="J590" i="8"/>
  <c r="J523" i="8"/>
  <c r="J532" i="8"/>
  <c r="J853" i="8"/>
  <c r="J1054" i="8"/>
  <c r="J918" i="8"/>
  <c r="J969" i="8"/>
  <c r="J330" i="8"/>
  <c r="J241" i="8"/>
  <c r="J559" i="8"/>
  <c r="J548" i="8"/>
  <c r="J1067" i="8"/>
  <c r="J473" i="8"/>
  <c r="J684" i="8"/>
  <c r="J584" i="8"/>
  <c r="J181" i="8"/>
  <c r="J546" i="8"/>
  <c r="J1036" i="8"/>
  <c r="J417" i="8"/>
  <c r="J758" i="8"/>
  <c r="J903" i="8"/>
  <c r="J535" i="8"/>
  <c r="J412" i="8"/>
  <c r="J1093" i="8"/>
  <c r="J734" i="8"/>
  <c r="J1037" i="8"/>
  <c r="J560" i="8"/>
  <c r="J517" i="8"/>
  <c r="J644" i="8"/>
  <c r="J553" i="8"/>
  <c r="J353" i="8"/>
  <c r="J502" i="8"/>
  <c r="J356" i="8"/>
  <c r="J421" i="8"/>
  <c r="J606" i="8"/>
  <c r="J1150" i="8"/>
  <c r="J436" i="8"/>
  <c r="J1039" i="8"/>
  <c r="J958" i="8"/>
  <c r="J640" i="8"/>
  <c r="J887" i="8"/>
  <c r="J313" i="8"/>
  <c r="J904" i="8"/>
  <c r="J358" i="8"/>
  <c r="J555" i="8"/>
  <c r="J1002" i="8"/>
  <c r="J409" i="8"/>
  <c r="J263" i="8"/>
  <c r="J195" i="8"/>
  <c r="J843" i="8"/>
  <c r="J722" i="8"/>
  <c r="J650" i="8"/>
  <c r="J995" i="8"/>
  <c r="J1085" i="8"/>
  <c r="J944" i="8"/>
  <c r="J858" i="8"/>
  <c r="J1076" i="8"/>
  <c r="J802" i="8"/>
  <c r="J306" i="8"/>
  <c r="J882" i="8"/>
  <c r="J1090" i="8"/>
  <c r="J312" i="8"/>
  <c r="J1024" i="8"/>
  <c r="J511" i="8"/>
  <c r="J1026" i="8"/>
  <c r="J1140" i="8"/>
  <c r="J364" i="8"/>
  <c r="J916" i="8"/>
  <c r="J354" i="8"/>
  <c r="J388" i="8"/>
  <c r="J1063" i="8"/>
  <c r="J191" i="8"/>
  <c r="J626" i="8"/>
  <c r="J214" i="8"/>
  <c r="J470" i="8"/>
  <c r="J824" i="8"/>
  <c r="J885" i="8"/>
  <c r="J581" i="8"/>
  <c r="J846" i="8"/>
  <c r="J924" i="8"/>
  <c r="J951" i="8"/>
  <c r="J380" i="8"/>
  <c r="J1081" i="8"/>
  <c r="J469" i="8"/>
  <c r="J545" i="8"/>
  <c r="J645" i="8"/>
  <c r="J1143" i="8"/>
  <c r="J989" i="8"/>
  <c r="J343" i="8"/>
  <c r="J838" i="8"/>
  <c r="J1089" i="8"/>
  <c r="J1045" i="8"/>
  <c r="J1080" i="8"/>
  <c r="J839" i="8"/>
  <c r="J1011" i="8"/>
  <c r="J588" i="8"/>
  <c r="J387" i="8"/>
  <c r="J622" i="8"/>
  <c r="J202" i="8"/>
  <c r="J862" i="8"/>
  <c r="J945" i="8"/>
  <c r="J203" i="8"/>
  <c r="J848" i="8"/>
  <c r="J660" i="8"/>
  <c r="J367" i="8"/>
  <c r="J1103" i="8"/>
  <c r="J444" i="8"/>
  <c r="J706" i="8"/>
  <c r="J228" i="8"/>
  <c r="J910" i="8"/>
  <c r="J917" i="8"/>
  <c r="J594" i="8"/>
  <c r="J938" i="8"/>
  <c r="J392" i="8"/>
  <c r="J200" i="8"/>
  <c r="J1064" i="8"/>
  <c r="J500" i="8"/>
  <c r="J291" i="8"/>
  <c r="J1169" i="8"/>
  <c r="J765" i="8"/>
  <c r="J1120" i="8"/>
  <c r="J878" i="8"/>
  <c r="J740" i="8"/>
  <c r="J325" i="8"/>
  <c r="J236" i="8"/>
  <c r="J702" i="8"/>
  <c r="J400" i="8"/>
  <c r="J673" i="8"/>
  <c r="J605" i="8"/>
  <c r="J1135" i="8"/>
  <c r="J394" i="8"/>
  <c r="J350" i="8"/>
  <c r="J452" i="8"/>
  <c r="J710" i="8"/>
  <c r="J1125" i="8"/>
  <c r="J264" i="8"/>
  <c r="J967" i="8"/>
  <c r="J221" i="8"/>
  <c r="J634" i="8"/>
  <c r="J1075" i="8"/>
  <c r="J488" i="8"/>
  <c r="J232" i="8"/>
  <c r="J561" i="8"/>
  <c r="J497" i="8"/>
  <c r="J504" i="8"/>
  <c r="J865" i="8"/>
  <c r="J1138" i="8"/>
  <c r="J419" i="8"/>
  <c r="J867" i="8"/>
  <c r="J183" i="8"/>
  <c r="J973" i="8"/>
  <c r="J471" i="8"/>
  <c r="J531" i="8"/>
  <c r="J911" i="8"/>
  <c r="J332" i="8"/>
  <c r="J659" i="8"/>
  <c r="J851" i="8"/>
  <c r="J426" i="8"/>
  <c r="J372" i="8"/>
  <c r="J429" i="8"/>
  <c r="J689" i="8"/>
  <c r="J418" i="8"/>
  <c r="J1164" i="8"/>
  <c r="J486" i="8"/>
  <c r="J208" i="8"/>
  <c r="J406" i="8"/>
  <c r="J1052" i="8"/>
  <c r="J539" i="8"/>
  <c r="J786" i="8"/>
  <c r="J755" i="8"/>
  <c r="J769" i="8"/>
  <c r="J788" i="8"/>
  <c r="J933" i="8"/>
  <c r="J970" i="8"/>
  <c r="J1020" i="8"/>
  <c r="J266" i="8"/>
  <c r="J637" i="8"/>
  <c r="J295" i="8"/>
  <c r="J567" i="8"/>
  <c r="J751" i="8"/>
  <c r="J940" i="8"/>
  <c r="J378" i="8"/>
  <c r="J596" i="8"/>
  <c r="J931" i="8"/>
  <c r="J821" i="8"/>
  <c r="J490" i="8"/>
  <c r="J679" i="8"/>
  <c r="J340" i="8"/>
  <c r="J524" i="8"/>
  <c r="J454" i="8"/>
  <c r="J423" i="8"/>
  <c r="J439" i="8"/>
  <c r="J604" i="8"/>
  <c r="J393" i="8"/>
  <c r="J905" i="8"/>
  <c r="J816" i="8"/>
  <c r="J526" i="8"/>
  <c r="J962" i="8"/>
  <c r="J199" i="8"/>
  <c r="J464" i="8"/>
  <c r="J379" i="8"/>
  <c r="J595" i="8"/>
  <c r="J914" i="8"/>
  <c r="J1059" i="8"/>
  <c r="J770" i="8"/>
  <c r="J792" i="8"/>
  <c r="J1068" i="8"/>
  <c r="J536" i="8"/>
  <c r="J632" i="8"/>
  <c r="J420" i="8"/>
  <c r="J666" i="8"/>
  <c r="J540" i="8"/>
  <c r="J579" i="8"/>
  <c r="J874" i="8"/>
  <c r="J805" i="8"/>
  <c r="J678" i="8"/>
  <c r="J985" i="8"/>
  <c r="J1116" i="8"/>
  <c r="J1048" i="8"/>
  <c r="J719" i="8"/>
  <c r="J384" i="8"/>
  <c r="J522" i="8"/>
  <c r="J583" i="8"/>
  <c r="J547" i="8"/>
  <c r="J714" i="8"/>
  <c r="J744" i="8"/>
  <c r="J320" i="8"/>
  <c r="J589" i="8"/>
  <c r="J1038" i="8"/>
  <c r="J1004" i="8"/>
  <c r="J602" i="8"/>
  <c r="J883" i="8"/>
  <c r="J1046" i="8"/>
  <c r="J771" i="8"/>
  <c r="J893" i="8"/>
  <c r="J255" i="8"/>
  <c r="J621" i="8"/>
  <c r="J889" i="8"/>
  <c r="J716" i="8"/>
  <c r="J680" i="8"/>
  <c r="J323" i="8"/>
  <c r="J900" i="8"/>
  <c r="J542" i="8"/>
  <c r="J460" i="8"/>
  <c r="J998" i="8"/>
  <c r="J1016" i="8"/>
  <c r="J1034" i="8"/>
  <c r="J896" i="8"/>
  <c r="J1099" i="8"/>
  <c r="J299" i="8"/>
  <c r="J386" i="8"/>
  <c r="J544" i="8"/>
  <c r="J196" i="8"/>
  <c r="J925" i="8"/>
  <c r="J726" i="8"/>
  <c r="J939" i="8"/>
  <c r="J1167" i="8"/>
  <c r="J1159" i="8"/>
  <c r="J800" i="8"/>
  <c r="J593" i="8"/>
  <c r="J1086" i="8"/>
  <c r="J267" i="8"/>
  <c r="J472" i="8"/>
  <c r="J404" i="8"/>
  <c r="J582" i="8"/>
  <c r="J661" i="8"/>
  <c r="J608" i="8"/>
  <c r="J481" i="8"/>
  <c r="J844" i="8"/>
  <c r="J776" i="8"/>
  <c r="J396" i="8"/>
  <c r="J569" i="8"/>
  <c r="J787" i="8"/>
  <c r="J658" i="8"/>
  <c r="J711" i="8"/>
  <c r="J990" i="8"/>
  <c r="J288" i="8"/>
  <c r="J256" i="8"/>
  <c r="J928" i="8"/>
  <c r="J682" i="8"/>
  <c r="J450" i="8"/>
  <c r="J738" i="8"/>
  <c r="J197" i="8"/>
  <c r="J462" i="8"/>
  <c r="J1161" i="8"/>
  <c r="J1108" i="8"/>
  <c r="J1166" i="8"/>
  <c r="J884" i="8"/>
  <c r="J1051" i="8"/>
  <c r="J912" i="8"/>
  <c r="J672" i="8"/>
  <c r="J215" i="8"/>
  <c r="J646" i="8"/>
  <c r="J974" i="8"/>
  <c r="J339" i="8"/>
  <c r="J796" i="8"/>
  <c r="J1106" i="8"/>
  <c r="J186" i="8"/>
  <c r="J399" i="8"/>
  <c r="J284" i="8"/>
  <c r="J649" i="8"/>
  <c r="J987" i="8"/>
  <c r="J757" i="8"/>
  <c r="J704" i="8"/>
  <c r="J980" i="8"/>
  <c r="J713" i="8"/>
  <c r="J701" i="8"/>
  <c r="J956" i="8"/>
  <c r="J425" i="8"/>
  <c r="J737" i="8"/>
  <c r="J498" i="8"/>
  <c r="J558" i="8"/>
  <c r="J1173" i="8"/>
  <c r="J953" i="8"/>
  <c r="J1061" i="8"/>
  <c r="J1065" i="8"/>
  <c r="J1175" i="8"/>
  <c r="J201" i="8"/>
  <c r="J1097" i="8"/>
  <c r="J1008" i="8"/>
  <c r="J1040" i="8"/>
  <c r="J331" i="8"/>
  <c r="J541" i="8"/>
  <c r="J397" i="8"/>
  <c r="J979" i="8"/>
  <c r="J530" i="8"/>
  <c r="J732" i="8"/>
  <c r="J1149" i="8"/>
  <c r="J478" i="8"/>
  <c r="J297" i="8"/>
  <c r="J908" i="8"/>
  <c r="J729" i="8"/>
  <c r="J529" i="8"/>
  <c r="J510" i="8"/>
  <c r="J630" i="8"/>
  <c r="J552" i="8"/>
  <c r="J499" i="8"/>
  <c r="J474" i="8"/>
  <c r="J993" i="8"/>
  <c r="J1023" i="8"/>
  <c r="J803" i="8"/>
  <c r="J779" i="8"/>
  <c r="J1077" i="8"/>
  <c r="J507" i="8"/>
  <c r="J494" i="8"/>
  <c r="J698" i="8"/>
  <c r="J260" i="8"/>
  <c r="J403" i="8"/>
  <c r="J625" i="8"/>
  <c r="J1133" i="8"/>
  <c r="J949" i="8"/>
  <c r="J854" i="8"/>
  <c r="J1148" i="8"/>
  <c r="J642" i="8"/>
  <c r="J941" i="8"/>
  <c r="J225" i="8"/>
  <c r="J1030" i="8"/>
  <c r="J643" i="8"/>
  <c r="J361" i="8"/>
  <c r="J936" i="8"/>
  <c r="J527" i="8"/>
  <c r="J1104" i="8"/>
  <c r="J503" i="8"/>
  <c r="J818" i="8"/>
  <c r="J960" i="8"/>
  <c r="J1121" i="8"/>
  <c r="J365" i="8"/>
  <c r="J337" i="8"/>
  <c r="J447" i="8"/>
  <c r="J1012" i="8"/>
  <c r="J724" i="8"/>
  <c r="J888" i="8"/>
  <c r="J457" i="8"/>
  <c r="J752" i="8"/>
  <c r="J433" i="8"/>
  <c r="J628" i="8"/>
  <c r="J193" i="8"/>
  <c r="J513" i="8"/>
  <c r="J401" i="8"/>
  <c r="J991" i="8"/>
  <c r="J309" i="8"/>
  <c r="J334" i="8"/>
  <c r="J239" i="8"/>
  <c r="J591" i="8"/>
  <c r="J692" i="8"/>
  <c r="J978" i="8"/>
  <c r="J984" i="8"/>
  <c r="J1156" i="8"/>
  <c r="J790" i="8"/>
  <c r="J1153" i="8"/>
  <c r="J390" i="8"/>
  <c r="J351" i="8"/>
  <c r="J618" i="8"/>
  <c r="J825" i="8"/>
  <c r="J222" i="8"/>
  <c r="J948" i="8"/>
  <c r="J965" i="8"/>
  <c r="J1001" i="8"/>
  <c r="J845" i="8"/>
  <c r="J1043" i="8"/>
  <c r="J992" i="8"/>
  <c r="J577" i="8"/>
  <c r="J1006" i="8"/>
  <c r="J832" i="8"/>
  <c r="J943" i="8"/>
  <c r="J950" i="8"/>
  <c r="J440" i="8"/>
  <c r="J952" i="8"/>
  <c r="J277" i="8"/>
  <c r="J880" i="8"/>
  <c r="J639" i="8"/>
  <c r="J720" i="8"/>
  <c r="J207" i="8"/>
  <c r="J461" i="8"/>
  <c r="J485" i="8"/>
  <c r="J981" i="8"/>
  <c r="J389" i="8"/>
  <c r="J235" i="8"/>
  <c r="J592" i="8"/>
  <c r="J376" i="8"/>
  <c r="J727" i="8"/>
  <c r="J489" i="8"/>
  <c r="J194" i="8"/>
  <c r="J656" i="8"/>
  <c r="J563" i="8"/>
  <c r="J1170" i="8"/>
  <c r="F55" i="8" l="1"/>
  <c r="F58" i="8" s="1"/>
  <c r="F60" i="8" s="1"/>
  <c r="Z31" i="8"/>
  <c r="Z30" i="8"/>
  <c r="Z32" i="8" s="1"/>
  <c r="Z33" i="8" s="1"/>
  <c r="Z34" i="8" s="1"/>
  <c r="T17" i="8"/>
  <c r="T18" i="8" s="1"/>
  <c r="F94" i="8"/>
  <c r="M4" i="1" s="1"/>
  <c r="F96" i="8"/>
  <c r="K51" i="8" s="1"/>
  <c r="O4" i="1" s="1"/>
  <c r="F95" i="8"/>
  <c r="K50" i="8" s="1"/>
  <c r="N4" i="1" s="1"/>
  <c r="K48" i="8"/>
  <c r="L4" i="1" s="1"/>
  <c r="O22" i="8"/>
  <c r="P22" i="8"/>
  <c r="P26" i="8"/>
  <c r="O26" i="8"/>
  <c r="N30" i="8"/>
  <c r="J51" i="8"/>
  <c r="J48" i="8"/>
  <c r="F31" i="8"/>
  <c r="F32" i="8"/>
  <c r="F30" i="8"/>
  <c r="J49" i="8" s="1"/>
  <c r="J50" i="8"/>
  <c r="O21" i="8"/>
  <c r="P21" i="8"/>
  <c r="F63" i="8"/>
  <c r="I50" i="8" s="1"/>
  <c r="N6" i="1" s="1"/>
  <c r="I48" i="8"/>
  <c r="L6" i="1" s="1"/>
  <c r="F62" i="8"/>
  <c r="I49" i="8" s="1"/>
  <c r="M6" i="1" s="1"/>
  <c r="F64" i="8"/>
  <c r="I51" i="8" s="1"/>
  <c r="O6" i="1" s="1"/>
  <c r="F158" i="8"/>
  <c r="E159" i="8" s="1"/>
  <c r="F162" i="8"/>
  <c r="E163" i="8" s="1"/>
  <c r="F161" i="8"/>
  <c r="E162" i="8" s="1"/>
  <c r="F160" i="8"/>
  <c r="E161" i="8" s="1"/>
  <c r="F171" i="8"/>
  <c r="F153" i="8"/>
  <c r="E154" i="8" s="1"/>
  <c r="F164" i="8"/>
  <c r="E165" i="8" s="1"/>
  <c r="F156" i="8"/>
  <c r="E157" i="8" s="1"/>
  <c r="F165" i="8"/>
  <c r="E166" i="8" s="1"/>
  <c r="F169" i="8"/>
  <c r="E170" i="8" s="1"/>
  <c r="F154" i="8"/>
  <c r="E155" i="8" s="1"/>
  <c r="F152" i="8"/>
  <c r="H152" i="8" s="1"/>
  <c r="F167" i="8"/>
  <c r="E168" i="8" s="1"/>
  <c r="H168" i="8" s="1"/>
  <c r="F157" i="8"/>
  <c r="E158" i="8" s="1"/>
  <c r="F166" i="8"/>
  <c r="E167" i="8" s="1"/>
  <c r="F155" i="8"/>
  <c r="E156" i="8" s="1"/>
  <c r="F159" i="8"/>
  <c r="E160" i="8" s="1"/>
  <c r="F163" i="8"/>
  <c r="E164" i="8" s="1"/>
  <c r="F170" i="8"/>
  <c r="E171" i="8" s="1"/>
  <c r="B156" i="8"/>
  <c r="B171" i="8"/>
  <c r="L32" i="1" s="1"/>
  <c r="B170" i="8"/>
  <c r="B167" i="8"/>
  <c r="L29" i="1" s="1"/>
  <c r="B166" i="8"/>
  <c r="L28" i="1" s="1"/>
  <c r="B165" i="8"/>
  <c r="L27" i="1" s="1"/>
  <c r="B164" i="8"/>
  <c r="L26" i="1" s="1"/>
  <c r="B163" i="8"/>
  <c r="L25" i="1" s="1"/>
  <c r="B162" i="8"/>
  <c r="L24" i="1" s="1"/>
  <c r="B161" i="8"/>
  <c r="L23" i="1" s="1"/>
  <c r="B160" i="8"/>
  <c r="L22" i="1" s="1"/>
  <c r="B159" i="8"/>
  <c r="M7" i="1" s="1"/>
  <c r="L21" i="1" l="1"/>
  <c r="L7" i="1"/>
  <c r="L31" i="1"/>
  <c r="AA30" i="8"/>
  <c r="AA31" i="8"/>
  <c r="U16" i="8"/>
  <c r="U15" i="8"/>
  <c r="H158" i="8"/>
  <c r="G165" i="8"/>
  <c r="H162" i="8"/>
  <c r="B169" i="8"/>
  <c r="L30" i="1" s="1"/>
  <c r="G161" i="8"/>
  <c r="G169" i="8"/>
  <c r="G162" i="8"/>
  <c r="H164" i="8"/>
  <c r="H161" i="8"/>
  <c r="H165" i="8"/>
  <c r="H160" i="8"/>
  <c r="H169" i="8"/>
  <c r="H156" i="8"/>
  <c r="G154" i="8"/>
  <c r="H154" i="8"/>
  <c r="G158" i="8"/>
  <c r="G168" i="8"/>
  <c r="G160" i="8"/>
  <c r="G156" i="8"/>
  <c r="H166" i="8"/>
  <c r="G166" i="8"/>
  <c r="G155" i="8"/>
  <c r="H155" i="8"/>
  <c r="H170" i="8"/>
  <c r="E153" i="8"/>
  <c r="H153" i="8" s="1"/>
  <c r="H157" i="8"/>
  <c r="G171" i="8"/>
  <c r="H171" i="8"/>
  <c r="H163" i="8"/>
  <c r="G167" i="8"/>
  <c r="H167" i="8"/>
  <c r="H159" i="8"/>
  <c r="G163" i="8"/>
  <c r="G157" i="8"/>
  <c r="G164" i="8"/>
  <c r="G159" i="8"/>
  <c r="G170" i="8"/>
  <c r="G152" i="8"/>
  <c r="L5" i="1"/>
  <c r="O5" i="1"/>
  <c r="M5" i="1"/>
  <c r="N5" i="1"/>
  <c r="H20" i="1" l="1"/>
  <c r="H19" i="1"/>
  <c r="A174" i="8"/>
  <c r="K17" i="1" s="1"/>
  <c r="U17" i="8"/>
  <c r="U18" i="8" s="1"/>
  <c r="V16" i="8" s="1"/>
  <c r="AA32" i="8"/>
  <c r="AA33" i="8" s="1"/>
  <c r="AA34" i="8" s="1"/>
  <c r="G153" i="8"/>
  <c r="V15" i="8" l="1"/>
  <c r="V17" i="8"/>
  <c r="V18" i="8" s="1"/>
  <c r="AB31" i="8"/>
  <c r="AB30" i="8"/>
  <c r="W16" i="8"/>
  <c r="W15" i="8"/>
  <c r="W17" i="8" s="1"/>
  <c r="W18" i="8" s="1"/>
  <c r="AB32" i="8" l="1"/>
  <c r="AB33" i="8" s="1"/>
  <c r="AB34" i="8" s="1"/>
  <c r="X15" i="8"/>
  <c r="X16" i="8"/>
  <c r="X17" i="8" s="1"/>
  <c r="X18" i="8" s="1"/>
  <c r="AC30" i="8" l="1"/>
  <c r="AC31" i="8"/>
  <c r="AC32" i="8" s="1"/>
  <c r="AC33" i="8" s="1"/>
  <c r="AC34" i="8" s="1"/>
  <c r="Y15" i="8"/>
  <c r="Y16" i="8"/>
  <c r="AD30" i="8" l="1"/>
  <c r="AD31" i="8"/>
  <c r="Y17" i="8"/>
  <c r="Y18" i="8" s="1"/>
  <c r="AD32" i="8" l="1"/>
  <c r="AD33" i="8" s="1"/>
  <c r="AD34" i="8" s="1"/>
  <c r="Z16" i="8"/>
  <c r="Z15" i="8"/>
  <c r="Z17" i="8" s="1"/>
  <c r="Z18" i="8" s="1"/>
  <c r="AA15" i="8" s="1"/>
  <c r="AE30" i="8" l="1"/>
  <c r="AE31" i="8"/>
  <c r="AE32" i="8" s="1"/>
  <c r="AE33" i="8" s="1"/>
  <c r="AE34" i="8" s="1"/>
  <c r="AA16" i="8"/>
  <c r="AA17" i="8" s="1"/>
  <c r="AA18" i="8" s="1"/>
  <c r="AB16" i="8" s="1"/>
  <c r="AB15" i="8" l="1"/>
  <c r="AB17" i="8" s="1"/>
  <c r="AB18" i="8" s="1"/>
  <c r="AC16" i="8" s="1"/>
  <c r="AF30" i="8"/>
  <c r="AF31" i="8"/>
  <c r="AF32" i="8" s="1"/>
  <c r="AF33" i="8" s="1"/>
  <c r="AF34" i="8" s="1"/>
  <c r="AC15" i="8" l="1"/>
  <c r="AC17" i="8" s="1"/>
  <c r="AC18" i="8" s="1"/>
  <c r="AD16" i="8" s="1"/>
  <c r="AG30" i="8"/>
  <c r="AG31" i="8"/>
  <c r="AG32" i="8" s="1"/>
  <c r="AG33" i="8" s="1"/>
  <c r="AG34" i="8" s="1"/>
  <c r="AD15" i="8" l="1"/>
  <c r="AD17" i="8" s="1"/>
  <c r="AD18" i="8" s="1"/>
  <c r="AE15" i="8" s="1"/>
  <c r="AH30" i="8"/>
  <c r="AH31" i="8"/>
  <c r="AH32" i="8" s="1"/>
  <c r="AH33" i="8" s="1"/>
  <c r="AH34" i="8" s="1"/>
  <c r="AE16" i="8"/>
  <c r="AE17" i="8" s="1"/>
  <c r="AE18" i="8" s="1"/>
  <c r="AI30" i="8" l="1"/>
  <c r="AI31" i="8"/>
  <c r="AF16" i="8"/>
  <c r="AF15" i="8"/>
  <c r="AI32" i="8" l="1"/>
  <c r="AI33" i="8" s="1"/>
  <c r="AI34" i="8" s="1"/>
  <c r="AF17" i="8"/>
  <c r="AF18" i="8" s="1"/>
  <c r="AG16" i="8" s="1"/>
  <c r="AJ31" i="8" l="1"/>
  <c r="AJ30" i="8"/>
  <c r="AJ32" i="8" s="1"/>
  <c r="AJ33" i="8" s="1"/>
  <c r="AJ34" i="8" s="1"/>
  <c r="AG15" i="8"/>
  <c r="AG17" i="8"/>
  <c r="AG18" i="8" s="1"/>
  <c r="AH16" i="8" s="1"/>
  <c r="AK30" i="8" l="1"/>
  <c r="AK31" i="8"/>
  <c r="AH15" i="8"/>
  <c r="AH17" i="8" s="1"/>
  <c r="AH18" i="8" s="1"/>
  <c r="AI16" i="8" s="1"/>
  <c r="AK32" i="8" l="1"/>
  <c r="AK33" i="8" s="1"/>
  <c r="AK34" i="8" s="1"/>
  <c r="AI15" i="8"/>
  <c r="AI17" i="8" s="1"/>
  <c r="AI18" i="8" s="1"/>
  <c r="AJ15" i="8" s="1"/>
  <c r="AL30" i="8" l="1"/>
  <c r="AL31" i="8"/>
  <c r="AJ16" i="8"/>
  <c r="AJ17" i="8" s="1"/>
  <c r="AJ18" i="8" s="1"/>
  <c r="AL32" i="8" l="1"/>
  <c r="AL33" i="8" s="1"/>
  <c r="AL34" i="8" s="1"/>
  <c r="AM30" i="8" s="1"/>
  <c r="AK15" i="8"/>
  <c r="AK16" i="8"/>
  <c r="AM31" i="8" l="1"/>
  <c r="AM32" i="8" s="1"/>
  <c r="AM33" i="8" s="1"/>
  <c r="AM34" i="8" s="1"/>
  <c r="AK17" i="8"/>
  <c r="AK18" i="8" s="1"/>
  <c r="W36" i="8" l="1"/>
  <c r="W43" i="8"/>
  <c r="W38" i="8"/>
  <c r="X38" i="8"/>
  <c r="M24" i="8"/>
  <c r="AL16" i="8"/>
  <c r="AL15" i="8"/>
  <c r="P24" i="8" l="1"/>
  <c r="O24" i="8"/>
  <c r="M28" i="8"/>
  <c r="W44" i="8"/>
  <c r="AL17" i="8"/>
  <c r="AL18" i="8" s="1"/>
  <c r="AM15" i="8" s="1"/>
  <c r="O28" i="8" l="1"/>
  <c r="P28" i="8"/>
  <c r="AM16" i="8"/>
  <c r="AM17" i="8" s="1"/>
  <c r="W20" i="8" l="1"/>
  <c r="AM18" i="8"/>
  <c r="M23" i="8" l="1"/>
  <c r="W42" i="8"/>
  <c r="W22" i="8"/>
  <c r="X22" i="8"/>
  <c r="O23" i="8" l="1"/>
  <c r="P23" i="8"/>
  <c r="M27" i="8"/>
  <c r="W45" i="8"/>
  <c r="O27" i="8" l="1"/>
  <c r="P27" i="8"/>
  <c r="M29" i="8"/>
  <c r="W46" i="8"/>
  <c r="W47" i="8" s="1"/>
  <c r="M30" i="8" l="1"/>
  <c r="W48" i="8"/>
  <c r="L30" i="8" s="1"/>
  <c r="O29" i="8"/>
  <c r="P29" i="8"/>
  <c r="P30" i="8" l="1"/>
  <c r="O30" i="8"/>
  <c r="I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tc={2EDE0418-4B8F-4A53-975D-5D1C3F91469F}</author>
  </authors>
  <commentList>
    <comment ref="G179" authorId="0" shapeId="0" xr:uid="{2EDE0418-4B8F-4A53-975D-5D1C3F91469F}">
      <text>
        <t>[Threaded comment]
Your version of Excel allows you to read this threaded comment; however, any edits to it will get removed if the file is opened in a newer version of Excel. Learn more: https://go.microsoft.com/fwlink/?linkid=870924
Comment:
    The referenced data from Data Schema tab are absolute references, if any changes are made to the original cells in the Data Schema, it will be necessary to update the formula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<sst xmlns="http://schemas.openxmlformats.org/spreadsheetml/2006/main" count="1079" uniqueCount="734">
  <si>
    <t>STOCK ANALYSIS DASHBOARD</t>
  </si>
  <si>
    <t>Ticker Symbol:</t>
  </si>
  <si>
    <t>Current Price:</t>
  </si>
  <si>
    <t>Signal:</t>
  </si>
  <si>
    <t xml:space="preserve">DCF CASES </t>
  </si>
  <si>
    <t>Market Cap:</t>
  </si>
  <si>
    <t>Last Updated:</t>
  </si>
  <si>
    <t>Scenario</t>
  </si>
  <si>
    <t>Intrinsic Value</t>
  </si>
  <si>
    <t>vs. Current Price</t>
  </si>
  <si>
    <t>IRR (5-Year)</t>
  </si>
  <si>
    <t>5-Yr Total Return</t>
  </si>
  <si>
    <t>Fundamentals</t>
  </si>
  <si>
    <t>Bear Case</t>
  </si>
  <si>
    <t>P/E Ratio</t>
  </si>
  <si>
    <t>Base Case</t>
  </si>
  <si>
    <t>Debt/Equity</t>
  </si>
  <si>
    <t>Bull Case</t>
  </si>
  <si>
    <t>EV/EBITDA</t>
  </si>
  <si>
    <t>Monte Carlo Mean</t>
  </si>
  <si>
    <t>Current Ratio</t>
  </si>
  <si>
    <t>ROE</t>
  </si>
  <si>
    <t>Operating Margin</t>
  </si>
  <si>
    <t>ROIC</t>
  </si>
  <si>
    <t>Rev Growth (YoY)</t>
  </si>
  <si>
    <t>FINANCIAL HEALTH SCORECARD</t>
  </si>
  <si>
    <t>Profitability</t>
  </si>
  <si>
    <t>Liquidity</t>
  </si>
  <si>
    <t>Leverage/Risk</t>
  </si>
  <si>
    <t>MONTE CARLO SIMULATION FOR DCF</t>
  </si>
  <si>
    <t>Efficiency</t>
  </si>
  <si>
    <t>VALUATIONS</t>
  </si>
  <si>
    <t>Growth</t>
  </si>
  <si>
    <t>DCF</t>
  </si>
  <si>
    <t>Peer Multiples</t>
  </si>
  <si>
    <t>Valuation</t>
  </si>
  <si>
    <t>Difference:</t>
  </si>
  <si>
    <t>OVERALL SCORE</t>
  </si>
  <si>
    <t>/ 5.0</t>
  </si>
  <si>
    <t>Margin of Safety:</t>
  </si>
  <si>
    <t>Graham Number</t>
  </si>
  <si>
    <t>DDM</t>
  </si>
  <si>
    <t>Mean</t>
  </si>
  <si>
    <t>Median</t>
  </si>
  <si>
    <t>Std Deviation</t>
  </si>
  <si>
    <t>ABV</t>
  </si>
  <si>
    <t>RIM</t>
  </si>
  <si>
    <t>10th Percentile</t>
  </si>
  <si>
    <t>25th Percentile</t>
  </si>
  <si>
    <t>75th Percentile</t>
  </si>
  <si>
    <t>MARKET-IMPLIED ASSUMPTIONS (REVERSE DCF)</t>
  </si>
  <si>
    <t>90th Percentile</t>
  </si>
  <si>
    <t>Assumption</t>
  </si>
  <si>
    <t>Market-Implied</t>
  </si>
  <si>
    <t>% Change</t>
  </si>
  <si>
    <t>Min</t>
  </si>
  <si>
    <t>Terminal Growth (g)</t>
  </si>
  <si>
    <t>Max</t>
  </si>
  <si>
    <t>WACC</t>
  </si>
  <si>
    <t>Prob &gt; Current Price</t>
  </si>
  <si>
    <t>Revenue Growth</t>
  </si>
  <si>
    <t>80% CI Low</t>
  </si>
  <si>
    <t>Blended Intrinsic Value</t>
  </si>
  <si>
    <t>vs Market:</t>
  </si>
  <si>
    <t>80% CI High</t>
  </si>
  <si>
    <t>HISTORICAL FINANCIAL TRENDS</t>
  </si>
  <si>
    <t>Year</t>
  </si>
  <si>
    <t>TTM</t>
  </si>
  <si>
    <t>Revenue</t>
  </si>
  <si>
    <t>Net Income</t>
  </si>
  <si>
    <t>Op Income</t>
  </si>
  <si>
    <t>FCFF</t>
  </si>
  <si>
    <t>Gross Margin</t>
  </si>
  <si>
    <t>Op Margin</t>
  </si>
  <si>
    <t>Net Margin</t>
  </si>
  <si>
    <t>Total Assets</t>
  </si>
  <si>
    <t>Total Debt</t>
  </si>
  <si>
    <t>Equity</t>
  </si>
  <si>
    <t>Financial Analysis &amp; Ratings</t>
  </si>
  <si>
    <t>Company:</t>
  </si>
  <si>
    <t>Date:</t>
  </si>
  <si>
    <t>As of Latest Filing</t>
  </si>
  <si>
    <t>Profitability Metrics</t>
  </si>
  <si>
    <t>Current Value</t>
  </si>
  <si>
    <t>Historical Avg</t>
  </si>
  <si>
    <t>Textbook Rating</t>
  </si>
  <si>
    <t>Trend Rating</t>
  </si>
  <si>
    <t>Final Rating</t>
  </si>
  <si>
    <t>ROA</t>
  </si>
  <si>
    <t>Profitability Score</t>
  </si>
  <si>
    <t>Liquidity Metrics</t>
  </si>
  <si>
    <t>Quick Ratio</t>
  </si>
  <si>
    <t>Cash Ratio</t>
  </si>
  <si>
    <t>Liquidity Score</t>
  </si>
  <si>
    <t>Leverage/Risk Metrics</t>
  </si>
  <si>
    <t>Debt-to-Equity</t>
  </si>
  <si>
    <t>Debt-to-Assets</t>
  </si>
  <si>
    <t>Interest Coverage</t>
  </si>
  <si>
    <t>Leverage Score</t>
  </si>
  <si>
    <t>Efficiency Metrics</t>
  </si>
  <si>
    <t>Asset Turnover</t>
  </si>
  <si>
    <t>Inventory Turnover</t>
  </si>
  <si>
    <t>Efficiency Score</t>
  </si>
  <si>
    <t>Growth Metrics</t>
  </si>
  <si>
    <t>Revenue Growth (YoY)</t>
  </si>
  <si>
    <t>Revenue CAGR (3Y)</t>
  </si>
  <si>
    <t>Earnings Growth</t>
  </si>
  <si>
    <t>Growth Score</t>
  </si>
  <si>
    <t>Valuation vs Peers</t>
  </si>
  <si>
    <t>Company Value</t>
  </si>
  <si>
    <t>Peer Avg</t>
  </si>
  <si>
    <t>Ratio (Co/Peer)</t>
  </si>
  <si>
    <t>Relative Rating</t>
  </si>
  <si>
    <t>P/E</t>
  </si>
  <si>
    <t>P/B</t>
  </si>
  <si>
    <t>P/S</t>
  </si>
  <si>
    <t xml:space="preserve"> </t>
  </si>
  <si>
    <t>P/FCF</t>
  </si>
  <si>
    <t>Valuation Score</t>
  </si>
  <si>
    <t>Overall Score Summary</t>
  </si>
  <si>
    <t>Category Score</t>
  </si>
  <si>
    <t>Weight</t>
  </si>
  <si>
    <t>Weighted Score</t>
  </si>
  <si>
    <t>OVERALL WEIGHTED SCORE</t>
  </si>
  <si>
    <t>LETTER GRADE</t>
  </si>
  <si>
    <t>Base Case DCF</t>
  </si>
  <si>
    <t>Assumptions</t>
  </si>
  <si>
    <t>Value</t>
  </si>
  <si>
    <t>Selector Switch</t>
  </si>
  <si>
    <t>Manual Input</t>
  </si>
  <si>
    <t xml:space="preserve">Historical Average </t>
  </si>
  <si>
    <t>REVERSE DCF CALCULATIONS</t>
  </si>
  <si>
    <t xml:space="preserve">Forecasted Data                                                                        all numbers in thousands </t>
  </si>
  <si>
    <t>Revenue Growth Rate</t>
  </si>
  <si>
    <t>Manual</t>
  </si>
  <si>
    <t>Total Revenue (Net Sales)*</t>
  </si>
  <si>
    <t>Expense Ratios (% of Rev)</t>
  </si>
  <si>
    <t>Target Enterprise Value</t>
  </si>
  <si>
    <t>less COGS/ Cost of Revenue</t>
  </si>
  <si>
    <t>COGS as % of Revenue</t>
  </si>
  <si>
    <t>Gross Profit</t>
  </si>
  <si>
    <t>OpEx as % of Revenue</t>
  </si>
  <si>
    <t>Scenario 1: Implied Terminal Growth (g) — Analytical</t>
  </si>
  <si>
    <t>less OpEx</t>
  </si>
  <si>
    <t>D&amp;A as % of Revenue</t>
  </si>
  <si>
    <t>Sum of PV of FCFFs (from model)</t>
  </si>
  <si>
    <t>Operating Income (EBIT)</t>
  </si>
  <si>
    <t>Capital Structure Assumptions</t>
  </si>
  <si>
    <t>Required PV of Terminal Value</t>
  </si>
  <si>
    <t>less Interest Expense</t>
  </si>
  <si>
    <t>Required Terminal Value</t>
  </si>
  <si>
    <t>EBT (Pretax Income)</t>
  </si>
  <si>
    <t>Interest Rate</t>
  </si>
  <si>
    <t>Implied g</t>
  </si>
  <si>
    <t>less Income Tax Expense/Tax Provision</t>
  </si>
  <si>
    <t>Effective Tax Rate (T)</t>
  </si>
  <si>
    <t>Base g</t>
  </si>
  <si>
    <t xml:space="preserve"> Net Income (Common Stockholders)</t>
  </si>
  <si>
    <t>CapEx as % of Revenue</t>
  </si>
  <si>
    <t>Δg (Implied − Base)</t>
  </si>
  <si>
    <t>add Interest expense</t>
  </si>
  <si>
    <t>Change in Non-Cash WC (ΔWC)</t>
  </si>
  <si>
    <t>use 2-5% of Rev Growth or higher (depends on industry)</t>
  </si>
  <si>
    <t>add D&amp;A</t>
  </si>
  <si>
    <t>Imported from Calculations tab:</t>
  </si>
  <si>
    <t>Scenario 2: Implied WACC — Binary Search (20 Iterations)</t>
  </si>
  <si>
    <t>less Change in Non-Cash WC</t>
  </si>
  <si>
    <t>Calculated</t>
  </si>
  <si>
    <t>Iteration</t>
  </si>
  <si>
    <t>Start</t>
  </si>
  <si>
    <t xml:space="preserve">less Capital Expenditures (CapEx) </t>
  </si>
  <si>
    <t>Low</t>
  </si>
  <si>
    <t>Free Cash Flow to the Firm (FCFF)</t>
  </si>
  <si>
    <t>Forecasted</t>
  </si>
  <si>
    <t>High</t>
  </si>
  <si>
    <t>PV of FCFF [FCFFt / (1+WACC)t]</t>
  </si>
  <si>
    <t>Mid (Trial WACC)</t>
  </si>
  <si>
    <t>EV at Trial WACC</t>
  </si>
  <si>
    <t>Formula / Rationale</t>
  </si>
  <si>
    <t>Reverse DCF Summary</t>
  </si>
  <si>
    <t>Implied</t>
  </si>
  <si>
    <t>Base</t>
  </si>
  <si>
    <t>Diff.</t>
  </si>
  <si>
    <t>%</t>
  </si>
  <si>
    <t>Implied WACC</t>
  </si>
  <si>
    <t>Terminal Value</t>
  </si>
  <si>
    <t>FCFfinal year * (1+g)/WACC-g</t>
  </si>
  <si>
    <t>Target EV</t>
  </si>
  <si>
    <t>Base WACC</t>
  </si>
  <si>
    <t>Present Value of Terminal Value</t>
  </si>
  <si>
    <t>Terminal Value / (1+WACC)n</t>
  </si>
  <si>
    <t>Terminal Growth (g) Only</t>
  </si>
  <si>
    <t>ΔWACC (Implied − Base)</t>
  </si>
  <si>
    <t>Enterprise Value (EV)</t>
  </si>
  <si>
    <t>PV of FCFs + PV of Terminal Value</t>
  </si>
  <si>
    <t>WACC Only</t>
  </si>
  <si>
    <t>From Balance Sheet: Cash and Cash Equivalents</t>
  </si>
  <si>
    <t>Revenue Growth Only</t>
  </si>
  <si>
    <t>Scenario 3: Implied Revenue Growth — Shadow DCF + Binary Search</t>
  </si>
  <si>
    <t>From Balance Sheet: Total Debt</t>
  </si>
  <si>
    <t>Blended Approach (1/3 weight from each)</t>
  </si>
  <si>
    <t xml:space="preserve">Equity Value </t>
  </si>
  <si>
    <t>EV - Total Debt + Cash and Cash Equipvalents</t>
  </si>
  <si>
    <t>g</t>
  </si>
  <si>
    <t>FCFF Margin Factor (m)</t>
  </si>
  <si>
    <t>Shares Outstanding</t>
  </si>
  <si>
    <t>Base Revenue (R₀)</t>
  </si>
  <si>
    <t>Intrinsic Value per Share</t>
  </si>
  <si>
    <t>Equity Value / Shares Outstanding</t>
  </si>
  <si>
    <t>Current Stock Price</t>
  </si>
  <si>
    <t>Blended EV</t>
  </si>
  <si>
    <t>Valuation Gap %</t>
  </si>
  <si>
    <t>(Intrinsic Value - Market Price) / Market Price</t>
  </si>
  <si>
    <t>VS Market Price:</t>
  </si>
  <si>
    <t>(IV/Price)^(1/5) - 1</t>
  </si>
  <si>
    <t>5-Year Total Return %</t>
  </si>
  <si>
    <t>(IV/Price - 1) × 100%</t>
  </si>
  <si>
    <t>Mid (Trial Growth)</t>
  </si>
  <si>
    <t>FCFF Factor (k)</t>
  </si>
  <si>
    <t>Bull Case DCF</t>
  </si>
  <si>
    <t>DCF Scenario Controller</t>
  </si>
  <si>
    <t>Shadow EV</t>
  </si>
  <si>
    <t>Bull Case Forecasted Data (in thousands)</t>
  </si>
  <si>
    <t>Parameter</t>
  </si>
  <si>
    <t>Bull Case Adj.</t>
  </si>
  <si>
    <t>Bear Case Adj.</t>
  </si>
  <si>
    <t>Description</t>
  </si>
  <si>
    <t>Total Revenue (Net Sales)*</t>
  </si>
  <si>
    <t>Revenue Growth %</t>
  </si>
  <si>
    <t>Multiplier on base growth</t>
  </si>
  <si>
    <t>Implied Rev Growth</t>
  </si>
  <si>
    <t>less COGS/ Cost of Revenue</t>
  </si>
  <si>
    <t>WACC %</t>
  </si>
  <si>
    <t>Multiplier on base WACC</t>
  </si>
  <si>
    <t>Base Rev Growth</t>
  </si>
  <si>
    <t>Terminal Growth %</t>
  </si>
  <si>
    <t>Multiplier on base g</t>
  </si>
  <si>
    <t>ΔRev Growth (Implied − Base)</t>
  </si>
  <si>
    <t>Op Margin % (abs)</t>
  </si>
  <si>
    <t>Absolute addition to margin</t>
  </si>
  <si>
    <t>Adjusted Values</t>
  </si>
  <si>
    <t>Base Value</t>
  </si>
  <si>
    <t>Scenario 4: Blended Adjustment (1/3 Weight Each)</t>
  </si>
  <si>
    <t>Blended g</t>
  </si>
  <si>
    <t>Blended WACC</t>
  </si>
  <si>
    <t>Terminal Growth</t>
  </si>
  <si>
    <t>Blended Rev Growth</t>
  </si>
  <si>
    <t>Net Income (Common Stockholders)</t>
  </si>
  <si>
    <t>Op Margin Effect</t>
  </si>
  <si>
    <t>Blended FCFF Factor</t>
  </si>
  <si>
    <t>Blended Enterprise Value</t>
  </si>
  <si>
    <t>Blended Equity Value</t>
  </si>
  <si>
    <t>DCF Scenario Summary</t>
  </si>
  <si>
    <t>Blended Intrinsic Value/Share</t>
  </si>
  <si>
    <t>less Capital Expenditures (CapEx)</t>
  </si>
  <si>
    <t>Blended vs. Market Price</t>
  </si>
  <si>
    <t>PV of FCFF [FCFFt / (1+WACC)^t]</t>
  </si>
  <si>
    <t>FCFF_final × (1+g)/(WACC-g)</t>
  </si>
  <si>
    <t>TV / (1+WACC)^5</t>
  </si>
  <si>
    <t>Cash and Cash Equivalents</t>
  </si>
  <si>
    <t>From Balance Sheet</t>
  </si>
  <si>
    <t>Equity Value</t>
  </si>
  <si>
    <t>EV - Debt + Cash</t>
  </si>
  <si>
    <t>Equity Value / Shares</t>
  </si>
  <si>
    <t>(Intrinsic - Market) / Market</t>
  </si>
  <si>
    <t>Bear Case DCF</t>
  </si>
  <si>
    <t>Bear Case Forecasted Data (in thousands)</t>
  </si>
  <si>
    <t>Method</t>
  </si>
  <si>
    <t>Formula</t>
  </si>
  <si>
    <t>Peer Avg Multiple</t>
  </si>
  <si>
    <t>Implied Value/Share</t>
  </si>
  <si>
    <t>Toggle →</t>
  </si>
  <si>
    <t>On</t>
  </si>
  <si>
    <t>P/E Method</t>
  </si>
  <si>
    <t>Peer Avg P/E × EPS</t>
  </si>
  <si>
    <t>P/B Method</t>
  </si>
  <si>
    <t>Peer Avg P/B × BVPS</t>
  </si>
  <si>
    <t>P/S Method</t>
  </si>
  <si>
    <t>Peer Avg P/S × Rev/Share</t>
  </si>
  <si>
    <t>EV/EBITDA Method</t>
  </si>
  <si>
    <t>Peer Avg EV/EBITDA × EBITDA → Equity/Share</t>
  </si>
  <si>
    <t>P/FCF Method</t>
  </si>
  <si>
    <t>Peer Avg P/FCF × FCF/Share</t>
  </si>
  <si>
    <t>Peer Multiples Intrinsic Value/Share (AVG of all methods)</t>
  </si>
  <si>
    <t>Graham's Valuation</t>
  </si>
  <si>
    <t>EPS (Diluted)</t>
  </si>
  <si>
    <t>From Data Schema</t>
  </si>
  <si>
    <t>Book Value per Share</t>
  </si>
  <si>
    <t>From Calculations</t>
  </si>
  <si>
    <t>√(22.5 × EPS × BVPS)</t>
  </si>
  <si>
    <t>Graham Intrinsic Value/Share</t>
  </si>
  <si>
    <t>Dividend Discount Model (DDM)</t>
  </si>
  <si>
    <t>Dividends per Share (DPS)</t>
  </si>
  <si>
    <t>Total Dividends / Shares</t>
  </si>
  <si>
    <t>Dividend Growth Rate (g)</t>
  </si>
  <si>
    <t>Historical avg dividend growth</t>
  </si>
  <si>
    <t>Cost of Equity (Ke)</t>
  </si>
  <si>
    <t>From CAPM (Calculations)</t>
  </si>
  <si>
    <t>DDM Intrinsic Value</t>
  </si>
  <si>
    <t>DPS×(1+g)/(Ke-g)</t>
  </si>
  <si>
    <t>DDM Intrinsic Value/Share</t>
  </si>
  <si>
    <t>Asset Based Valuation (ABV)</t>
  </si>
  <si>
    <t>Total Equity (Book Value)</t>
  </si>
  <si>
    <t>Diluted Average</t>
  </si>
  <si>
    <t>ABV Intrinsic Value/Share</t>
  </si>
  <si>
    <t xml:space="preserve">Residual Income Model (RIM) </t>
  </si>
  <si>
    <t>Book Value per Share (BV₀)</t>
  </si>
  <si>
    <t>RIM Intrinsic Value/Share</t>
  </si>
  <si>
    <t>BV + PV of Residual Income (5yr + TV)</t>
  </si>
  <si>
    <t>Monte Carlo Simulation — Intrinsic Value Distribution</t>
  </si>
  <si>
    <t>Number of Simulations:</t>
  </si>
  <si>
    <t>Simulation Parameters</t>
  </si>
  <si>
    <t>Std Dev</t>
  </si>
  <si>
    <t>Min Cap</t>
  </si>
  <si>
    <t>Max Cap</t>
  </si>
  <si>
    <t>Cap Selector</t>
  </si>
  <si>
    <t>Custom Min</t>
  </si>
  <si>
    <t>Custom Max</t>
  </si>
  <si>
    <t>Notes</t>
  </si>
  <si>
    <t>Moderate</t>
  </si>
  <si>
    <t>Conservative: 0-10% | Moderate: -5%-25% | Aggressive: -10%-40%</t>
  </si>
  <si>
    <t>Conservative: 5-10% | Moderate: 3-15% | Aggressive: 2-20%</t>
  </si>
  <si>
    <t>Conservative: 1-3% | Moderate: 0-4% | Aggressive: 0-5%</t>
  </si>
  <si>
    <t>Operating Margin Adj</t>
  </si>
  <si>
    <t>Conservative: ±5% | Moderate: ±10% | Aggressive: ±15%</t>
  </si>
  <si>
    <t>Required WACC-g Spread</t>
  </si>
  <si>
    <t>Hard Filter: Min Multiplier</t>
  </si>
  <si>
    <t>Hard Filter: Max Multiplier</t>
  </si>
  <si>
    <t>Filtering Summary</t>
  </si>
  <si>
    <t>Total Simulations</t>
  </si>
  <si>
    <t>Min IV:</t>
  </si>
  <si>
    <t>Constraint Violations</t>
  </si>
  <si>
    <t>Histogram Bins (Filtered Data)</t>
  </si>
  <si>
    <t>Hard Filter Outliers</t>
  </si>
  <si>
    <t>Bin #</t>
  </si>
  <si>
    <t>Lower Bound</t>
  </si>
  <si>
    <t>Upper Bound</t>
  </si>
  <si>
    <t>Range Label</t>
  </si>
  <si>
    <t>Frequency</t>
  </si>
  <si>
    <t>Valid for Percentile Filter</t>
  </si>
  <si>
    <t>5th Percentile (of valid IVs)</t>
  </si>
  <si>
    <t>95th Percentile (of valid IVs)</t>
  </si>
  <si>
    <t>Percentile Filter Outliers</t>
  </si>
  <si>
    <t>Final Sample Size</t>
  </si>
  <si>
    <t>Monte Carlo Summary Statistics (Filtered)</t>
  </si>
  <si>
    <t>Standard Deviation</t>
  </si>
  <si>
    <t>Minimum</t>
  </si>
  <si>
    <t>Maximum</t>
  </si>
  <si>
    <t>Probability &gt; Current Price</t>
  </si>
  <si>
    <t>80% Confidence Interval Low</t>
  </si>
  <si>
    <t>80% Confidence Interval High</t>
  </si>
  <si>
    <t>Interpretation</t>
  </si>
  <si>
    <t>Sim #</t>
  </si>
  <si>
    <t>Rev Growth</t>
  </si>
  <si>
    <t>Terminal g</t>
  </si>
  <si>
    <t>Op Margin Adj</t>
  </si>
  <si>
    <t>Constraint Check</t>
  </si>
  <si>
    <t>Hard Filter Check</t>
  </si>
  <si>
    <t>Filtered IV</t>
  </si>
  <si>
    <t>Final Filtered IV</t>
  </si>
  <si>
    <t xml:space="preserve">Historical Data from 10K                                                                           all numbers in thousands </t>
  </si>
  <si>
    <t>Income Statement Items (column A Data Tab)</t>
  </si>
  <si>
    <t>less Op Ex / Non Interest Ex</t>
  </si>
  <si>
    <t>Operating Income  (EBIT)</t>
  </si>
  <si>
    <t>add Interest Income (Non Op)</t>
  </si>
  <si>
    <t>less Interest Expense (Non Op)</t>
  </si>
  <si>
    <t>add Other Special Income</t>
  </si>
  <si>
    <t>Earnings Before Tax  (Pretax Income)</t>
  </si>
  <si>
    <t>EBIT (Adjusted)</t>
  </si>
  <si>
    <t>EBITDA (Normalized)</t>
  </si>
  <si>
    <t>Shares Outstanding (Diluted Average)</t>
  </si>
  <si>
    <t>Balance Sheet Items (Column B)</t>
  </si>
  <si>
    <t>Current Assets</t>
  </si>
  <si>
    <t>Cash, Cash Equivalents &amp; Short Term Investments</t>
  </si>
  <si>
    <t>Cash Only (or Cash + Equivs only)</t>
  </si>
  <si>
    <t>Accounts receivable</t>
  </si>
  <si>
    <t>Other Short Term Investments</t>
  </si>
  <si>
    <t>Inventory</t>
  </si>
  <si>
    <t>Total Liabilities</t>
  </si>
  <si>
    <t>Current Liabilities</t>
  </si>
  <si>
    <t>Short Term (Current) Debt</t>
  </si>
  <si>
    <t>Total Equity Gross Minority Interest</t>
  </si>
  <si>
    <t>Common Stock Equity (Book Value)</t>
  </si>
  <si>
    <t>Net Debt</t>
  </si>
  <si>
    <t>Share Issued (year end)</t>
  </si>
  <si>
    <t>Goodwill &amp; Other Intangibles</t>
  </si>
  <si>
    <t>Cashflow Statement Items (Column C)</t>
  </si>
  <si>
    <t>Depreciation &amp; Amortization</t>
  </si>
  <si>
    <t>Operating Cash Flow</t>
  </si>
  <si>
    <t xml:space="preserve">Capital Expenditures (CapEx) </t>
  </si>
  <si>
    <t>Dividends Paid (Common Stock Payments)</t>
  </si>
  <si>
    <t>Free Cash Flow (FCF)</t>
  </si>
  <si>
    <t>Peer Valuation Multiples</t>
  </si>
  <si>
    <t>Metric</t>
  </si>
  <si>
    <t>Peer Avg (ex-current stock)</t>
  </si>
  <si>
    <t>Forward P/E</t>
  </si>
  <si>
    <t>Trend Metrics</t>
  </si>
  <si>
    <t xml:space="preserve">Average </t>
  </si>
  <si>
    <t>(Total Asset - Total Liabilities) / Total Outstanding Shares</t>
  </si>
  <si>
    <t>Tax Provision/Pretax Income</t>
  </si>
  <si>
    <t>Working Capital (WC)</t>
  </si>
  <si>
    <t>Current Assets - Current Liability</t>
  </si>
  <si>
    <t>Change in Working Capital (ΔWC)</t>
  </si>
  <si>
    <t>WC current year - WC prior year</t>
  </si>
  <si>
    <t>Non-Cash WC</t>
  </si>
  <si>
    <t>(Current Asset - Cash) -  (Current Liabilities - ST Debts)</t>
  </si>
  <si>
    <t>Change in Non-Cash WC</t>
  </si>
  <si>
    <t>Cost of Debt (Kd) (AVG Int. Rate)</t>
  </si>
  <si>
    <t>Interest Expense/ Total Debt (VD)</t>
  </si>
  <si>
    <t>COGS as % of Rev</t>
  </si>
  <si>
    <t>COGS / Rev</t>
  </si>
  <si>
    <t>Operating Expense as % of Rev</t>
  </si>
  <si>
    <t>Op Ex/Rev</t>
  </si>
  <si>
    <t>D&amp;A as % of Rev</t>
  </si>
  <si>
    <t xml:space="preserve">D&amp;A/Revenue </t>
  </si>
  <si>
    <t>CapEx as % of Rev</t>
  </si>
  <si>
    <t>CapEx/Revenue</t>
  </si>
  <si>
    <t>Net Income / Revenue</t>
  </si>
  <si>
    <t>Payout Ratio</t>
  </si>
  <si>
    <t>Total Dividends/Net Income (DPS/EPS)</t>
  </si>
  <si>
    <t>EBIT * (1-T) + D&amp;A -ΔWC -CapEx</t>
  </si>
  <si>
    <t>Market Cap (VE)</t>
  </si>
  <si>
    <t>Price * Diluted Shares</t>
  </si>
  <si>
    <t>Components Calculations</t>
  </si>
  <si>
    <t>Market Debt Valuation (VD)</t>
  </si>
  <si>
    <t>Use Total Debt as Proxy</t>
  </si>
  <si>
    <t>Equity Risk Premium</t>
  </si>
  <si>
    <t>Rm - Rf</t>
  </si>
  <si>
    <t>Rf + β * (Rm - Rf)</t>
  </si>
  <si>
    <t>Total Capital (V)</t>
  </si>
  <si>
    <t>VE + VD</t>
  </si>
  <si>
    <t xml:space="preserve">(VE/V * Ke) + (VD/V * Kd *(1-T)) </t>
  </si>
  <si>
    <t>Beta(β)</t>
  </si>
  <si>
    <t>Covariance(Rs,RSPY) / Variance (RSPY)</t>
  </si>
  <si>
    <t>Macro and Market Components</t>
  </si>
  <si>
    <t>Rationale</t>
  </si>
  <si>
    <t>Risk-Free Rate (Rf)</t>
  </si>
  <si>
    <t>Current 10-Year Treasury Yield</t>
  </si>
  <si>
    <t>Expected Market Return (Rm)</t>
  </si>
  <si>
    <t>Historical S&amp;P 500 CAGR (~8-10%)</t>
  </si>
  <si>
    <t>Inflation or GDP proxy (2-3%)</t>
  </si>
  <si>
    <t>Liquidity &amp; Solvency</t>
  </si>
  <si>
    <t>Average</t>
  </si>
  <si>
    <t xml:space="preserve">Current Ratio </t>
  </si>
  <si>
    <t>Current Assets / Current Liability</t>
  </si>
  <si>
    <t xml:space="preserve">Quick Ratio </t>
  </si>
  <si>
    <t>(AR +Cash&amp;Equiv + ST Investments / Current Liabilities</t>
  </si>
  <si>
    <t xml:space="preserve">Debt-to-Equity Ratio </t>
  </si>
  <si>
    <t>Total Debt / Total Equity</t>
  </si>
  <si>
    <t>Debt to Assets Ratio</t>
  </si>
  <si>
    <t>Total Debt / Total Assets</t>
  </si>
  <si>
    <t xml:space="preserve">Interest Coverage Ratio </t>
  </si>
  <si>
    <t>EBIT / Interest Expense</t>
  </si>
  <si>
    <t xml:space="preserve">Profitability &amp; Cash Flow </t>
  </si>
  <si>
    <t>Gross Margin %</t>
  </si>
  <si>
    <t>Gross Profit / Revenue</t>
  </si>
  <si>
    <t>Operating Margin %</t>
  </si>
  <si>
    <t>EBIT / Revenue</t>
  </si>
  <si>
    <t>Net Profit Margin</t>
  </si>
  <si>
    <t>Return on Asset (ROA)</t>
  </si>
  <si>
    <t>Net Income / Total Assets</t>
  </si>
  <si>
    <t>Return on Equity (ROE)</t>
  </si>
  <si>
    <t>Net Income / Total Equity</t>
  </si>
  <si>
    <t>FCF Margin</t>
  </si>
  <si>
    <t>FCFF / Revenue</t>
  </si>
  <si>
    <t>OCF/ Net Income</t>
  </si>
  <si>
    <t>Operating Cash Flow / Net Income</t>
  </si>
  <si>
    <t>Efficiency &amp; Leverage Ratios</t>
  </si>
  <si>
    <t>Revenue / Average Total Assets</t>
  </si>
  <si>
    <t xml:space="preserve">Inventory Turnover </t>
  </si>
  <si>
    <t>COGS / Average Inventory</t>
  </si>
  <si>
    <t>Equity Multiplier</t>
  </si>
  <si>
    <t>Total Assets / Total Equity</t>
  </si>
  <si>
    <t>Market/Valuation Ratios</t>
  </si>
  <si>
    <t>Total Equity / Average Diluted Shares</t>
  </si>
  <si>
    <t>Price to Earnings Ratio (P/E)</t>
  </si>
  <si>
    <t>Share price / EPS</t>
  </si>
  <si>
    <t>Price to Book Ratio (P/B)</t>
  </si>
  <si>
    <t>Share price / Book Value per share</t>
  </si>
  <si>
    <t>Price to Sales (P/S)</t>
  </si>
  <si>
    <t>Market Cap / Total Revenue</t>
  </si>
  <si>
    <t>Growth Rates</t>
  </si>
  <si>
    <t>(Metrict / Metrict-1)  -1</t>
  </si>
  <si>
    <t>Net Income Growth</t>
  </si>
  <si>
    <t>EPS Growth</t>
  </si>
  <si>
    <t>Assets Growth</t>
  </si>
  <si>
    <t xml:space="preserve">Dividends Growth </t>
  </si>
  <si>
    <t>Additional Ratios</t>
  </si>
  <si>
    <t>ROIC (Return on Invested Capital)</t>
  </si>
  <si>
    <t>EBIT*(1-T)/(Equity+Debt-Cash)</t>
  </si>
  <si>
    <t>EBITDA Margin</t>
  </si>
  <si>
    <t>EBITDA / Revenue</t>
  </si>
  <si>
    <t>Cash / Current Liabilities</t>
  </si>
  <si>
    <t>Revenue CAGR (3-Year)</t>
  </si>
  <si>
    <t>(Rev_latest/Rev_oldest)^(1/3)-1</t>
  </si>
  <si>
    <t>Earnings Growth (Avg)</t>
  </si>
  <si>
    <t>Average Net Income Growth</t>
  </si>
  <si>
    <t>WMT Value</t>
  </si>
  <si>
    <t>Premium/Discount %</t>
  </si>
  <si>
    <t>Peer-Implied Price</t>
  </si>
  <si>
    <t>Stock Price History</t>
  </si>
  <si>
    <t>SPY Price History</t>
  </si>
  <si>
    <t>Date</t>
  </si>
  <si>
    <t>Price</t>
  </si>
  <si>
    <t>Rate</t>
  </si>
  <si>
    <t>Income Statement PASTE ON A2</t>
  </si>
  <si>
    <t>Balance Sheet PASTE ON B2</t>
  </si>
  <si>
    <t>Cash Flow PASTE ON C2</t>
  </si>
  <si>
    <t>Historical Price of Stock PASTE ON E2</t>
  </si>
  <si>
    <t>Using this Adj price</t>
  </si>
  <si>
    <t>Historical SPY Data for Beta Calculations PASTE ON M2</t>
  </si>
  <si>
    <t>Peer Comparison PASTE ON U2</t>
  </si>
  <si>
    <t>Current Stock Valuation PASTE ON AA2</t>
  </si>
  <si>
    <t>Breakdown</t>
  </si>
  <si>
    <t>Open</t>
  </si>
  <si>
    <t>Close </t>
  </si>
  <si>
    <t>Adj Close </t>
  </si>
  <si>
    <t>Volume</t>
  </si>
  <si>
    <t>Valuation Measures</t>
  </si>
  <si>
    <t>Current</t>
  </si>
  <si>
    <t>As of Mar 31, 2026</t>
  </si>
  <si>
    <t>WMT</t>
  </si>
  <si>
    <t>COST</t>
  </si>
  <si>
    <t>TGT</t>
  </si>
  <si>
    <t>DG</t>
  </si>
  <si>
    <t>Market Cap</t>
  </si>
  <si>
    <t>810.84B</t>
  </si>
  <si>
    <t>949.57B</t>
  </si>
  <si>
    <t>806.61B</t>
  </si>
  <si>
    <t>781.39B</t>
  </si>
  <si>
    <t>776.64B</t>
  </si>
  <si>
    <t>787.64B</t>
  </si>
  <si>
    <t>Walmart Inc.</t>
  </si>
  <si>
    <t>Costco Wholesale Corporation</t>
  </si>
  <si>
    <t>Target Corporation</t>
  </si>
  <si>
    <t>Dollar General Corporation</t>
  </si>
  <si>
    <t>Enterprise Value</t>
  </si>
  <si>
    <t>866.42B</t>
  </si>
  <si>
    <t>1.01T</t>
  </si>
  <si>
    <t>862.19B</t>
  </si>
  <si>
    <t>839.28B</t>
  </si>
  <si>
    <t>827.72B</t>
  </si>
  <si>
    <t>839.34B</t>
  </si>
  <si>
    <t>0.248 Dividend </t>
  </si>
  <si>
    <t>Price to Earnings Per Share</t>
  </si>
  <si>
    <t>Trailing P/E</t>
  </si>
  <si>
    <t>Forward Price to Earnings Per Share</t>
  </si>
  <si>
    <t>1.993 Dividend </t>
  </si>
  <si>
    <t>Price to Free Cash Flow Per Share</t>
  </si>
  <si>
    <t>PEG Ratio (5yr expected)</t>
  </si>
  <si>
    <t>Total Revenue</t>
  </si>
  <si>
    <t>Price to Book Value Per Share</t>
  </si>
  <si>
    <t>Price/Sales</t>
  </si>
  <si>
    <t>0.235 Dividend </t>
  </si>
  <si>
    <t>Price to Sales Ratio</t>
  </si>
  <si>
    <t>Price/Book</t>
  </si>
  <si>
    <t>Enterprise Value/Revenue</t>
  </si>
  <si>
    <t>1.831 Dividend </t>
  </si>
  <si>
    <t>Enterprise Value/EBITDA</t>
  </si>
  <si>
    <t>Operating Revenue</t>
  </si>
  <si>
    <t>Cash Flow from Continuing Operating Activities</t>
  </si>
  <si>
    <t>1.761 Dividend </t>
  </si>
  <si>
    <t>1.696 Dividend </t>
  </si>
  <si>
    <t>Cost of Revenue</t>
  </si>
  <si>
    <t>Net Income from Continuing Operations</t>
  </si>
  <si>
    <t>Cash And Cash Equivalents</t>
  </si>
  <si>
    <t>1.966 Dividend </t>
  </si>
  <si>
    <t>0.208 Dividend </t>
  </si>
  <si>
    <t>Operating Gains Losses</t>
  </si>
  <si>
    <t>Receivables</t>
  </si>
  <si>
    <t>1.746 Dividend </t>
  </si>
  <si>
    <t>1.759 Dividend </t>
  </si>
  <si>
    <t>Operating Expense</t>
  </si>
  <si>
    <t>Gain Loss On Sale of Business</t>
  </si>
  <si>
    <t>--</t>
  </si>
  <si>
    <t>1.595 Dividend </t>
  </si>
  <si>
    <t>Selling General and Administrative</t>
  </si>
  <si>
    <t>Gain Loss On Investment Securities</t>
  </si>
  <si>
    <t>3:1 Stock Splits </t>
  </si>
  <si>
    <t>1.906 Dividend </t>
  </si>
  <si>
    <t>Other Current Assets</t>
  </si>
  <si>
    <t>0.19 Dividend </t>
  </si>
  <si>
    <t>1.583 Dividend </t>
  </si>
  <si>
    <t>General &amp; Administrative Expense</t>
  </si>
  <si>
    <t>Depreciation Amortization Depletion</t>
  </si>
  <si>
    <t>Total non-current assets</t>
  </si>
  <si>
    <t>1.638 Dividend </t>
  </si>
  <si>
    <t>Other G and A</t>
  </si>
  <si>
    <t>Depreciation &amp; amortization</t>
  </si>
  <si>
    <t>1.506 Dividend </t>
  </si>
  <si>
    <t>Net PPE</t>
  </si>
  <si>
    <t>1.781 Dividend </t>
  </si>
  <si>
    <t>Selling &amp; Marketing Expense</t>
  </si>
  <si>
    <t>Deferred Tax</t>
  </si>
  <si>
    <t>Gross PPE</t>
  </si>
  <si>
    <t>0.186667 Dividend </t>
  </si>
  <si>
    <t>1.596 Dividend </t>
  </si>
  <si>
    <t>Research &amp; Development</t>
  </si>
  <si>
    <t>Properties</t>
  </si>
  <si>
    <t>Deferred Income Tax</t>
  </si>
  <si>
    <t>1.577 Dividend </t>
  </si>
  <si>
    <t>Land And Improvements</t>
  </si>
  <si>
    <t>1.366 Dividend </t>
  </si>
  <si>
    <t>Operating Income</t>
  </si>
  <si>
    <t>Other non-cash items</t>
  </si>
  <si>
    <t>1.633 Dividend </t>
  </si>
  <si>
    <t>Buildings And Improvements</t>
  </si>
  <si>
    <t>Net Non Operating Interest Income Expense</t>
  </si>
  <si>
    <t>Change in working capital</t>
  </si>
  <si>
    <t>0.183333 Dividend </t>
  </si>
  <si>
    <t>1.428 Dividend </t>
  </si>
  <si>
    <t>Machinery Furniture Equipment</t>
  </si>
  <si>
    <t>1.376 Dividend </t>
  </si>
  <si>
    <t>Interest Income Non Operating</t>
  </si>
  <si>
    <t>Change in Receivables</t>
  </si>
  <si>
    <t>Other Properties</t>
  </si>
  <si>
    <t>Interest Expense Non Operating</t>
  </si>
  <si>
    <t>Change in Inventory</t>
  </si>
  <si>
    <t>Construction in Progress</t>
  </si>
  <si>
    <t>Other Income Expense</t>
  </si>
  <si>
    <t>Accumulated Depreciation</t>
  </si>
  <si>
    <t>Change in Payables And Accrued Expense</t>
  </si>
  <si>
    <t>Goodwill And Other Intangible Assets</t>
  </si>
  <si>
    <t>Special Income Charges</t>
  </si>
  <si>
    <t>Change in Payable</t>
  </si>
  <si>
    <t>Goodwill</t>
  </si>
  <si>
    <t>Other Non Operating Income Expenses</t>
  </si>
  <si>
    <t>Change in Tax Payable</t>
  </si>
  <si>
    <t>Other Non Current Assets</t>
  </si>
  <si>
    <t>Pretax Income</t>
  </si>
  <si>
    <t>Change in Income Tax Payable</t>
  </si>
  <si>
    <t>Total Liabilities Net Minority Interest</t>
  </si>
  <si>
    <t>Tax Provision</t>
  </si>
  <si>
    <t>Change in Account Payable</t>
  </si>
  <si>
    <t>Net Income Common Stockholders</t>
  </si>
  <si>
    <t>Payables And Accrued Expenses</t>
  </si>
  <si>
    <t>Change in Accrued Expense</t>
  </si>
  <si>
    <t>Payables</t>
  </si>
  <si>
    <t>Investing Cash Flow</t>
  </si>
  <si>
    <t>Accounts Payable</t>
  </si>
  <si>
    <t>Net Income Including Non-Controlling Interests</t>
  </si>
  <si>
    <t>Cash Flow from Continuing Investing Activities</t>
  </si>
  <si>
    <t>Total Tax Payable</t>
  </si>
  <si>
    <t>Net Income Continuous Operations</t>
  </si>
  <si>
    <t>Net PPE Purchase And Sale</t>
  </si>
  <si>
    <t>Income Tax Payable</t>
  </si>
  <si>
    <t>Minority Interests</t>
  </si>
  <si>
    <t>Purchase of PPE</t>
  </si>
  <si>
    <t>Current Accrued Expenses</t>
  </si>
  <si>
    <t>Diluted NI Available to Com Stockholders</t>
  </si>
  <si>
    <t>Current Debt And Capital Lease Obligation</t>
  </si>
  <si>
    <t>Sale of PPE</t>
  </si>
  <si>
    <t>Current Debt</t>
  </si>
  <si>
    <t>Basic EPS</t>
  </si>
  <si>
    <t>Net Business Purchase And Sale</t>
  </si>
  <si>
    <t>Other Current Borrowings</t>
  </si>
  <si>
    <t>Diluted EPS</t>
  </si>
  <si>
    <t>Purchase of Business</t>
  </si>
  <si>
    <t>Current Capital Lease Obligation</t>
  </si>
  <si>
    <t>Basic Average Shares</t>
  </si>
  <si>
    <t>Sale of Business</t>
  </si>
  <si>
    <t>Current Deferred Liabilities</t>
  </si>
  <si>
    <t>Diluted Average Shares</t>
  </si>
  <si>
    <t>Net Investment Purchase And Sale</t>
  </si>
  <si>
    <t>Current Deferred Revenue</t>
  </si>
  <si>
    <t>Total Operating Income as Reported</t>
  </si>
  <si>
    <t>Total Non Current Liabilities Net Minority Interest</t>
  </si>
  <si>
    <t>Sale of Investment</t>
  </si>
  <si>
    <t>Long Term Debt And Capital Lease Obligation</t>
  </si>
  <si>
    <t>Total Expenses</t>
  </si>
  <si>
    <t>Net Other Investing Changes</t>
  </si>
  <si>
    <t>Long Term Debt</t>
  </si>
  <si>
    <t>Net Income from Continuing &amp; Discontinued Operation</t>
  </si>
  <si>
    <t>Financing Cash Flow</t>
  </si>
  <si>
    <t>Long Term Capital Lease Obligation</t>
  </si>
  <si>
    <t>Normalized Income</t>
  </si>
  <si>
    <t>Cash Flow from Continuing Financing Activities</t>
  </si>
  <si>
    <t>Non Current Deferred Liabilities</t>
  </si>
  <si>
    <t>Interest Income</t>
  </si>
  <si>
    <t>Net Issuance Payments of Debt</t>
  </si>
  <si>
    <t>Non Current Deferred Taxes Liabilities</t>
  </si>
  <si>
    <t>Interest Expense</t>
  </si>
  <si>
    <t>Other Non Current Liabilities</t>
  </si>
  <si>
    <t>Net Long Term Debt Issuance</t>
  </si>
  <si>
    <t>Net Interest Income</t>
  </si>
  <si>
    <t>Long Term Debt Issuance</t>
  </si>
  <si>
    <t>Stockholders' Equity</t>
  </si>
  <si>
    <t>EBIT</t>
  </si>
  <si>
    <t>Long Term Debt Payments</t>
  </si>
  <si>
    <t>Capital Stock</t>
  </si>
  <si>
    <t>EBITDA</t>
  </si>
  <si>
    <t>Net Short Term Debt Issuance</t>
  </si>
  <si>
    <t>Common Stock</t>
  </si>
  <si>
    <t>Reconciled Cost of Revenue</t>
  </si>
  <si>
    <t>Net Common Stock Issuance</t>
  </si>
  <si>
    <t>Additional Paid in Capital</t>
  </si>
  <si>
    <t>Reconciled Depreciation</t>
  </si>
  <si>
    <t>Retained Earnings</t>
  </si>
  <si>
    <t>Common Stock Payments</t>
  </si>
  <si>
    <t>Gains Losses Not Affecting Retained Earnings</t>
  </si>
  <si>
    <t>Net Income from Continuing Operation Net Minority Interest</t>
  </si>
  <si>
    <t>Cash Dividends Paid</t>
  </si>
  <si>
    <t>Minimum Pension Liabilities</t>
  </si>
  <si>
    <t>Total Unusual Items Excluding Goodwill</t>
  </si>
  <si>
    <t>Common Stock Dividend Paid</t>
  </si>
  <si>
    <t>Foreign Currency Translation Adjustments</t>
  </si>
  <si>
    <t>Total Unusual Items</t>
  </si>
  <si>
    <t>Net Other Financing Charges</t>
  </si>
  <si>
    <t>Other Equity Adjustments</t>
  </si>
  <si>
    <t>Normalized EBITDA</t>
  </si>
  <si>
    <t>End Cash Position</t>
  </si>
  <si>
    <t>Minority Interest</t>
  </si>
  <si>
    <t>Tax Rate for Calcs</t>
  </si>
  <si>
    <t>Total Capitalization</t>
  </si>
  <si>
    <t>Changes in Cash</t>
  </si>
  <si>
    <t>Common Stock Equity</t>
  </si>
  <si>
    <t>Tax Effect of Unusual Items</t>
  </si>
  <si>
    <t>Effect of Exchange Rate Changes</t>
  </si>
  <si>
    <t>Capital Lease Obligations</t>
  </si>
  <si>
    <t>Beginning Cash Position</t>
  </si>
  <si>
    <t>Net Tangible Assets</t>
  </si>
  <si>
    <t>Other Cash Adjustment Outside Change in Cash</t>
  </si>
  <si>
    <t>Working Capital</t>
  </si>
  <si>
    <t>Income Tax Paid Supplemental Data</t>
  </si>
  <si>
    <t>Invested Capital</t>
  </si>
  <si>
    <t>Tangible Book Value</t>
  </si>
  <si>
    <t>Interest Paid Supplemental Data</t>
  </si>
  <si>
    <t>Capital Expenditure</t>
  </si>
  <si>
    <t>Issuance of Debt</t>
  </si>
  <si>
    <t>Share Issued</t>
  </si>
  <si>
    <t>Repayment of Debt</t>
  </si>
  <si>
    <t>Ordinary Shares Number</t>
  </si>
  <si>
    <t>Repurchase of Capital Stock</t>
  </si>
  <si>
    <t>Free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</si>
</sst>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409]d\-mmm\-yy;@"/>
    <numFmt numFmtId="166" formatCode="&quot;$&quot;#,##0"/>
    <numFmt numFmtId="167" formatCode="\$#,##0.00"/>
    <numFmt numFmtId="168" formatCode="\$#,##0"/>
    <numFmt numFmtId="169" formatCode="0.0000%"/>
    <numFmt numFmtId="170" formatCode="0.0"/>
    <numFmt numFmtId="171" formatCode="0.0%"/>
    <numFmt numFmtId="172" formatCode="&quot;$&quot;#,##0.00"/>
    <numFmt numFmtId="173" formatCode="mmm\ dd\,\ yyyy"/>
    <numFmt numFmtId="174" formatCode="&quot;$&quot;#,##0.00;[Red]&quot;-$&quot;#,##0.00"/>
    <numFmt numFmtId="175" formatCode="0.0\x"/>
    <numFmt numFmtId="176" formatCode="&quot;$&quot;#,##0&quot;B&quot;"/>
  </numFmts>
  <fonts count="80">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20"/>
      <color theme="1"/>
      <name val="Calibri"/>
      <family val="2"/>
      <scheme val="minor"/>
    </font>
    <font>
      <sz val="6"/>
      <color rgb="FFE3E3E3"/>
      <name val="Arial"/>
      <family val="2"/>
    </font>
    <font>
      <sz val="7"/>
      <color rgb="FFE3E3E3"/>
      <name val="Arial"/>
      <family val="2"/>
    </font>
    <font>
      <b/>
      <sz val="11"/>
      <color rgb="FF000000"/>
      <name val="Calibri"/>
      <family val="2"/>
      <scheme val="minor"/>
    </font>
    <font>
      <sz val="11"/>
      <color rgb="FF000000"/>
      <name val="Calibri"/>
      <family val="2"/>
      <scheme val="minor"/>
    </font>
    <font>
      <sz val="12"/>
      <color theme="1"/>
      <name val="Aptos"/>
      <family val="2"/>
    </font>
    <font>
      <b/>
      <sz val="7"/>
      <color rgb="FFE3E3E3"/>
      <name val="Arial"/>
      <family val="2"/>
    </font>
    <font>
      <sz val="11"/>
      <name val="Calibri"/>
      <family val="2"/>
      <scheme val="minor"/>
    </font>
    <font>
      <b/>
      <sz val="6"/>
      <name val="Arial"/>
      <family val="2"/>
    </font>
    <font>
      <sz val="7"/>
      <name val="Arial"/>
      <family val="2"/>
    </font>
    <font>
      <b/>
      <sz val="11"/>
      <name val="Calibri"/>
    </font>
    <font>
      <sz val="11"/>
      <name val="Calibri"/>
    </font>
    <font>
      <b/>
      <sz val="11"/>
      <color rgb="FF006100"/>
      <name val="Calibri"/>
    </font>
    <font>
      <sz val="9"/>
      <name val="Calibri"/>
    </font>
    <font>
      <u/>
      <sz val="11"/>
      <color theme="10"/>
      <name val="Calibri"/>
      <family val="2"/>
      <scheme val="minor"/>
    </font>
    <font>
      <b/>
      <sz val="14"/>
      <name val="Calibri"/>
      <family val="2"/>
    </font>
    <font>
      <b/>
      <sz val="11"/>
      <name val="Calibri"/>
      <family val="2"/>
    </font>
    <font>
      <b/>
      <sz val="10"/>
      <name val="Arial"/>
      <family val="2"/>
    </font>
    <font>
      <u/>
      <sz val="11"/>
      <name val="Calibri"/>
      <family val="2"/>
      <scheme val="minor"/>
    </font>
    <font>
      <b/>
      <sz val="7"/>
      <name val="Arial"/>
      <family val="2"/>
    </font>
    <font>
      <b/>
      <sz val="10"/>
      <name val="Calibri"/>
    </font>
    <font>
      <b/>
      <sz val="16"/>
      <color rgb="FF1F4E79"/>
      <name val="Calibri"/>
    </font>
    <font>
      <b/>
      <sz val="11"/>
      <color rgb="FFFFFFFF"/>
      <name val="Calibri"/>
    </font>
    <font>
      <b/>
      <sz val="11"/>
      <color rgb="FF1F4E79"/>
      <name val="Calibri"/>
    </font>
    <font>
      <b/>
      <sz val="13"/>
      <color rgb="FF1F4E79"/>
      <name val="Calibri"/>
    </font>
    <font>
      <b/>
      <sz val="14"/>
      <color rgb="FF1F4E79"/>
      <name val="Calibri"/>
    </font>
    <font>
      <b/>
      <sz val="12"/>
      <color rgb="FFFFFFFF"/>
      <name val="Calibri"/>
    </font>
    <font>
      <sz val="11"/>
      <color theme="0"/>
      <name val="Calibri"/>
      <family val="2"/>
      <scheme val="minor"/>
    </font>
    <font>
      <b/>
      <sz val="18"/>
      <name val="Calibri"/>
      <family val="2"/>
    </font>
    <font>
      <i/>
      <sz val="11"/>
      <name val="Calibri"/>
      <family val="2"/>
    </font>
    <font>
      <b/>
      <sz val="11"/>
      <color theme="0"/>
      <name val="Calibri"/>
      <family val="2"/>
    </font>
    <font>
      <b/>
      <sz val="11"/>
      <name val="Calibri"/>
      <family val="2"/>
      <scheme val="minor"/>
    </font>
    <font>
      <sz val="10"/>
      <name val="Calibri"/>
    </font>
    <font>
      <i/>
      <sz val="9"/>
      <color rgb="FF666666"/>
      <name val="Calibri"/>
    </font>
    <font>
      <sz val="11"/>
      <name val="Calibri"/>
      <family val="2"/>
    </font>
    <font>
      <sz val="14"/>
      <color theme="1"/>
      <name val="Calibri"/>
      <family val="2"/>
      <scheme val="minor"/>
    </font>
    <font>
      <i/>
      <sz val="24"/>
      <name val="Calibri"/>
      <family val="2"/>
    </font>
    <font>
      <b/>
      <sz val="14"/>
      <color rgb="FFFFFFFF"/>
      <name val="Calibri"/>
      <family val="2"/>
    </font>
    <font>
      <b/>
      <sz val="16"/>
      <color rgb="FFFFFFFF"/>
      <name val="Calibri"/>
      <family val="2"/>
    </font>
    <font>
      <b/>
      <sz val="11"/>
      <color rgb="FF006100"/>
      <name val="Calibri"/>
      <family val="2"/>
    </font>
    <font>
      <b/>
      <sz val="14"/>
      <color theme="1"/>
      <name val="Calibri"/>
      <family val="2"/>
      <scheme val="minor"/>
    </font>
    <font>
      <sz val="14"/>
      <name val="Calibri"/>
      <family val="2"/>
      <scheme val="minor"/>
    </font>
    <font>
      <b/>
      <sz val="14"/>
      <color rgb="FF000000"/>
      <name val="Calibri"/>
      <family val="2"/>
      <scheme val="minor"/>
    </font>
    <font>
      <sz val="11"/>
      <color theme="2" tint="-9.9978637043366805E-2"/>
      <name val="Calibri"/>
      <family val="2"/>
      <scheme val="minor"/>
    </font>
    <font>
      <b/>
      <sz val="16"/>
      <color rgb="FF1B3A5C"/>
      <name val="Calibri"/>
      <family val="2"/>
    </font>
    <font>
      <sz val="9"/>
      <name val="Calibri"/>
      <family val="2"/>
    </font>
    <font>
      <b/>
      <sz val="12"/>
      <color rgb="FFFFFFFF"/>
      <name val="Calibri"/>
      <family val="2"/>
    </font>
    <font>
      <b/>
      <sz val="12"/>
      <color rgb="FF666666"/>
      <name val="Calibri"/>
      <family val="2"/>
    </font>
    <font>
      <b/>
      <sz val="12"/>
      <color rgb="FF2E7D32"/>
      <name val="Calibri"/>
      <family val="2"/>
    </font>
    <font>
      <b/>
      <sz val="14"/>
      <color rgb="FF666666"/>
      <name val="Calibri"/>
      <family val="2"/>
    </font>
    <font>
      <sz val="11"/>
      <color rgb="FF2E7D32"/>
      <name val="Calibri"/>
      <family val="2"/>
    </font>
    <font>
      <b/>
      <sz val="11"/>
      <color rgb="FF7B1FA2"/>
      <name val="Calibri"/>
      <family val="2"/>
    </font>
    <font>
      <b/>
      <sz val="14"/>
      <color rgb="FFE53935"/>
      <name val="Calibri"/>
      <family val="2"/>
    </font>
    <font>
      <b/>
      <sz val="14"/>
      <color rgb="FF1976D2"/>
      <name val="Calibri"/>
      <family val="2"/>
    </font>
    <font>
      <b/>
      <sz val="14"/>
      <color rgb="FF7B1FA2"/>
      <name val="Calibri"/>
      <family val="2"/>
    </font>
    <font>
      <sz val="11"/>
      <color rgb="FF333333"/>
      <name val="Calibri"/>
      <family val="2"/>
    </font>
    <font>
      <sz val="12"/>
      <color rgb="FF333333"/>
      <name val="Calibri"/>
      <family val="2"/>
    </font>
    <font>
      <sz val="14"/>
      <color rgb="FF333333"/>
      <name val="Calibri"/>
      <family val="2"/>
    </font>
    <font>
      <b/>
      <sz val="16"/>
      <color rgb="FF666666"/>
      <name val="Calibri"/>
      <family val="2"/>
    </font>
    <font>
      <b/>
      <sz val="18"/>
      <color rgb="FF1B3A5C"/>
      <name val="Calibri"/>
      <family val="2"/>
    </font>
    <font>
      <b/>
      <sz val="12"/>
      <color rgb="FF1B3A5C"/>
      <name val="Calibri"/>
      <family val="2"/>
    </font>
    <font>
      <b/>
      <sz val="14"/>
      <color rgb="FF1B3A5C"/>
      <name val="Calibri"/>
      <family val="2"/>
    </font>
    <font>
      <b/>
      <sz val="11"/>
      <color rgb="FF333333"/>
      <name val="Calibri"/>
      <family val="2"/>
    </font>
    <font>
      <b/>
      <sz val="12"/>
      <color rgb="FF333333"/>
      <name val="Calibri"/>
      <family val="2"/>
    </font>
    <font>
      <b/>
      <sz val="12"/>
      <color rgb="FF444444"/>
      <name val="Calibri"/>
      <family val="2"/>
    </font>
    <font>
      <sz val="12"/>
      <color rgb="FF666666"/>
      <name val="Calibri"/>
      <family val="2"/>
    </font>
    <font>
      <b/>
      <sz val="14"/>
      <color rgb="FF333333"/>
      <name val="Calibri"/>
      <family val="2"/>
    </font>
    <font>
      <b/>
      <sz val="12"/>
      <name val="Calibri"/>
      <family val="2"/>
    </font>
    <font>
      <b/>
      <sz val="11"/>
      <color rgb="FFFFFFFF"/>
      <name val="Calibri"/>
      <family val="2"/>
    </font>
    <font>
      <b/>
      <sz val="12"/>
      <color rgb="FF2C5F8A"/>
      <name val="Calibri"/>
      <family val="2"/>
    </font>
    <font>
      <b/>
      <sz val="16"/>
      <color rgb="FF2E7D32"/>
      <name val="Calibri"/>
      <family val="2"/>
    </font>
    <font>
      <b/>
      <sz val="14"/>
      <color rgb="FFC00000"/>
      <name val="Calibri"/>
      <family val="2"/>
    </font>
    <font>
      <b/>
      <sz val="14"/>
      <color theme="9"/>
      <name val="Calibri"/>
      <family val="2"/>
    </font>
    <font>
      <b/>
      <sz val="11"/>
      <color rgb="FF000000"/>
      <name val="Calibri"/>
      <family val="2"/>
    </font>
    <font>
      <sz val="11"/>
      <color rgb="FF000000"/>
      <name val="Calibri"/>
      <family val="2"/>
    </font>
    <font>
      <b/>
      <i/>
      <sz val="9"/>
      <color rgb="FF444444"/>
      <name val="Calibri"/>
      <family val="2"/>
    </font>
  </fonts>
  <fills count="57">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0"/>
        <bgColor indexed="64"/>
      </patternFill>
    </fill>
    <fill>
      <patternFill patternType="solid">
        <fgColor theme="6" tint="0.39997558519241921"/>
        <bgColor indexed="64"/>
      </patternFill>
    </fill>
    <fill>
      <patternFill patternType="solid">
        <fgColor rgb="FFFFFF00"/>
        <bgColor indexed="64"/>
      </patternFill>
    </fill>
    <fill>
      <patternFill patternType="solid">
        <fgColor rgb="FF14181C"/>
        <bgColor indexed="64"/>
      </patternFill>
    </fill>
    <fill>
      <patternFill patternType="solid">
        <fgColor rgb="FF00000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tint="-9.9978637043366805E-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8" tint="0.79998168889431442"/>
        <bgColor indexed="64"/>
      </patternFill>
    </fill>
    <fill>
      <patternFill patternType="solid">
        <fgColor theme="8" tint="0.79998168889431442"/>
        <bgColor rgb="FF000000"/>
      </patternFill>
    </fill>
    <fill>
      <patternFill patternType="solid">
        <fgColor rgb="FF363F44"/>
        <bgColor indexed="64"/>
      </patternFill>
    </fill>
    <fill>
      <patternFill patternType="solid">
        <fgColor theme="0"/>
        <bgColor rgb="FF000000"/>
      </patternFill>
    </fill>
    <fill>
      <patternFill patternType="solid">
        <fgColor rgb="FFC6EFCE"/>
        <bgColor rgb="FFC6EFCE"/>
      </patternFill>
    </fill>
    <fill>
      <patternFill patternType="solid">
        <fgColor rgb="FFFFEB9C"/>
        <bgColor rgb="FFFFEB9C"/>
      </patternFill>
    </fill>
    <fill>
      <patternFill patternType="solid">
        <fgColor theme="8" tint="0.79998168889431442"/>
        <bgColor rgb="FF1F4E79"/>
      </patternFill>
    </fill>
    <fill>
      <patternFill patternType="solid">
        <fgColor theme="8" tint="0.79998168889431442"/>
        <bgColor rgb="FF4472C4"/>
      </patternFill>
    </fill>
    <fill>
      <patternFill patternType="solid">
        <fgColor rgb="FF1C2228"/>
        <bgColor indexed="64"/>
      </patternFill>
    </fill>
    <fill>
      <patternFill patternType="solid">
        <fgColor rgb="FFD6E4F0"/>
      </patternFill>
    </fill>
    <fill>
      <patternFill patternType="solid">
        <fgColor rgb="FFD9E2F3"/>
      </patternFill>
    </fill>
    <fill>
      <patternFill patternType="solid">
        <fgColor rgb="FFFFF2CC"/>
      </patternFill>
    </fill>
    <fill>
      <patternFill patternType="solid">
        <fgColor rgb="FFD6DCE4"/>
      </patternFill>
    </fill>
    <fill>
      <patternFill patternType="solid">
        <fgColor rgb="FFE2EFDA"/>
      </patternFill>
    </fill>
    <fill>
      <patternFill patternType="solid">
        <fgColor rgb="FF4472C4"/>
      </patternFill>
    </fill>
    <fill>
      <patternFill patternType="solid">
        <fgColor rgb="FFDDEBF7"/>
      </patternFill>
    </fill>
    <fill>
      <patternFill patternType="solid">
        <fgColor rgb="FFBDD7EE"/>
      </patternFill>
    </fill>
    <fill>
      <patternFill patternType="solid">
        <fgColor rgb="FF1F4E79"/>
        <bgColor rgb="FF1F4E79"/>
      </patternFill>
    </fill>
    <fill>
      <patternFill patternType="solid">
        <fgColor rgb="FFD6E4F0"/>
        <bgColor rgb="FFD6E4F0"/>
      </patternFill>
    </fill>
    <fill>
      <patternFill patternType="solid">
        <fgColor rgb="FFFFFFCC"/>
        <bgColor rgb="FFFFFFCC"/>
      </patternFill>
    </fill>
    <fill>
      <patternFill patternType="solid">
        <fgColor rgb="FFE2EFDA"/>
        <bgColor rgb="FFE2EFDA"/>
      </patternFill>
    </fill>
    <fill>
      <patternFill patternType="solid">
        <fgColor rgb="FFFCE4EC"/>
        <bgColor rgb="FFFCE4EC"/>
      </patternFill>
    </fill>
    <fill>
      <patternFill patternType="solid">
        <fgColor rgb="FF2E7D32"/>
        <bgColor rgb="FF2E7D32"/>
      </patternFill>
    </fill>
    <fill>
      <patternFill patternType="solid">
        <fgColor rgb="FFC62828"/>
        <bgColor rgb="FFC62828"/>
      </patternFill>
    </fill>
    <fill>
      <patternFill patternType="solid">
        <fgColor rgb="FF1B3A5C"/>
        <bgColor rgb="FF1B3A5C"/>
      </patternFill>
    </fill>
    <fill>
      <patternFill patternType="solid">
        <fgColor rgb="FFEBF1F8"/>
        <bgColor rgb="FFEBF1F8"/>
      </patternFill>
    </fill>
    <fill>
      <patternFill patternType="solid">
        <fgColor rgb="FF2C5F8A"/>
        <bgColor rgb="FF2C5F8A"/>
      </patternFill>
    </fill>
    <fill>
      <patternFill patternType="solid">
        <fgColor rgb="FFF2F2F2"/>
        <bgColor rgb="FFF2F2F2"/>
      </patternFill>
    </fill>
    <fill>
      <patternFill patternType="solid">
        <fgColor rgb="FFFFFFFF"/>
        <bgColor rgb="FFFFFFFF"/>
      </patternFill>
    </fill>
    <fill>
      <patternFill patternType="solid">
        <fgColor rgb="FFFFF9C4"/>
        <bgColor rgb="FFFFF9C4"/>
      </patternFill>
    </fill>
    <fill>
      <patternFill patternType="solid">
        <fgColor rgb="FFC8E6C9"/>
        <bgColor rgb="FFC8E6C9"/>
      </patternFill>
    </fill>
    <fill>
      <patternFill patternType="solid">
        <fgColor theme="7" tint="0.39997558519241921"/>
        <bgColor rgb="FFD6E4F0"/>
      </patternFill>
    </fill>
    <fill>
      <patternFill patternType="solid">
        <fgColor theme="3"/>
        <bgColor indexed="64"/>
      </patternFill>
    </fill>
    <fill>
      <patternFill patternType="solid">
        <fgColor rgb="FFFFC000"/>
        <bgColor indexed="64"/>
      </patternFill>
    </fill>
    <fill>
      <patternFill patternType="solid">
        <fgColor rgb="FF1F4E79"/>
      </patternFill>
    </fill>
    <fill>
      <patternFill patternType="solid">
        <fgColor rgb="FF003366"/>
      </patternFill>
    </fill>
    <fill>
      <patternFill patternType="solid">
        <fgColor rgb="FFFFFFFF"/>
      </patternFill>
    </fill>
    <fill>
      <patternFill patternType="solid">
        <fgColor rgb="FFF7F9FC"/>
      </patternFill>
    </fill>
    <fill>
      <patternFill patternType="solid">
        <fgColor rgb="FFFFFF00"/>
        <bgColor rgb="FFD6E4F0"/>
      </patternFill>
    </fill>
    <fill>
      <patternFill patternType="solid">
        <fgColor rgb="FFFFFF00"/>
        <bgColor rgb="FFFFFFCC"/>
      </patternFill>
    </fill>
    <fill>
      <patternFill patternType="solid">
        <fgColor theme="9" tint="0.59999389629810485"/>
        <bgColor indexed="64"/>
      </patternFill>
    </fill>
    <fill>
      <patternFill patternType="solid">
        <fgColor theme="4" tint="0.79998168889431442"/>
        <bgColor rgb="FFD6E4F0"/>
      </patternFill>
    </fill>
    <fill>
      <patternFill patternType="solid">
        <fgColor theme="4" tint="0.79998168889431442"/>
        <bgColor rgb="FFEBF1F8"/>
      </patternFill>
    </fill>
  </fills>
  <borders count="9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thin">
        <color indexed="64"/>
      </bottom>
      <diagonal/>
    </border>
    <border>
      <left/>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1B3A5C"/>
      </left>
      <right style="medium">
        <color rgb="FF1B3A5C"/>
      </right>
      <top style="medium">
        <color rgb="FF1B3A5C"/>
      </top>
      <bottom style="medium">
        <color rgb="FF1B3A5C"/>
      </bottom>
      <diagonal/>
    </border>
    <border>
      <left style="thin">
        <color rgb="FFAAAAAA"/>
      </left>
      <right style="thin">
        <color rgb="FFAAAAAA"/>
      </right>
      <top style="thin">
        <color rgb="FFAAAAAA"/>
      </top>
      <bottom style="thin">
        <color rgb="FFAAAAAA"/>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thin">
        <color indexed="64"/>
      </right>
      <top style="medium">
        <color indexed="64"/>
      </top>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thin">
        <color indexed="64"/>
      </right>
      <top style="medium">
        <color indexed="64"/>
      </top>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indexed="64"/>
      </left>
      <right style="thin">
        <color auto="1"/>
      </right>
      <top/>
      <bottom/>
      <diagonal/>
    </border>
    <border>
      <left style="thin">
        <color indexed="64"/>
      </left>
      <right/>
      <top/>
      <bottom style="medium">
        <color indexed="64"/>
      </bottom>
      <diagonal/>
    </border>
    <border>
      <left style="medium">
        <color indexed="64"/>
      </left>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1B3A5C"/>
      </left>
      <right/>
      <top/>
      <bottom/>
      <diagonal/>
    </border>
    <border>
      <left style="thin">
        <color rgb="FFAAAAAA"/>
      </left>
      <right/>
      <top/>
      <bottom style="medium">
        <color rgb="FF1B3A5C"/>
      </bottom>
      <diagonal/>
    </border>
    <border>
      <left/>
      <right/>
      <top/>
      <bottom style="medium">
        <color rgb="FF1B3A5C"/>
      </bottom>
      <diagonal/>
    </border>
    <border>
      <left style="medium">
        <color rgb="FF1B3A5C"/>
      </left>
      <right/>
      <top style="medium">
        <color rgb="FF1B3A5C"/>
      </top>
      <bottom style="medium">
        <color rgb="FF1B3A5C"/>
      </bottom>
      <diagonal/>
    </border>
    <border>
      <left/>
      <right/>
      <top style="medium">
        <color rgb="FF1B3A5C"/>
      </top>
      <bottom style="medium">
        <color rgb="FF1B3A5C"/>
      </bottom>
      <diagonal/>
    </border>
    <border>
      <left style="thin">
        <color rgb="FFAAAAAA"/>
      </left>
      <right/>
      <top style="medium">
        <color rgb="FF1B3A5C"/>
      </top>
      <bottom/>
      <diagonal/>
    </border>
    <border>
      <left style="thin">
        <color rgb="FFAAAAAA"/>
      </left>
      <right/>
      <top/>
      <bottom/>
      <diagonal/>
    </border>
    <border>
      <left style="medium">
        <color indexed="64"/>
      </left>
      <right style="thin">
        <color rgb="FFAAAAAA"/>
      </right>
      <top style="thin">
        <color rgb="FFAAAAAA"/>
      </top>
      <bottom style="thin">
        <color rgb="FFAAAAAA"/>
      </bottom>
      <diagonal/>
    </border>
    <border>
      <left style="thin">
        <color rgb="FFAAAAAA"/>
      </left>
      <right style="medium">
        <color indexed="64"/>
      </right>
      <top/>
      <bottom style="medium">
        <color rgb="FF1B3A5C"/>
      </bottom>
      <diagonal/>
    </border>
    <border>
      <left style="medium">
        <color indexed="64"/>
      </left>
      <right/>
      <top style="medium">
        <color rgb="FF1B3A5C"/>
      </top>
      <bottom/>
      <diagonal/>
    </border>
    <border>
      <left style="thin">
        <color rgb="FFAAAAAA"/>
      </left>
      <right style="medium">
        <color indexed="64"/>
      </right>
      <top style="medium">
        <color rgb="FF1B3A5C"/>
      </top>
      <bottom/>
      <diagonal/>
    </border>
    <border>
      <left style="medium">
        <color indexed="64"/>
      </left>
      <right/>
      <top/>
      <bottom style="medium">
        <color rgb="FF1B3A5C"/>
      </bottom>
      <diagonal/>
    </border>
    <border>
      <left style="thin">
        <color rgb="FFAAAAAA"/>
      </left>
      <right style="medium">
        <color indexed="64"/>
      </right>
      <top/>
      <bottom/>
      <diagonal/>
    </border>
    <border>
      <left style="thin">
        <color rgb="FFAAAAAA"/>
      </left>
      <right/>
      <top/>
      <bottom style="medium">
        <color indexed="64"/>
      </bottom>
      <diagonal/>
    </border>
    <border>
      <left style="thin">
        <color rgb="FFAAAAAA"/>
      </left>
      <right style="medium">
        <color indexed="64"/>
      </right>
      <top/>
      <bottom style="medium">
        <color indexed="64"/>
      </bottom>
      <diagonal/>
    </border>
    <border>
      <left style="medium">
        <color indexed="64"/>
      </left>
      <right/>
      <top style="medium">
        <color indexed="64"/>
      </top>
      <bottom style="medium">
        <color rgb="FF1B3A5C"/>
      </bottom>
      <diagonal/>
    </border>
    <border>
      <left/>
      <right/>
      <top style="medium">
        <color indexed="64"/>
      </top>
      <bottom style="medium">
        <color rgb="FF1B3A5C"/>
      </bottom>
      <diagonal/>
    </border>
    <border>
      <left/>
      <right style="medium">
        <color indexed="64"/>
      </right>
      <top style="medium">
        <color indexed="64"/>
      </top>
      <bottom style="medium">
        <color rgb="FF1B3A5C"/>
      </bottom>
      <diagonal/>
    </border>
    <border>
      <left style="medium">
        <color indexed="64"/>
      </left>
      <right style="medium">
        <color rgb="FF1B3A5C"/>
      </right>
      <top style="medium">
        <color rgb="FF1B3A5C"/>
      </top>
      <bottom style="medium">
        <color rgb="FF1B3A5C"/>
      </bottom>
      <diagonal/>
    </border>
    <border>
      <left style="medium">
        <color rgb="FF1B3A5C"/>
      </left>
      <right style="medium">
        <color indexed="64"/>
      </right>
      <top style="medium">
        <color rgb="FF1B3A5C"/>
      </top>
      <bottom style="medium">
        <color rgb="FF1B3A5C"/>
      </bottom>
      <diagonal/>
    </border>
    <border>
      <left style="thin">
        <color rgb="FFAAAAAA"/>
      </left>
      <right style="medium">
        <color indexed="64"/>
      </right>
      <top style="thin">
        <color rgb="FFAAAAAA"/>
      </top>
      <bottom style="thin">
        <color rgb="FFAAAAAA"/>
      </bottom>
      <diagonal/>
    </border>
    <border>
      <left style="medium">
        <color indexed="64"/>
      </left>
      <right style="thin">
        <color rgb="FFAAAAAA"/>
      </right>
      <top style="thin">
        <color rgb="FFAAAAAA"/>
      </top>
      <bottom style="medium">
        <color indexed="64"/>
      </bottom>
      <diagonal/>
    </border>
    <border>
      <left style="thin">
        <color rgb="FFAAAAAA"/>
      </left>
      <right style="thin">
        <color rgb="FFAAAAAA"/>
      </right>
      <top style="thin">
        <color rgb="FFAAAAAA"/>
      </top>
      <bottom style="medium">
        <color indexed="64"/>
      </bottom>
      <diagonal/>
    </border>
    <border>
      <left style="thin">
        <color rgb="FFAAAAAA"/>
      </left>
      <right style="medium">
        <color indexed="64"/>
      </right>
      <top style="thin">
        <color rgb="FFAAAAAA"/>
      </top>
      <bottom style="medium">
        <color indexed="64"/>
      </bottom>
      <diagonal/>
    </border>
    <border>
      <left style="medium">
        <color rgb="FF1B3A5C"/>
      </left>
      <right style="medium">
        <color rgb="FF1B3A5C"/>
      </right>
      <top/>
      <bottom style="medium">
        <color rgb="FF1B3A5C"/>
      </bottom>
      <diagonal/>
    </border>
    <border>
      <left style="medium">
        <color indexed="64"/>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style="medium">
        <color indexed="64"/>
      </right>
      <top style="thin">
        <color rgb="FFAAAAAA"/>
      </top>
      <bottom/>
      <diagonal/>
    </border>
    <border>
      <left style="medium">
        <color indexed="64"/>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medium">
        <color indexed="64"/>
      </right>
      <top/>
      <bottom style="thin">
        <color rgb="FFAAAAAA"/>
      </bottom>
      <diagonal/>
    </border>
    <border>
      <left/>
      <right style="medium">
        <color rgb="FF666666"/>
      </right>
      <top style="medium">
        <color indexed="64"/>
      </top>
      <bottom style="medium">
        <color indexed="64"/>
      </bottom>
      <diagonal/>
    </border>
    <border>
      <left style="medium">
        <color rgb="FF666666"/>
      </left>
      <right/>
      <top style="medium">
        <color indexed="64"/>
      </top>
      <bottom style="medium">
        <color indexed="64"/>
      </bottom>
      <diagonal/>
    </border>
    <border>
      <left/>
      <right style="thin">
        <color rgb="FFAAAAAA"/>
      </right>
      <top style="medium">
        <color indexed="64"/>
      </top>
      <bottom style="medium">
        <color indexed="64"/>
      </bottom>
      <diagonal/>
    </border>
    <border>
      <left style="thin">
        <color rgb="FFAAAAAA"/>
      </left>
      <right/>
      <top style="medium">
        <color indexed="64"/>
      </top>
      <bottom style="medium">
        <color indexed="64"/>
      </bottom>
      <diagonal/>
    </border>
    <border>
      <left style="medium">
        <color indexed="64"/>
      </left>
      <right style="thin">
        <color rgb="FFAAAAAA"/>
      </right>
      <top style="medium">
        <color indexed="64"/>
      </top>
      <bottom style="medium">
        <color indexed="64"/>
      </bottom>
      <diagonal/>
    </border>
    <border>
      <left style="medium">
        <color indexed="64"/>
      </left>
      <right/>
      <top/>
      <bottom style="thin">
        <color rgb="FFAAAAAA"/>
      </bottom>
      <diagonal/>
    </border>
    <border>
      <left/>
      <right style="medium">
        <color indexed="64"/>
      </right>
      <top/>
      <bottom style="thin">
        <color rgb="FFAAAAAA"/>
      </bottom>
      <diagonal/>
    </border>
  </borders>
  <cellStyleXfs count="7">
    <xf numFmtId="0" fontId="0" fillId="0" borderId="0"/>
    <xf numFmtId="44" fontId="1" fillId="0" borderId="0"/>
    <xf numFmtId="9" fontId="1" fillId="0" borderId="0"/>
    <xf numFmtId="0" fontId="18" fillId="0" borderId="0"/>
    <xf numFmtId="0" fontId="1" fillId="0" borderId="31"/>
    <xf numFmtId="9" fontId="1" fillId="0" borderId="31"/>
    <xf numFmtId="44" fontId="1" fillId="0" borderId="31"/>
  </cellStyleXfs>
  <cellXfs count="687">
    <xf numFmtId="0" fontId="0" fillId="0" borderId="0" xfId="0"/>
    <xf numFmtId="3" fontId="0" fillId="0" borderId="0" xfId="0" applyNumberFormat="1"/>
    <xf numFmtId="0" fontId="0" fillId="0" borderId="0" xfId="0" applyAlignment="1">
      <alignment horizontal="right"/>
    </xf>
    <xf numFmtId="15" fontId="0" fillId="0" borderId="0" xfId="0" applyNumberFormat="1"/>
    <xf numFmtId="44" fontId="0" fillId="0" borderId="0" xfId="1" applyFont="1"/>
    <xf numFmtId="164" fontId="0" fillId="0" borderId="9" xfId="1" applyNumberFormat="1" applyFont="1" applyBorder="1"/>
    <xf numFmtId="164" fontId="0" fillId="0" borderId="8" xfId="1" applyNumberFormat="1" applyFont="1" applyBorder="1"/>
    <xf numFmtId="164" fontId="0" fillId="0" borderId="7" xfId="1" applyNumberFormat="1" applyFont="1" applyBorder="1"/>
    <xf numFmtId="164" fontId="0" fillId="0" borderId="1" xfId="1" applyNumberFormat="1" applyFont="1" applyBorder="1"/>
    <xf numFmtId="164" fontId="0" fillId="0" borderId="3" xfId="1" applyNumberFormat="1" applyFont="1" applyBorder="1"/>
    <xf numFmtId="44" fontId="0" fillId="0" borderId="1" xfId="1" applyFont="1" applyBorder="1"/>
    <xf numFmtId="165" fontId="0" fillId="0" borderId="0" xfId="0" applyNumberFormat="1"/>
    <xf numFmtId="0" fontId="5" fillId="7" borderId="0" xfId="0" applyFont="1" applyFill="1" applyAlignment="1">
      <alignment horizontal="left" vertical="center"/>
    </xf>
    <xf numFmtId="0" fontId="5" fillId="7" borderId="0" xfId="0" applyFont="1" applyFill="1" applyAlignment="1">
      <alignment horizontal="right" vertical="center"/>
    </xf>
    <xf numFmtId="15" fontId="6" fillId="8" borderId="0" xfId="0" applyNumberFormat="1" applyFont="1" applyFill="1" applyAlignment="1">
      <alignment horizontal="left" vertical="center"/>
    </xf>
    <xf numFmtId="0" fontId="6" fillId="8" borderId="0" xfId="0" applyFont="1" applyFill="1" applyAlignment="1">
      <alignment horizontal="right" vertical="center"/>
    </xf>
    <xf numFmtId="3" fontId="6" fillId="8" borderId="0" xfId="0" applyNumberFormat="1" applyFont="1" applyFill="1" applyAlignment="1">
      <alignment horizontal="right" vertical="center"/>
    </xf>
    <xf numFmtId="15" fontId="6" fillId="7" borderId="0" xfId="0" applyNumberFormat="1" applyFont="1" applyFill="1" applyAlignment="1">
      <alignment horizontal="left" vertical="center"/>
    </xf>
    <xf numFmtId="0" fontId="6" fillId="7" borderId="0" xfId="0" applyFont="1" applyFill="1" applyAlignment="1">
      <alignment horizontal="right" vertical="center"/>
    </xf>
    <xf numFmtId="3" fontId="6" fillId="7" borderId="0" xfId="0" applyNumberFormat="1" applyFont="1" applyFill="1" applyAlignment="1">
      <alignment horizontal="right" vertical="center"/>
    </xf>
    <xf numFmtId="10" fontId="0" fillId="0" borderId="0" xfId="2" applyNumberFormat="1" applyFont="1"/>
    <xf numFmtId="164" fontId="0" fillId="0" borderId="0" xfId="1" applyNumberFormat="1" applyFont="1" applyAlignment="1">
      <alignment horizontal="center"/>
    </xf>
    <xf numFmtId="10" fontId="0" fillId="0" borderId="0" xfId="2" applyNumberFormat="1" applyFont="1" applyAlignment="1">
      <alignment horizontal="center"/>
    </xf>
    <xf numFmtId="9" fontId="0" fillId="0" borderId="0" xfId="2" applyFont="1" applyAlignment="1">
      <alignment horizontal="center"/>
    </xf>
    <xf numFmtId="164" fontId="0" fillId="0" borderId="0" xfId="1" quotePrefix="1" applyNumberFormat="1" applyFont="1" applyAlignment="1">
      <alignment horizontal="center"/>
    </xf>
    <xf numFmtId="0" fontId="0" fillId="3" borderId="8" xfId="0" applyFill="1" applyBorder="1"/>
    <xf numFmtId="0" fontId="3" fillId="5" borderId="13" xfId="0" applyFont="1" applyFill="1" applyBorder="1" applyAlignment="1">
      <alignment horizontal="right"/>
    </xf>
    <xf numFmtId="0" fontId="0" fillId="4" borderId="13" xfId="0" applyFill="1" applyBorder="1"/>
    <xf numFmtId="0" fontId="0" fillId="0" borderId="14" xfId="0" applyBorder="1"/>
    <xf numFmtId="0" fontId="2" fillId="2" borderId="18" xfId="0" applyFont="1" applyFill="1" applyBorder="1"/>
    <xf numFmtId="0" fontId="2" fillId="2" borderId="19" xfId="0" applyFont="1" applyFill="1" applyBorder="1" applyAlignment="1">
      <alignment horizontal="center"/>
    </xf>
    <xf numFmtId="0" fontId="2" fillId="2" borderId="20" xfId="0" applyFont="1" applyFill="1" applyBorder="1" applyAlignment="1">
      <alignment horizontal="center"/>
    </xf>
    <xf numFmtId="0" fontId="0" fillId="0" borderId="13" xfId="0" applyBorder="1"/>
    <xf numFmtId="15" fontId="6" fillId="16" borderId="0" xfId="0" applyNumberFormat="1" applyFont="1" applyFill="1" applyAlignment="1">
      <alignment horizontal="left" vertical="center"/>
    </xf>
    <xf numFmtId="0" fontId="6" fillId="16" borderId="0" xfId="0" applyFont="1" applyFill="1" applyAlignment="1">
      <alignment horizontal="right" vertical="center"/>
    </xf>
    <xf numFmtId="3" fontId="6" fillId="16" borderId="0" xfId="0" applyNumberFormat="1" applyFont="1" applyFill="1" applyAlignment="1">
      <alignment horizontal="right" vertical="center"/>
    </xf>
    <xf numFmtId="44" fontId="0" fillId="0" borderId="0" xfId="1" applyFont="1" applyAlignment="1">
      <alignment horizontal="center"/>
    </xf>
    <xf numFmtId="0" fontId="2" fillId="2" borderId="19" xfId="0" applyFont="1" applyFill="1" applyBorder="1"/>
    <xf numFmtId="0" fontId="2" fillId="2" borderId="20" xfId="0" applyFont="1" applyFill="1" applyBorder="1" applyAlignment="1">
      <alignment horizontal="right"/>
    </xf>
    <xf numFmtId="0" fontId="0" fillId="0" borderId="0" xfId="0" applyAlignment="1">
      <alignment horizontal="center"/>
    </xf>
    <xf numFmtId="44" fontId="0" fillId="0" borderId="12" xfId="1" applyFont="1" applyBorder="1" applyAlignment="1">
      <alignment horizontal="center"/>
    </xf>
    <xf numFmtId="10" fontId="0" fillId="0" borderId="12" xfId="2" applyNumberFormat="1" applyFont="1" applyBorder="1" applyAlignment="1">
      <alignment horizontal="center"/>
    </xf>
    <xf numFmtId="164" fontId="0" fillId="0" borderId="12" xfId="1" applyNumberFormat="1" applyFont="1" applyBorder="1" applyAlignment="1">
      <alignment horizontal="center"/>
    </xf>
    <xf numFmtId="2" fontId="0" fillId="0" borderId="12" xfId="0" applyNumberFormat="1" applyBorder="1" applyAlignment="1">
      <alignment horizontal="center"/>
    </xf>
    <xf numFmtId="0" fontId="0" fillId="0" borderId="15" xfId="0" applyBorder="1" applyAlignment="1">
      <alignment horizontal="center"/>
    </xf>
    <xf numFmtId="164" fontId="0" fillId="0" borderId="15" xfId="0" applyNumberFormat="1" applyBorder="1" applyAlignment="1">
      <alignment horizontal="center"/>
    </xf>
    <xf numFmtId="164" fontId="0" fillId="0" borderId="15" xfId="1" applyNumberFormat="1" applyFont="1" applyBorder="1" applyAlignment="1">
      <alignment horizontal="center"/>
    </xf>
    <xf numFmtId="164" fontId="0" fillId="0" borderId="12" xfId="0" applyNumberFormat="1" applyBorder="1" applyAlignment="1">
      <alignment horizontal="center"/>
    </xf>
    <xf numFmtId="10" fontId="0" fillId="0" borderId="12" xfId="0" applyNumberFormat="1" applyBorder="1" applyAlignment="1">
      <alignment horizontal="center"/>
    </xf>
    <xf numFmtId="0" fontId="2" fillId="2" borderId="13" xfId="0" applyFont="1" applyFill="1" applyBorder="1"/>
    <xf numFmtId="0" fontId="2" fillId="2" borderId="12" xfId="0" applyFont="1" applyFill="1" applyBorder="1" applyAlignment="1">
      <alignment horizontal="center"/>
    </xf>
    <xf numFmtId="0" fontId="0" fillId="6" borderId="13" xfId="0" applyFill="1" applyBorder="1"/>
    <xf numFmtId="0" fontId="0" fillId="6" borderId="0" xfId="0" applyFill="1"/>
    <xf numFmtId="10" fontId="0" fillId="6" borderId="12" xfId="2" applyNumberFormat="1" applyFont="1" applyFill="1" applyBorder="1" applyAlignment="1">
      <alignment horizontal="center"/>
    </xf>
    <xf numFmtId="10" fontId="0" fillId="6" borderId="12" xfId="0" applyNumberFormat="1" applyFill="1" applyBorder="1" applyAlignment="1">
      <alignment horizontal="center"/>
    </xf>
    <xf numFmtId="0" fontId="0" fillId="6" borderId="14" xfId="0" applyFill="1" applyBorder="1"/>
    <xf numFmtId="0" fontId="0" fillId="6" borderId="15" xfId="0" applyFill="1" applyBorder="1"/>
    <xf numFmtId="10" fontId="0" fillId="6" borderId="16" xfId="0" applyNumberFormat="1" applyFill="1" applyBorder="1" applyAlignment="1">
      <alignment horizontal="center"/>
    </xf>
    <xf numFmtId="0" fontId="11" fillId="0" borderId="0" xfId="0" applyFont="1"/>
    <xf numFmtId="0" fontId="12" fillId="0" borderId="0" xfId="0" applyFont="1" applyAlignment="1">
      <alignment horizontal="left" vertical="center"/>
    </xf>
    <xf numFmtId="0" fontId="12" fillId="0" borderId="0" xfId="0" applyFont="1" applyAlignment="1">
      <alignment horizontal="right" vertical="center"/>
    </xf>
    <xf numFmtId="14" fontId="12" fillId="0" borderId="0" xfId="0" applyNumberFormat="1" applyFont="1" applyAlignment="1">
      <alignment horizontal="right" vertical="center"/>
    </xf>
    <xf numFmtId="0" fontId="13" fillId="0" borderId="0" xfId="0" applyFont="1" applyAlignment="1">
      <alignment vertical="center"/>
    </xf>
    <xf numFmtId="3" fontId="13" fillId="0" borderId="0" xfId="0" applyNumberFormat="1" applyFont="1" applyAlignment="1">
      <alignment vertical="center"/>
    </xf>
    <xf numFmtId="0" fontId="13" fillId="0" borderId="0" xfId="0" applyFont="1" applyAlignment="1">
      <alignment horizontal="left" vertical="center" indent="1"/>
    </xf>
    <xf numFmtId="0" fontId="13" fillId="0" borderId="0" xfId="0" applyFont="1" applyAlignment="1">
      <alignment horizontal="left" vertical="center" indent="2"/>
    </xf>
    <xf numFmtId="0" fontId="13" fillId="0" borderId="0" xfId="0" applyFont="1" applyAlignment="1">
      <alignment horizontal="left" vertical="center" indent="3"/>
    </xf>
    <xf numFmtId="0" fontId="13" fillId="0" borderId="0" xfId="0" applyFont="1" applyAlignment="1">
      <alignment horizontal="left" vertical="center" indent="4"/>
    </xf>
    <xf numFmtId="0" fontId="13" fillId="0" borderId="0" xfId="0" applyFont="1" applyAlignment="1">
      <alignment horizontal="left" vertical="center" indent="5"/>
    </xf>
    <xf numFmtId="0" fontId="13" fillId="0" borderId="0" xfId="0" applyFont="1" applyAlignment="1">
      <alignment horizontal="left" vertical="center" indent="6"/>
    </xf>
    <xf numFmtId="4" fontId="11" fillId="0" borderId="0" xfId="0" applyNumberFormat="1" applyFont="1"/>
    <xf numFmtId="3" fontId="11" fillId="0" borderId="0" xfId="0" applyNumberFormat="1" applyFont="1"/>
    <xf numFmtId="164" fontId="0" fillId="0" borderId="16" xfId="1" applyNumberFormat="1" applyFont="1" applyBorder="1" applyAlignment="1">
      <alignment horizontal="center"/>
    </xf>
    <xf numFmtId="0" fontId="0" fillId="0" borderId="12" xfId="0" applyBorder="1"/>
    <xf numFmtId="0" fontId="0" fillId="0" borderId="15" xfId="0" applyBorder="1"/>
    <xf numFmtId="0" fontId="21" fillId="0" borderId="0" xfId="0" applyFont="1" applyAlignment="1">
      <alignment vertical="center"/>
    </xf>
    <xf numFmtId="0" fontId="22" fillId="0" borderId="0" xfId="3" applyFont="1" applyAlignment="1">
      <alignment vertical="center" wrapText="1"/>
    </xf>
    <xf numFmtId="0" fontId="13" fillId="0" borderId="0" xfId="0" applyFont="1" applyAlignment="1">
      <alignment vertical="center" wrapText="1"/>
    </xf>
    <xf numFmtId="0" fontId="13" fillId="0" borderId="0" xfId="0" applyFont="1" applyAlignment="1">
      <alignment horizontal="left" vertical="center" wrapText="1" indent="1"/>
    </xf>
    <xf numFmtId="0" fontId="23" fillId="0" borderId="0" xfId="0" applyFont="1" applyAlignment="1">
      <alignment horizontal="left" vertical="center" wrapText="1" indent="1"/>
    </xf>
    <xf numFmtId="0" fontId="0" fillId="7" borderId="0" xfId="0" applyFill="1"/>
    <xf numFmtId="0" fontId="6" fillId="22" borderId="0" xfId="0" applyFont="1" applyFill="1" applyAlignment="1">
      <alignment horizontal="right" vertical="center"/>
    </xf>
    <xf numFmtId="14" fontId="6" fillId="7" borderId="0" xfId="0" applyNumberFormat="1" applyFont="1" applyFill="1" applyAlignment="1">
      <alignment horizontal="right" vertical="center"/>
    </xf>
    <xf numFmtId="14" fontId="6" fillId="22" borderId="0" xfId="0" applyNumberFormat="1" applyFont="1" applyFill="1" applyAlignment="1">
      <alignment horizontal="right" vertical="center"/>
    </xf>
    <xf numFmtId="0" fontId="6" fillId="7" borderId="0" xfId="0" applyFont="1" applyFill="1" applyAlignment="1">
      <alignment horizontal="left" vertical="center"/>
    </xf>
    <xf numFmtId="10" fontId="0" fillId="0" borderId="30" xfId="0" applyNumberFormat="1" applyBorder="1"/>
    <xf numFmtId="2" fontId="0" fillId="0" borderId="30" xfId="0" applyNumberFormat="1" applyBorder="1"/>
    <xf numFmtId="0" fontId="24" fillId="24" borderId="30" xfId="0" applyFont="1" applyFill="1" applyBorder="1" applyAlignment="1">
      <alignment horizontal="center"/>
    </xf>
    <xf numFmtId="0" fontId="0" fillId="0" borderId="30" xfId="0" applyBorder="1"/>
    <xf numFmtId="10" fontId="0" fillId="0" borderId="30" xfId="0" applyNumberFormat="1" applyBorder="1" applyAlignment="1">
      <alignment horizontal="center"/>
    </xf>
    <xf numFmtId="2" fontId="0" fillId="0" borderId="30" xfId="0" applyNumberFormat="1" applyBorder="1" applyAlignment="1">
      <alignment horizontal="center"/>
    </xf>
    <xf numFmtId="0" fontId="0" fillId="6" borderId="31" xfId="0" applyFill="1" applyBorder="1"/>
    <xf numFmtId="0" fontId="0" fillId="0" borderId="31" xfId="0" applyBorder="1"/>
    <xf numFmtId="0" fontId="0" fillId="0" borderId="31" xfId="0" applyBorder="1" applyAlignment="1">
      <alignment horizontal="center"/>
    </xf>
    <xf numFmtId="10" fontId="0" fillId="0" borderId="40" xfId="0" applyNumberFormat="1" applyBorder="1" applyAlignment="1">
      <alignment horizontal="center"/>
    </xf>
    <xf numFmtId="2" fontId="0" fillId="0" borderId="40" xfId="0" applyNumberFormat="1" applyBorder="1" applyAlignment="1">
      <alignment horizontal="center"/>
    </xf>
    <xf numFmtId="0" fontId="0" fillId="0" borderId="12" xfId="0" applyBorder="1" applyAlignment="1">
      <alignment horizontal="center"/>
    </xf>
    <xf numFmtId="10" fontId="0" fillId="0" borderId="42" xfId="0" applyNumberFormat="1" applyBorder="1" applyAlignment="1">
      <alignment horizontal="center"/>
    </xf>
    <xf numFmtId="0" fontId="0" fillId="0" borderId="16" xfId="0" applyBorder="1" applyAlignment="1">
      <alignment horizontal="center"/>
    </xf>
    <xf numFmtId="10" fontId="0" fillId="0" borderId="31" xfId="2" applyNumberFormat="1" applyFont="1" applyBorder="1" applyAlignment="1">
      <alignment horizontal="center"/>
    </xf>
    <xf numFmtId="167" fontId="0" fillId="0" borderId="40" xfId="0" applyNumberFormat="1" applyBorder="1"/>
    <xf numFmtId="2" fontId="0" fillId="0" borderId="42" xfId="0" applyNumberFormat="1" applyBorder="1"/>
    <xf numFmtId="10" fontId="0" fillId="0" borderId="42" xfId="0" applyNumberFormat="1" applyBorder="1"/>
    <xf numFmtId="167" fontId="0" fillId="0" borderId="46" xfId="0" applyNumberFormat="1" applyBorder="1"/>
    <xf numFmtId="0" fontId="0" fillId="3" borderId="24" xfId="0" applyFill="1" applyBorder="1"/>
    <xf numFmtId="0" fontId="0" fillId="3" borderId="25" xfId="0" applyFill="1" applyBorder="1"/>
    <xf numFmtId="165" fontId="0" fillId="0" borderId="10" xfId="0" applyNumberFormat="1" applyBorder="1"/>
    <xf numFmtId="0" fontId="0" fillId="0" borderId="32" xfId="0" applyBorder="1"/>
    <xf numFmtId="10" fontId="0" fillId="0" borderId="11" xfId="2" applyNumberFormat="1" applyFont="1" applyBorder="1"/>
    <xf numFmtId="165" fontId="0" fillId="0" borderId="13" xfId="0" applyNumberFormat="1" applyBorder="1"/>
    <xf numFmtId="10" fontId="0" fillId="0" borderId="12" xfId="2" applyNumberFormat="1" applyFont="1" applyBorder="1"/>
    <xf numFmtId="10" fontId="0" fillId="0" borderId="16" xfId="2" applyNumberFormat="1" applyFont="1" applyBorder="1"/>
    <xf numFmtId="44" fontId="0" fillId="0" borderId="32" xfId="1" applyFont="1" applyBorder="1"/>
    <xf numFmtId="15" fontId="0" fillId="0" borderId="13" xfId="0" applyNumberFormat="1" applyBorder="1"/>
    <xf numFmtId="44" fontId="0" fillId="0" borderId="31" xfId="1" applyFont="1" applyBorder="1"/>
    <xf numFmtId="165" fontId="0" fillId="0" borderId="14" xfId="0" applyNumberFormat="1" applyBorder="1"/>
    <xf numFmtId="44" fontId="0" fillId="0" borderId="15" xfId="1" applyFont="1" applyBorder="1"/>
    <xf numFmtId="164" fontId="0" fillId="0" borderId="31" xfId="1" applyNumberFormat="1" applyFont="1" applyBorder="1" applyAlignment="1">
      <alignment horizontal="center"/>
    </xf>
    <xf numFmtId="0" fontId="0" fillId="0" borderId="31" xfId="0" applyBorder="1" applyAlignment="1">
      <alignment horizontal="center" vertical="center" readingOrder="1"/>
    </xf>
    <xf numFmtId="0" fontId="2" fillId="2" borderId="31" xfId="0" applyFont="1" applyFill="1" applyBorder="1"/>
    <xf numFmtId="10" fontId="0" fillId="0" borderId="31" xfId="0" applyNumberFormat="1" applyBorder="1" applyAlignment="1">
      <alignment horizontal="center"/>
    </xf>
    <xf numFmtId="2" fontId="0" fillId="0" borderId="31" xfId="0" applyNumberFormat="1" applyBorder="1"/>
    <xf numFmtId="10" fontId="0" fillId="0" borderId="31" xfId="0" applyNumberFormat="1" applyBorder="1"/>
    <xf numFmtId="167" fontId="0" fillId="0" borderId="31" xfId="0" applyNumberFormat="1" applyBorder="1"/>
    <xf numFmtId="0" fontId="2" fillId="3" borderId="43" xfId="0" applyFont="1" applyFill="1" applyBorder="1"/>
    <xf numFmtId="0" fontId="2" fillId="3" borderId="44" xfId="0" applyFont="1" applyFill="1" applyBorder="1"/>
    <xf numFmtId="0" fontId="2" fillId="3" borderId="44" xfId="0" applyFont="1" applyFill="1" applyBorder="1" applyAlignment="1">
      <alignment horizontal="center"/>
    </xf>
    <xf numFmtId="0" fontId="2" fillId="3" borderId="45" xfId="0" applyFont="1" applyFill="1" applyBorder="1" applyAlignment="1">
      <alignment horizontal="center"/>
    </xf>
    <xf numFmtId="0" fontId="0" fillId="0" borderId="39" xfId="0" applyBorder="1"/>
    <xf numFmtId="0" fontId="0" fillId="0" borderId="30" xfId="0" quotePrefix="1" applyBorder="1"/>
    <xf numFmtId="16" fontId="0" fillId="0" borderId="30" xfId="0" quotePrefix="1" applyNumberFormat="1" applyBorder="1"/>
    <xf numFmtId="0" fontId="2" fillId="3" borderId="39" xfId="0" applyFont="1" applyFill="1" applyBorder="1"/>
    <xf numFmtId="0" fontId="2" fillId="3" borderId="30" xfId="0" applyFont="1" applyFill="1" applyBorder="1"/>
    <xf numFmtId="0" fontId="2" fillId="3" borderId="30" xfId="0" applyFont="1" applyFill="1" applyBorder="1" applyAlignment="1">
      <alignment horizontal="center"/>
    </xf>
    <xf numFmtId="0" fontId="2" fillId="3" borderId="40" xfId="0" applyFont="1" applyFill="1" applyBorder="1" applyAlignment="1">
      <alignment horizontal="center"/>
    </xf>
    <xf numFmtId="10" fontId="0" fillId="0" borderId="30" xfId="2" applyNumberFormat="1" applyFont="1" applyBorder="1" applyAlignment="1">
      <alignment horizontal="center"/>
    </xf>
    <xf numFmtId="10" fontId="0" fillId="0" borderId="40" xfId="2" applyNumberFormat="1" applyFont="1" applyBorder="1" applyAlignment="1">
      <alignment horizontal="center"/>
    </xf>
    <xf numFmtId="44" fontId="0" fillId="0" borderId="30" xfId="0" applyNumberFormat="1" applyBorder="1" applyAlignment="1">
      <alignment horizontal="center"/>
    </xf>
    <xf numFmtId="44" fontId="0" fillId="0" borderId="40" xfId="0" applyNumberFormat="1" applyBorder="1" applyAlignment="1">
      <alignment horizontal="center"/>
    </xf>
    <xf numFmtId="2" fontId="0" fillId="0" borderId="30" xfId="1" applyNumberFormat="1" applyFont="1" applyBorder="1" applyAlignment="1">
      <alignment horizontal="center"/>
    </xf>
    <xf numFmtId="2" fontId="0" fillId="0" borderId="40" xfId="1" applyNumberFormat="1" applyFont="1" applyBorder="1" applyAlignment="1">
      <alignment horizontal="center"/>
    </xf>
    <xf numFmtId="0" fontId="0" fillId="0" borderId="41" xfId="0" applyBorder="1"/>
    <xf numFmtId="10" fontId="0" fillId="0" borderId="42" xfId="2" applyNumberFormat="1" applyFont="1" applyBorder="1" applyAlignment="1">
      <alignment horizontal="center"/>
    </xf>
    <xf numFmtId="10" fontId="0" fillId="0" borderId="46" xfId="0" applyNumberFormat="1" applyBorder="1" applyAlignment="1">
      <alignment horizontal="center"/>
    </xf>
    <xf numFmtId="44" fontId="31" fillId="0" borderId="0" xfId="0" applyNumberFormat="1" applyFont="1"/>
    <xf numFmtId="164" fontId="0" fillId="0" borderId="31" xfId="1" applyNumberFormat="1" applyFont="1" applyBorder="1"/>
    <xf numFmtId="164" fontId="0" fillId="0" borderId="22" xfId="1" applyNumberFormat="1" applyFont="1" applyBorder="1"/>
    <xf numFmtId="164" fontId="0" fillId="0" borderId="12" xfId="1" applyNumberFormat="1" applyFont="1" applyBorder="1"/>
    <xf numFmtId="0" fontId="3" fillId="4" borderId="13" xfId="0" applyFont="1" applyFill="1" applyBorder="1" applyAlignment="1">
      <alignment horizontal="right"/>
    </xf>
    <xf numFmtId="0" fontId="0" fillId="4" borderId="24" xfId="0" applyFill="1" applyBorder="1"/>
    <xf numFmtId="164" fontId="0" fillId="0" borderId="25" xfId="1" applyNumberFormat="1" applyFont="1" applyBorder="1"/>
    <xf numFmtId="44" fontId="0" fillId="0" borderId="12" xfId="1" applyFont="1" applyBorder="1"/>
    <xf numFmtId="0" fontId="0" fillId="4" borderId="14" xfId="0" applyFill="1" applyBorder="1"/>
    <xf numFmtId="3" fontId="0" fillId="0" borderId="55" xfId="1" applyNumberFormat="1" applyFont="1" applyBorder="1"/>
    <xf numFmtId="3" fontId="0" fillId="0" borderId="15" xfId="1" applyNumberFormat="1" applyFont="1" applyBorder="1"/>
    <xf numFmtId="3" fontId="0" fillId="0" borderId="16" xfId="1" applyNumberFormat="1" applyFont="1" applyBorder="1"/>
    <xf numFmtId="3" fontId="0" fillId="0" borderId="13" xfId="0" applyNumberFormat="1" applyBorder="1"/>
    <xf numFmtId="2" fontId="0" fillId="0" borderId="31" xfId="1" applyNumberFormat="1" applyFont="1" applyBorder="1" applyAlignment="1">
      <alignment horizontal="center"/>
    </xf>
    <xf numFmtId="164" fontId="0" fillId="0" borderId="15" xfId="1" applyNumberFormat="1" applyFont="1" applyBorder="1"/>
    <xf numFmtId="164" fontId="0" fillId="0" borderId="16" xfId="1" applyNumberFormat="1" applyFont="1" applyBorder="1"/>
    <xf numFmtId="164" fontId="0" fillId="0" borderId="55" xfId="1" applyNumberFormat="1" applyFont="1" applyBorder="1"/>
    <xf numFmtId="0" fontId="2" fillId="3" borderId="26" xfId="0" applyFont="1" applyFill="1" applyBorder="1" applyAlignment="1">
      <alignment horizontal="left"/>
    </xf>
    <xf numFmtId="0" fontId="2" fillId="2" borderId="26" xfId="0" applyFont="1" applyFill="1" applyBorder="1" applyAlignment="1">
      <alignment wrapText="1"/>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0" fillId="4" borderId="13" xfId="0" applyFill="1" applyBorder="1" applyAlignment="1">
      <alignment horizontal="left" vertical="center" wrapText="1"/>
    </xf>
    <xf numFmtId="0" fontId="2" fillId="3" borderId="27" xfId="0" applyFont="1" applyFill="1" applyBorder="1" applyAlignment="1">
      <alignment horizontal="left"/>
    </xf>
    <xf numFmtId="0" fontId="2" fillId="3" borderId="28" xfId="0" applyFont="1" applyFill="1" applyBorder="1" applyAlignment="1">
      <alignment horizontal="left"/>
    </xf>
    <xf numFmtId="0" fontId="0" fillId="23" borderId="19" xfId="0" applyFill="1" applyBorder="1"/>
    <xf numFmtId="0" fontId="0" fillId="23" borderId="20" xfId="0" applyFill="1" applyBorder="1"/>
    <xf numFmtId="0" fontId="24" fillId="24" borderId="39" xfId="0" applyFont="1" applyFill="1" applyBorder="1" applyAlignment="1">
      <alignment horizontal="center"/>
    </xf>
    <xf numFmtId="0" fontId="24" fillId="24" borderId="40" xfId="0" applyFont="1" applyFill="1" applyBorder="1" applyAlignment="1">
      <alignment horizontal="center"/>
    </xf>
    <xf numFmtId="3" fontId="0" fillId="0" borderId="31" xfId="1" applyNumberFormat="1" applyFont="1" applyBorder="1" applyAlignment="1">
      <alignment horizontal="right"/>
    </xf>
    <xf numFmtId="3" fontId="0" fillId="0" borderId="12" xfId="1" applyNumberFormat="1" applyFont="1" applyBorder="1" applyAlignment="1">
      <alignment horizontal="right"/>
    </xf>
    <xf numFmtId="164" fontId="1" fillId="0" borderId="31" xfId="1" applyNumberFormat="1" applyBorder="1"/>
    <xf numFmtId="0" fontId="0" fillId="46" borderId="0" xfId="0" applyFill="1"/>
    <xf numFmtId="10" fontId="1" fillId="0" borderId="31" xfId="2" applyNumberFormat="1" applyBorder="1"/>
    <xf numFmtId="0" fontId="1" fillId="0" borderId="31" xfId="4"/>
    <xf numFmtId="1" fontId="36" fillId="0" borderId="30" xfId="4" applyNumberFormat="1" applyFont="1" applyBorder="1" applyAlignment="1">
      <alignment horizontal="center"/>
    </xf>
    <xf numFmtId="0" fontId="36" fillId="0" borderId="30" xfId="4" applyFont="1" applyBorder="1" applyAlignment="1">
      <alignment horizontal="center"/>
    </xf>
    <xf numFmtId="167" fontId="36" fillId="0" borderId="30" xfId="4" applyNumberFormat="1" applyFont="1" applyBorder="1" applyAlignment="1">
      <alignment horizontal="center"/>
    </xf>
    <xf numFmtId="0" fontId="26" fillId="48" borderId="30" xfId="4" applyFont="1" applyFill="1" applyBorder="1" applyAlignment="1">
      <alignment horizontal="center"/>
    </xf>
    <xf numFmtId="1" fontId="36" fillId="50" borderId="30" xfId="4" applyNumberFormat="1" applyFont="1" applyFill="1" applyBorder="1" applyAlignment="1">
      <alignment horizontal="center"/>
    </xf>
    <xf numFmtId="167" fontId="36" fillId="50" borderId="30" xfId="4" applyNumberFormat="1" applyFont="1" applyFill="1" applyBorder="1" applyAlignment="1">
      <alignment horizontal="center"/>
    </xf>
    <xf numFmtId="1" fontId="1" fillId="51" borderId="30" xfId="4" applyNumberFormat="1" applyFill="1" applyBorder="1" applyAlignment="1">
      <alignment horizontal="center"/>
    </xf>
    <xf numFmtId="1" fontId="1" fillId="0" borderId="30" xfId="4" applyNumberFormat="1" applyBorder="1" applyAlignment="1">
      <alignment horizontal="center"/>
    </xf>
    <xf numFmtId="0" fontId="15" fillId="0" borderId="31" xfId="4" applyFont="1"/>
    <xf numFmtId="1" fontId="15" fillId="51" borderId="30" xfId="4" applyNumberFormat="1" applyFont="1" applyFill="1" applyBorder="1" applyAlignment="1">
      <alignment horizontal="center"/>
    </xf>
    <xf numFmtId="167" fontId="15" fillId="0" borderId="30" xfId="4" applyNumberFormat="1" applyFont="1" applyBorder="1" applyAlignment="1">
      <alignment horizontal="center"/>
    </xf>
    <xf numFmtId="0" fontId="15" fillId="0" borderId="30" xfId="4" applyFont="1" applyBorder="1" applyAlignment="1">
      <alignment horizontal="center"/>
    </xf>
    <xf numFmtId="10" fontId="15" fillId="0" borderId="30" xfId="4" applyNumberFormat="1" applyFont="1" applyBorder="1" applyAlignment="1">
      <alignment horizontal="center"/>
    </xf>
    <xf numFmtId="1" fontId="15" fillId="0" borderId="30" xfId="4" applyNumberFormat="1" applyFont="1" applyBorder="1" applyAlignment="1">
      <alignment horizontal="center"/>
    </xf>
    <xf numFmtId="0" fontId="26" fillId="48" borderId="30" xfId="4" applyFont="1" applyFill="1" applyBorder="1" applyAlignment="1">
      <alignment horizontal="center" wrapText="1"/>
    </xf>
    <xf numFmtId="175" fontId="36" fillId="25" borderId="30" xfId="4" applyNumberFormat="1" applyFont="1" applyFill="1" applyBorder="1" applyAlignment="1">
      <alignment horizontal="center"/>
    </xf>
    <xf numFmtId="10" fontId="36" fillId="25" borderId="30" xfId="4" applyNumberFormat="1" applyFont="1" applyFill="1" applyBorder="1" applyAlignment="1">
      <alignment horizontal="center"/>
    </xf>
    <xf numFmtId="2" fontId="1" fillId="0" borderId="30" xfId="4" applyNumberFormat="1" applyBorder="1"/>
    <xf numFmtId="0" fontId="14" fillId="26" borderId="30" xfId="4" applyFont="1" applyFill="1" applyBorder="1"/>
    <xf numFmtId="10" fontId="15" fillId="0" borderId="30" xfId="4" applyNumberFormat="1" applyFont="1" applyBorder="1"/>
    <xf numFmtId="1" fontId="14" fillId="32" borderId="30" xfId="4" applyNumberFormat="1" applyFont="1" applyFill="1" applyBorder="1"/>
    <xf numFmtId="0" fontId="14" fillId="32" borderId="30" xfId="4" applyFont="1" applyFill="1" applyBorder="1"/>
    <xf numFmtId="0" fontId="1" fillId="0" borderId="12" xfId="4" applyBorder="1"/>
    <xf numFmtId="10" fontId="15" fillId="19" borderId="4" xfId="4" applyNumberFormat="1" applyFont="1" applyFill="1" applyBorder="1"/>
    <xf numFmtId="0" fontId="1" fillId="0" borderId="8" xfId="4" applyBorder="1"/>
    <xf numFmtId="0" fontId="15" fillId="0" borderId="24" xfId="4" applyFont="1" applyBorder="1"/>
    <xf numFmtId="167" fontId="16" fillId="18" borderId="2" xfId="4" applyNumberFormat="1" applyFont="1" applyFill="1" applyBorder="1"/>
    <xf numFmtId="0" fontId="14" fillId="0" borderId="13" xfId="4" applyFont="1" applyBorder="1"/>
    <xf numFmtId="168" fontId="15" fillId="0" borderId="2" xfId="4" applyNumberFormat="1" applyFont="1" applyBorder="1"/>
    <xf numFmtId="0" fontId="15" fillId="0" borderId="13" xfId="4" applyFont="1" applyBorder="1"/>
    <xf numFmtId="168" fontId="14" fillId="0" borderId="2" xfId="4" applyNumberFormat="1" applyFont="1" applyBorder="1"/>
    <xf numFmtId="10" fontId="15" fillId="0" borderId="2" xfId="4" applyNumberFormat="1" applyFont="1" applyBorder="1"/>
    <xf numFmtId="0" fontId="17" fillId="0" borderId="31" xfId="4" applyFont="1"/>
    <xf numFmtId="0" fontId="1" fillId="0" borderId="13" xfId="4" applyBorder="1"/>
    <xf numFmtId="0" fontId="1" fillId="0" borderId="25" xfId="4" applyBorder="1"/>
    <xf numFmtId="10" fontId="1" fillId="0" borderId="8" xfId="4" applyNumberFormat="1" applyBorder="1"/>
    <xf numFmtId="10" fontId="14" fillId="19" borderId="8" xfId="4" applyNumberFormat="1" applyFont="1" applyFill="1" applyBorder="1"/>
    <xf numFmtId="0" fontId="14" fillId="0" borderId="24" xfId="4" applyFont="1" applyBorder="1"/>
    <xf numFmtId="10" fontId="15" fillId="0" borderId="31" xfId="4" applyNumberFormat="1" applyFont="1"/>
    <xf numFmtId="0" fontId="14" fillId="35" borderId="30" xfId="4" applyFont="1" applyFill="1" applyBorder="1"/>
    <xf numFmtId="0" fontId="14" fillId="34" borderId="30" xfId="4" applyFont="1" applyFill="1" applyBorder="1"/>
    <xf numFmtId="10" fontId="16" fillId="18" borderId="31" xfId="4" applyNumberFormat="1" applyFont="1" applyFill="1"/>
    <xf numFmtId="168" fontId="17" fillId="41" borderId="12" xfId="4" applyNumberFormat="1" applyFont="1" applyFill="1" applyBorder="1"/>
    <xf numFmtId="168" fontId="17" fillId="41" borderId="31" xfId="4" applyNumberFormat="1" applyFont="1" applyFill="1"/>
    <xf numFmtId="169" fontId="17" fillId="41" borderId="12" xfId="4" applyNumberFormat="1" applyFont="1" applyFill="1" applyBorder="1"/>
    <xf numFmtId="169" fontId="17" fillId="41" borderId="31" xfId="4" applyNumberFormat="1" applyFont="1" applyFill="1"/>
    <xf numFmtId="0" fontId="17" fillId="41" borderId="12" xfId="4" applyFont="1" applyFill="1" applyBorder="1" applyAlignment="1">
      <alignment horizontal="center"/>
    </xf>
    <xf numFmtId="0" fontId="17" fillId="41" borderId="31" xfId="4" applyFont="1" applyFill="1" applyAlignment="1">
      <alignment horizontal="center"/>
    </xf>
    <xf numFmtId="0" fontId="14" fillId="41" borderId="31" xfId="4" applyFont="1" applyFill="1" applyAlignment="1">
      <alignment horizontal="center"/>
    </xf>
    <xf numFmtId="0" fontId="14" fillId="41" borderId="13" xfId="4" applyFont="1" applyFill="1" applyBorder="1"/>
    <xf numFmtId="10" fontId="1" fillId="4" borderId="16" xfId="5" applyNumberFormat="1" applyFill="1" applyBorder="1" applyAlignment="1">
      <alignment horizontal="center"/>
    </xf>
    <xf numFmtId="8" fontId="1" fillId="4" borderId="15" xfId="5" applyNumberFormat="1" applyFill="1" applyBorder="1"/>
    <xf numFmtId="0" fontId="8" fillId="4" borderId="15" xfId="4" applyFont="1" applyFill="1" applyBorder="1"/>
    <xf numFmtId="0" fontId="8" fillId="4" borderId="14" xfId="4" applyFont="1" applyFill="1" applyBorder="1"/>
    <xf numFmtId="10" fontId="1" fillId="4" borderId="12" xfId="5" applyNumberFormat="1" applyFill="1" applyBorder="1" applyAlignment="1">
      <alignment horizontal="center"/>
    </xf>
    <xf numFmtId="6" fontId="1" fillId="4" borderId="31" xfId="5" applyNumberFormat="1" applyFill="1"/>
    <xf numFmtId="0" fontId="8" fillId="17" borderId="13" xfId="4" applyFont="1" applyFill="1" applyBorder="1"/>
    <xf numFmtId="168" fontId="15" fillId="0" borderId="31" xfId="4" applyNumberFormat="1" applyFont="1"/>
    <xf numFmtId="10" fontId="1" fillId="4" borderId="31" xfId="5" applyNumberFormat="1" applyFill="1"/>
    <xf numFmtId="3" fontId="1" fillId="17" borderId="12" xfId="4" applyNumberFormat="1" applyFill="1" applyBorder="1"/>
    <xf numFmtId="6" fontId="1" fillId="11" borderId="12" xfId="4" applyNumberFormat="1" applyFill="1" applyBorder="1"/>
    <xf numFmtId="0" fontId="7" fillId="11" borderId="13" xfId="4" applyFont="1" applyFill="1" applyBorder="1"/>
    <xf numFmtId="0" fontId="2" fillId="15" borderId="28" xfId="4" applyFont="1" applyFill="1" applyBorder="1" applyAlignment="1">
      <alignment horizontal="center"/>
    </xf>
    <xf numFmtId="0" fontId="2" fillId="15" borderId="27" xfId="4" applyFont="1" applyFill="1" applyBorder="1" applyAlignment="1">
      <alignment horizontal="center"/>
    </xf>
    <xf numFmtId="164" fontId="0" fillId="17" borderId="12" xfId="6" applyNumberFormat="1" applyFont="1" applyFill="1" applyBorder="1"/>
    <xf numFmtId="0" fontId="8" fillId="17" borderId="31" xfId="4" applyFont="1" applyFill="1" applyAlignment="1">
      <alignment horizontal="center"/>
    </xf>
    <xf numFmtId="0" fontId="7" fillId="17" borderId="13" xfId="4" applyFont="1" applyFill="1" applyBorder="1"/>
    <xf numFmtId="164" fontId="0" fillId="4" borderId="31" xfId="6" applyNumberFormat="1" applyFont="1" applyFill="1"/>
    <xf numFmtId="164" fontId="0" fillId="10" borderId="12" xfId="6" applyNumberFormat="1" applyFont="1" applyFill="1" applyBorder="1"/>
    <xf numFmtId="0" fontId="2" fillId="15" borderId="27" xfId="4" applyFont="1" applyFill="1" applyBorder="1"/>
    <xf numFmtId="0" fontId="9" fillId="0" borderId="31" xfId="4" applyFont="1" applyAlignment="1">
      <alignment vertical="center"/>
    </xf>
    <xf numFmtId="0" fontId="7" fillId="0" borderId="14" xfId="4" applyFont="1" applyBorder="1"/>
    <xf numFmtId="0" fontId="8" fillId="4" borderId="16" xfId="4" applyFont="1" applyFill="1" applyBorder="1"/>
    <xf numFmtId="10" fontId="8" fillId="4" borderId="15" xfId="4" applyNumberFormat="1" applyFont="1" applyFill="1" applyBorder="1"/>
    <xf numFmtId="0" fontId="1" fillId="4" borderId="15" xfId="4" applyFill="1" applyBorder="1"/>
    <xf numFmtId="164" fontId="0" fillId="11" borderId="22" xfId="6" applyNumberFormat="1" applyFont="1" applyFill="1" applyBorder="1"/>
    <xf numFmtId="164" fontId="0" fillId="11" borderId="9" xfId="6" applyNumberFormat="1" applyFont="1" applyFill="1" applyBorder="1"/>
    <xf numFmtId="0" fontId="1" fillId="11" borderId="13" xfId="4" applyFill="1" applyBorder="1" applyAlignment="1">
      <alignment horizontal="right"/>
    </xf>
    <xf numFmtId="0" fontId="8" fillId="10" borderId="12" xfId="4" applyFont="1" applyFill="1" applyBorder="1"/>
    <xf numFmtId="0" fontId="8" fillId="10" borderId="13" xfId="4" applyFont="1" applyFill="1" applyBorder="1"/>
    <xf numFmtId="0" fontId="3" fillId="11" borderId="13" xfId="4" applyFont="1" applyFill="1" applyBorder="1" applyAlignment="1">
      <alignment horizontal="right"/>
    </xf>
    <xf numFmtId="0" fontId="8" fillId="4" borderId="13" xfId="4" applyFont="1" applyFill="1" applyBorder="1"/>
    <xf numFmtId="164" fontId="0" fillId="17" borderId="11" xfId="6" applyNumberFormat="1" applyFont="1" applyFill="1" applyBorder="1"/>
    <xf numFmtId="164" fontId="0" fillId="17" borderId="32" xfId="6" applyNumberFormat="1" applyFont="1" applyFill="1" applyBorder="1"/>
    <xf numFmtId="0" fontId="3" fillId="0" borderId="13" xfId="4" applyFont="1" applyBorder="1" applyAlignment="1">
      <alignment horizontal="left"/>
    </xf>
    <xf numFmtId="10" fontId="8" fillId="11" borderId="12" xfId="4" applyNumberFormat="1" applyFont="1" applyFill="1" applyBorder="1" applyAlignment="1">
      <alignment wrapText="1"/>
    </xf>
    <xf numFmtId="0" fontId="8" fillId="11" borderId="13" xfId="4" applyFont="1" applyFill="1" applyBorder="1" applyAlignment="1">
      <alignment vertical="center"/>
    </xf>
    <xf numFmtId="164" fontId="1" fillId="17" borderId="12" xfId="4" applyNumberFormat="1" applyFill="1" applyBorder="1"/>
    <xf numFmtId="164" fontId="1" fillId="17" borderId="31" xfId="4" applyNumberFormat="1" applyFill="1"/>
    <xf numFmtId="10" fontId="8" fillId="4" borderId="12" xfId="4" applyNumberFormat="1" applyFont="1" applyFill="1" applyBorder="1" applyAlignment="1">
      <alignment wrapText="1"/>
    </xf>
    <xf numFmtId="0" fontId="8" fillId="4" borderId="13" xfId="4" applyFont="1" applyFill="1" applyBorder="1" applyAlignment="1">
      <alignment horizontal="left" vertical="center"/>
    </xf>
    <xf numFmtId="10" fontId="1" fillId="11" borderId="12" xfId="4" applyNumberFormat="1" applyFill="1" applyBorder="1"/>
    <xf numFmtId="0" fontId="8" fillId="11" borderId="13" xfId="4" applyFont="1" applyFill="1" applyBorder="1" applyAlignment="1">
      <alignment horizontal="left" vertical="center"/>
    </xf>
    <xf numFmtId="164" fontId="0" fillId="4" borderId="12" xfId="6" applyNumberFormat="1" applyFont="1" applyFill="1" applyBorder="1"/>
    <xf numFmtId="0" fontId="8" fillId="4" borderId="13" xfId="4" applyFont="1" applyFill="1" applyBorder="1" applyAlignment="1">
      <alignment vertical="center"/>
    </xf>
    <xf numFmtId="0" fontId="1" fillId="12" borderId="23" xfId="4" applyFill="1" applyBorder="1"/>
    <xf numFmtId="0" fontId="1" fillId="12" borderId="34" xfId="4" applyFill="1" applyBorder="1"/>
    <xf numFmtId="0" fontId="7" fillId="13" borderId="34" xfId="4" applyFont="1" applyFill="1" applyBorder="1"/>
    <xf numFmtId="0" fontId="1" fillId="13" borderId="34" xfId="4" applyFill="1" applyBorder="1"/>
    <xf numFmtId="0" fontId="7" fillId="13" borderId="17" xfId="4" applyFont="1" applyFill="1" applyBorder="1"/>
    <xf numFmtId="0" fontId="3" fillId="5" borderId="13" xfId="4" applyFont="1" applyFill="1" applyBorder="1" applyAlignment="1">
      <alignment horizontal="right"/>
    </xf>
    <xf numFmtId="10" fontId="1" fillId="17" borderId="12" xfId="4" applyNumberFormat="1" applyFill="1" applyBorder="1"/>
    <xf numFmtId="0" fontId="8" fillId="17" borderId="13" xfId="4" applyFont="1" applyFill="1" applyBorder="1" applyAlignment="1">
      <alignment vertical="center"/>
    </xf>
    <xf numFmtId="168" fontId="14" fillId="18" borderId="35" xfId="4" applyNumberFormat="1" applyFont="1" applyFill="1" applyBorder="1"/>
    <xf numFmtId="0" fontId="1" fillId="0" borderId="34" xfId="4" applyBorder="1"/>
    <xf numFmtId="0" fontId="15" fillId="0" borderId="34" xfId="4" applyFont="1" applyBorder="1" applyAlignment="1">
      <alignment horizontal="left"/>
    </xf>
    <xf numFmtId="0" fontId="14" fillId="0" borderId="17" xfId="4" applyFont="1" applyBorder="1"/>
    <xf numFmtId="0" fontId="1" fillId="13" borderId="23" xfId="4" applyFill="1" applyBorder="1"/>
    <xf numFmtId="10" fontId="1" fillId="4" borderId="12" xfId="4" applyNumberFormat="1" applyFill="1" applyBorder="1"/>
    <xf numFmtId="0" fontId="7" fillId="15" borderId="20" xfId="4" applyFont="1" applyFill="1" applyBorder="1" applyAlignment="1">
      <alignment horizontal="center" wrapText="1"/>
    </xf>
    <xf numFmtId="0" fontId="7" fillId="15" borderId="19" xfId="4" applyFont="1" applyFill="1" applyBorder="1" applyAlignment="1">
      <alignment horizontal="center" wrapText="1"/>
    </xf>
    <xf numFmtId="0" fontId="7" fillId="15" borderId="19" xfId="4" applyFont="1" applyFill="1" applyBorder="1" applyAlignment="1">
      <alignment horizontal="center"/>
    </xf>
    <xf numFmtId="0" fontId="7" fillId="15" borderId="20" xfId="4" applyFont="1" applyFill="1" applyBorder="1" applyAlignment="1">
      <alignment horizontal="center"/>
    </xf>
    <xf numFmtId="0" fontId="2" fillId="14" borderId="21" xfId="4" applyFont="1" applyFill="1" applyBorder="1" applyAlignment="1">
      <alignment wrapText="1"/>
    </xf>
    <xf numFmtId="0" fontId="15" fillId="0" borderId="41" xfId="4" applyFont="1" applyBorder="1"/>
    <xf numFmtId="0" fontId="15" fillId="0" borderId="39" xfId="4" applyFont="1" applyBorder="1"/>
    <xf numFmtId="0" fontId="14" fillId="32" borderId="40" xfId="4" applyFont="1" applyFill="1" applyBorder="1"/>
    <xf numFmtId="0" fontId="14" fillId="32" borderId="39" xfId="4" applyFont="1" applyFill="1" applyBorder="1"/>
    <xf numFmtId="0" fontId="26" fillId="31" borderId="43" xfId="4" applyFont="1" applyFill="1" applyBorder="1"/>
    <xf numFmtId="1" fontId="14" fillId="33" borderId="45" xfId="4" applyNumberFormat="1" applyFont="1" applyFill="1" applyBorder="1"/>
    <xf numFmtId="10" fontId="1" fillId="0" borderId="40" xfId="4" applyNumberFormat="1" applyBorder="1"/>
    <xf numFmtId="0" fontId="0" fillId="0" borderId="31" xfId="4" applyFont="1"/>
    <xf numFmtId="167" fontId="1" fillId="0" borderId="40" xfId="4" applyNumberFormat="1" applyBorder="1"/>
    <xf numFmtId="0" fontId="32" fillId="25" borderId="38" xfId="4" applyFont="1" applyFill="1" applyBorder="1"/>
    <xf numFmtId="0" fontId="33" fillId="0" borderId="31" xfId="4" applyFont="1" applyAlignment="1">
      <alignment horizontal="right"/>
    </xf>
    <xf numFmtId="167" fontId="16" fillId="27" borderId="46" xfId="4" applyNumberFormat="1" applyFont="1" applyFill="1" applyBorder="1"/>
    <xf numFmtId="3" fontId="1" fillId="0" borderId="40" xfId="4" applyNumberFormat="1" applyBorder="1"/>
    <xf numFmtId="167" fontId="14" fillId="0" borderId="40" xfId="4" applyNumberFormat="1" applyFont="1" applyBorder="1"/>
    <xf numFmtId="167" fontId="16" fillId="27" borderId="40" xfId="4" applyNumberFormat="1" applyFont="1" applyFill="1" applyBorder="1"/>
    <xf numFmtId="0" fontId="14" fillId="0" borderId="41" xfId="4" applyFont="1" applyBorder="1"/>
    <xf numFmtId="0" fontId="14" fillId="0" borderId="39" xfId="4" applyFont="1" applyBorder="1"/>
    <xf numFmtId="1" fontId="14" fillId="32" borderId="40" xfId="4" applyNumberFormat="1" applyFont="1" applyFill="1" applyBorder="1"/>
    <xf numFmtId="10" fontId="20" fillId="35" borderId="46" xfId="4" applyNumberFormat="1" applyFont="1" applyFill="1" applyBorder="1"/>
    <xf numFmtId="10" fontId="20" fillId="12" borderId="42" xfId="4" applyNumberFormat="1" applyFont="1" applyFill="1" applyBorder="1"/>
    <xf numFmtId="10" fontId="20" fillId="34" borderId="42" xfId="4" applyNumberFormat="1" applyFont="1" applyFill="1" applyBorder="1"/>
    <xf numFmtId="10" fontId="20" fillId="35" borderId="40" xfId="4" applyNumberFormat="1" applyFont="1" applyFill="1" applyBorder="1"/>
    <xf numFmtId="10" fontId="20" fillId="12" borderId="30" xfId="4" applyNumberFormat="1" applyFont="1" applyFill="1" applyBorder="1"/>
    <xf numFmtId="10" fontId="20" fillId="34" borderId="30" xfId="4" applyNumberFormat="1" applyFont="1" applyFill="1" applyBorder="1"/>
    <xf numFmtId="167" fontId="20" fillId="35" borderId="40" xfId="4" applyNumberFormat="1" applyFont="1" applyFill="1" applyBorder="1"/>
    <xf numFmtId="167" fontId="20" fillId="12" borderId="30" xfId="4" applyNumberFormat="1" applyFont="1" applyFill="1" applyBorder="1"/>
    <xf numFmtId="167" fontId="20" fillId="34" borderId="30" xfId="4" applyNumberFormat="1" applyFont="1" applyFill="1" applyBorder="1"/>
    <xf numFmtId="0" fontId="26" fillId="37" borderId="45" xfId="4" applyFont="1" applyFill="1" applyBorder="1"/>
    <xf numFmtId="0" fontId="14" fillId="45" borderId="44" xfId="4" applyFont="1" applyFill="1" applyBorder="1"/>
    <xf numFmtId="0" fontId="26" fillId="36" borderId="44" xfId="4" applyFont="1" applyFill="1" applyBorder="1"/>
    <xf numFmtId="10" fontId="20" fillId="12" borderId="46" xfId="4" applyNumberFormat="1" applyFont="1" applyFill="1" applyBorder="1"/>
    <xf numFmtId="10" fontId="20" fillId="35" borderId="42" xfId="4" applyNumberFormat="1" applyFont="1" applyFill="1" applyBorder="1"/>
    <xf numFmtId="10" fontId="20" fillId="12" borderId="40" xfId="4" applyNumberFormat="1" applyFont="1" applyFill="1" applyBorder="1"/>
    <xf numFmtId="10" fontId="20" fillId="35" borderId="30" xfId="4" applyNumberFormat="1" applyFont="1" applyFill="1" applyBorder="1"/>
    <xf numFmtId="0" fontId="14" fillId="45" borderId="40" xfId="4" applyFont="1" applyFill="1" applyBorder="1"/>
    <xf numFmtId="0" fontId="15" fillId="0" borderId="40" xfId="4" applyFont="1" applyBorder="1"/>
    <xf numFmtId="10" fontId="20" fillId="6" borderId="30" xfId="4" applyNumberFormat="1" applyFont="1" applyFill="1" applyBorder="1"/>
    <xf numFmtId="10" fontId="14" fillId="4" borderId="16" xfId="4" applyNumberFormat="1" applyFont="1" applyFill="1" applyBorder="1"/>
    <xf numFmtId="0" fontId="14" fillId="4" borderId="14" xfId="4" applyFont="1" applyFill="1" applyBorder="1"/>
    <xf numFmtId="10" fontId="14" fillId="4" borderId="12" xfId="4" applyNumberFormat="1" applyFont="1" applyFill="1" applyBorder="1"/>
    <xf numFmtId="10" fontId="2" fillId="4" borderId="15" xfId="4" applyNumberFormat="1" applyFont="1" applyFill="1" applyBorder="1" applyAlignment="1">
      <alignment horizontal="left"/>
    </xf>
    <xf numFmtId="9" fontId="2" fillId="17" borderId="12" xfId="5" applyFont="1" applyFill="1" applyBorder="1"/>
    <xf numFmtId="44" fontId="2" fillId="17" borderId="12" xfId="4" applyNumberFormat="1" applyFont="1" applyFill="1" applyBorder="1"/>
    <xf numFmtId="0" fontId="35" fillId="45" borderId="20" xfId="4" applyFont="1" applyFill="1" applyBorder="1" applyAlignment="1">
      <alignment horizontal="center"/>
    </xf>
    <xf numFmtId="0" fontId="35" fillId="45" borderId="18" xfId="4" applyFont="1" applyFill="1" applyBorder="1"/>
    <xf numFmtId="10" fontId="1" fillId="0" borderId="31" xfId="5" applyNumberFormat="1"/>
    <xf numFmtId="10" fontId="8" fillId="6" borderId="15" xfId="4" applyNumberFormat="1" applyFont="1" applyFill="1" applyBorder="1" applyAlignment="1">
      <alignment horizontal="center" vertical="center"/>
    </xf>
    <xf numFmtId="10" fontId="7" fillId="4" borderId="15" xfId="4" applyNumberFormat="1" applyFont="1" applyFill="1" applyBorder="1" applyAlignment="1">
      <alignment horizontal="center" vertical="center"/>
    </xf>
    <xf numFmtId="10" fontId="2" fillId="0" borderId="15" xfId="5" applyNumberFormat="1" applyFont="1" applyBorder="1"/>
    <xf numFmtId="0" fontId="7" fillId="6" borderId="19" xfId="4" applyFont="1" applyFill="1" applyBorder="1" applyAlignment="1">
      <alignment horizontal="center" wrapText="1"/>
    </xf>
    <xf numFmtId="0" fontId="2" fillId="47" borderId="19" xfId="4" applyFont="1" applyFill="1" applyBorder="1" applyAlignment="1">
      <alignment horizontal="center"/>
    </xf>
    <xf numFmtId="0" fontId="8" fillId="4" borderId="12" xfId="4" applyFont="1" applyFill="1" applyBorder="1" applyAlignment="1">
      <alignment horizontal="center"/>
    </xf>
    <xf numFmtId="164" fontId="1" fillId="0" borderId="12" xfId="1" applyNumberFormat="1" applyBorder="1"/>
    <xf numFmtId="0" fontId="36" fillId="6" borderId="30" xfId="4" applyFont="1" applyFill="1" applyBorder="1" applyAlignment="1">
      <alignment horizontal="center"/>
    </xf>
    <xf numFmtId="10" fontId="15" fillId="53" borderId="40" xfId="4" applyNumberFormat="1" applyFont="1" applyFill="1" applyBorder="1"/>
    <xf numFmtId="10" fontId="15" fillId="53" borderId="46" xfId="4" applyNumberFormat="1" applyFont="1" applyFill="1" applyBorder="1"/>
    <xf numFmtId="10" fontId="15" fillId="4" borderId="42" xfId="4" applyNumberFormat="1" applyFont="1" applyFill="1" applyBorder="1"/>
    <xf numFmtId="167" fontId="38" fillId="0" borderId="30" xfId="4" applyNumberFormat="1" applyFont="1" applyBorder="1" applyAlignment="1">
      <alignment horizontal="center"/>
    </xf>
    <xf numFmtId="10" fontId="2" fillId="0" borderId="31" xfId="5" applyNumberFormat="1" applyFont="1"/>
    <xf numFmtId="0" fontId="14" fillId="23" borderId="39" xfId="4" applyFont="1" applyFill="1" applyBorder="1" applyAlignment="1">
      <alignment horizontal="left"/>
    </xf>
    <xf numFmtId="0" fontId="36" fillId="50" borderId="39" xfId="4" applyFont="1" applyFill="1" applyBorder="1" applyAlignment="1">
      <alignment horizontal="left"/>
    </xf>
    <xf numFmtId="0" fontId="37" fillId="0" borderId="31" xfId="4" applyFont="1"/>
    <xf numFmtId="167" fontId="36" fillId="0" borderId="31" xfId="4" applyNumberFormat="1" applyFont="1"/>
    <xf numFmtId="0" fontId="38" fillId="0" borderId="30" xfId="4" applyFont="1" applyBorder="1"/>
    <xf numFmtId="0" fontId="38" fillId="0" borderId="39" xfId="4" applyFont="1" applyBorder="1"/>
    <xf numFmtId="44" fontId="1" fillId="0" borderId="40" xfId="1" applyBorder="1"/>
    <xf numFmtId="44" fontId="0" fillId="0" borderId="31" xfId="4" applyNumberFormat="1" applyFont="1"/>
    <xf numFmtId="10" fontId="1" fillId="0" borderId="31" xfId="4" applyNumberFormat="1"/>
    <xf numFmtId="0" fontId="14" fillId="32" borderId="18" xfId="4" applyFont="1" applyFill="1" applyBorder="1"/>
    <xf numFmtId="0" fontId="14" fillId="32" borderId="19" xfId="4" applyFont="1" applyFill="1" applyBorder="1"/>
    <xf numFmtId="0" fontId="14" fillId="52" borderId="19" xfId="4" applyFont="1" applyFill="1" applyBorder="1"/>
    <xf numFmtId="0" fontId="2" fillId="14" borderId="19" xfId="4" applyFont="1" applyFill="1" applyBorder="1"/>
    <xf numFmtId="10" fontId="2" fillId="0" borderId="13" xfId="5" applyNumberFormat="1" applyFont="1" applyBorder="1"/>
    <xf numFmtId="10" fontId="2" fillId="0" borderId="14" xfId="5" applyNumberFormat="1" applyFont="1" applyBorder="1"/>
    <xf numFmtId="0" fontId="36" fillId="6" borderId="42" xfId="4" applyFont="1" applyFill="1" applyBorder="1" applyAlignment="1">
      <alignment horizontal="center"/>
    </xf>
    <xf numFmtId="10" fontId="1" fillId="0" borderId="15" xfId="2" applyNumberFormat="1" applyBorder="1"/>
    <xf numFmtId="0" fontId="14" fillId="32" borderId="29" xfId="4" applyFont="1" applyFill="1" applyBorder="1"/>
    <xf numFmtId="1" fontId="14" fillId="32" borderId="6" xfId="4" applyNumberFormat="1" applyFont="1" applyFill="1" applyBorder="1"/>
    <xf numFmtId="1" fontId="14" fillId="32" borderId="47" xfId="4" applyNumberFormat="1" applyFont="1" applyFill="1" applyBorder="1"/>
    <xf numFmtId="164" fontId="2" fillId="12" borderId="31" xfId="4" applyNumberFormat="1" applyFont="1" applyFill="1"/>
    <xf numFmtId="164" fontId="2" fillId="12" borderId="12" xfId="4" applyNumberFormat="1" applyFont="1" applyFill="1" applyBorder="1"/>
    <xf numFmtId="8" fontId="2" fillId="12" borderId="12" xfId="4" applyNumberFormat="1" applyFont="1" applyFill="1" applyBorder="1"/>
    <xf numFmtId="0" fontId="2" fillId="17" borderId="10" xfId="4" applyFont="1" applyFill="1" applyBorder="1" applyAlignment="1">
      <alignment horizontal="left" vertical="center" wrapText="1"/>
    </xf>
    <xf numFmtId="164" fontId="2" fillId="17" borderId="32" xfId="6" applyNumberFormat="1" applyFont="1" applyFill="1" applyBorder="1"/>
    <xf numFmtId="164" fontId="2" fillId="17" borderId="11" xfId="6" applyNumberFormat="1" applyFont="1" applyFill="1" applyBorder="1"/>
    <xf numFmtId="0" fontId="2" fillId="17" borderId="13" xfId="4" applyFont="1" applyFill="1" applyBorder="1"/>
    <xf numFmtId="164" fontId="2" fillId="17" borderId="31" xfId="6" applyNumberFormat="1" applyFont="1" applyFill="1"/>
    <xf numFmtId="164" fontId="2" fillId="17" borderId="12" xfId="6" applyNumberFormat="1" applyFont="1" applyFill="1" applyBorder="1"/>
    <xf numFmtId="0" fontId="2" fillId="4" borderId="13" xfId="4" applyFont="1" applyFill="1" applyBorder="1"/>
    <xf numFmtId="164" fontId="2" fillId="17" borderId="9" xfId="6" applyNumberFormat="1" applyFont="1" applyFill="1" applyBorder="1"/>
    <xf numFmtId="164" fontId="2" fillId="17" borderId="22" xfId="6" applyNumberFormat="1" applyFont="1" applyFill="1" applyBorder="1"/>
    <xf numFmtId="0" fontId="2" fillId="12" borderId="13" xfId="4" applyFont="1" applyFill="1" applyBorder="1"/>
    <xf numFmtId="6" fontId="7" fillId="17" borderId="15" xfId="4" applyNumberFormat="1" applyFont="1" applyFill="1" applyBorder="1"/>
    <xf numFmtId="6" fontId="7" fillId="17" borderId="16" xfId="4" applyNumberFormat="1" applyFont="1" applyFill="1" applyBorder="1"/>
    <xf numFmtId="0" fontId="34" fillId="36" borderId="43" xfId="4" applyFont="1" applyFill="1" applyBorder="1" applyAlignment="1">
      <alignment horizontal="center"/>
    </xf>
    <xf numFmtId="0" fontId="34" fillId="36" borderId="45" xfId="4" applyFont="1" applyFill="1" applyBorder="1" applyAlignment="1">
      <alignment horizontal="center"/>
    </xf>
    <xf numFmtId="0" fontId="34" fillId="37" borderId="43" xfId="4" applyFont="1" applyFill="1" applyBorder="1" applyAlignment="1">
      <alignment horizontal="center"/>
    </xf>
    <xf numFmtId="0" fontId="34" fillId="37" borderId="45" xfId="4" applyFont="1" applyFill="1" applyBorder="1" applyAlignment="1">
      <alignment horizontal="center"/>
    </xf>
    <xf numFmtId="0" fontId="20" fillId="26" borderId="30" xfId="4" applyFont="1" applyFill="1" applyBorder="1"/>
    <xf numFmtId="0" fontId="14" fillId="26" borderId="39" xfId="4" applyFont="1" applyFill="1" applyBorder="1"/>
    <xf numFmtId="0" fontId="14" fillId="26" borderId="40" xfId="4" applyFont="1" applyFill="1" applyBorder="1"/>
    <xf numFmtId="0" fontId="46" fillId="15" borderId="18" xfId="4" applyFont="1" applyFill="1" applyBorder="1"/>
    <xf numFmtId="10" fontId="7" fillId="4" borderId="31" xfId="4" applyNumberFormat="1" applyFont="1" applyFill="1" applyAlignment="1">
      <alignment horizontal="center" vertical="center"/>
    </xf>
    <xf numFmtId="10" fontId="8" fillId="6" borderId="31" xfId="4" applyNumberFormat="1" applyFont="1" applyFill="1" applyAlignment="1">
      <alignment horizontal="center" vertical="center"/>
    </xf>
    <xf numFmtId="10" fontId="8" fillId="4" borderId="31" xfId="4" applyNumberFormat="1" applyFont="1" applyFill="1" applyAlignment="1">
      <alignment wrapText="1"/>
    </xf>
    <xf numFmtId="10" fontId="1" fillId="4" borderId="31" xfId="4" applyNumberFormat="1" applyFill="1"/>
    <xf numFmtId="10" fontId="2" fillId="10" borderId="31" xfId="5" applyNumberFormat="1" applyFont="1" applyFill="1"/>
    <xf numFmtId="10" fontId="7" fillId="11" borderId="31" xfId="4" applyNumberFormat="1" applyFont="1" applyFill="1" applyAlignment="1">
      <alignment horizontal="center" vertical="center"/>
    </xf>
    <xf numFmtId="10" fontId="8" fillId="11" borderId="31" xfId="4" applyNumberFormat="1" applyFont="1" applyFill="1" applyAlignment="1">
      <alignment wrapText="1"/>
    </xf>
    <xf numFmtId="10" fontId="2" fillId="17" borderId="31" xfId="5" applyNumberFormat="1" applyFont="1" applyFill="1"/>
    <xf numFmtId="10" fontId="7" fillId="17" borderId="31" xfId="4" applyNumberFormat="1" applyFont="1" applyFill="1" applyAlignment="1">
      <alignment horizontal="center" vertical="center"/>
    </xf>
    <xf numFmtId="10" fontId="0" fillId="6" borderId="31" xfId="5" applyNumberFormat="1" applyFont="1" applyFill="1" applyAlignment="1">
      <alignment horizontal="center"/>
    </xf>
    <xf numFmtId="10" fontId="1" fillId="17" borderId="31" xfId="4" applyNumberFormat="1" applyFill="1"/>
    <xf numFmtId="166" fontId="2" fillId="0" borderId="31" xfId="5" applyNumberFormat="1" applyFont="1"/>
    <xf numFmtId="164" fontId="0" fillId="6" borderId="31" xfId="6" applyNumberFormat="1" applyFont="1" applyFill="1" applyAlignment="1">
      <alignment horizontal="center"/>
    </xf>
    <xf numFmtId="10" fontId="7" fillId="10" borderId="31" xfId="4" applyNumberFormat="1" applyFont="1" applyFill="1" applyAlignment="1">
      <alignment horizontal="center" vertical="center"/>
    </xf>
    <xf numFmtId="10" fontId="1" fillId="11" borderId="31" xfId="4" applyNumberFormat="1" applyFill="1"/>
    <xf numFmtId="10" fontId="2" fillId="11" borderId="31" xfId="5" applyNumberFormat="1" applyFont="1" applyFill="1"/>
    <xf numFmtId="0" fontId="8" fillId="10" borderId="31" xfId="4" applyFont="1" applyFill="1"/>
    <xf numFmtId="0" fontId="1" fillId="10" borderId="31" xfId="4" applyFill="1"/>
    <xf numFmtId="10" fontId="8" fillId="10" borderId="31" xfId="4" applyNumberFormat="1" applyFont="1" applyFill="1"/>
    <xf numFmtId="0" fontId="8" fillId="11" borderId="14" xfId="4" applyFont="1" applyFill="1" applyBorder="1" applyAlignment="1">
      <alignment vertical="center"/>
    </xf>
    <xf numFmtId="10" fontId="2" fillId="11" borderId="15" xfId="5" applyNumberFormat="1" applyFont="1" applyFill="1" applyBorder="1"/>
    <xf numFmtId="10" fontId="7" fillId="11" borderId="15" xfId="4" applyNumberFormat="1" applyFont="1" applyFill="1" applyBorder="1" applyAlignment="1">
      <alignment horizontal="center" vertical="center"/>
    </xf>
    <xf numFmtId="10" fontId="8" fillId="11" borderId="15" xfId="4" applyNumberFormat="1" applyFont="1" applyFill="1" applyBorder="1" applyAlignment="1">
      <alignment wrapText="1"/>
    </xf>
    <xf numFmtId="10" fontId="8" fillId="11" borderId="16" xfId="4" applyNumberFormat="1" applyFont="1" applyFill="1" applyBorder="1" applyAlignment="1">
      <alignment wrapText="1"/>
    </xf>
    <xf numFmtId="0" fontId="44" fillId="15" borderId="26" xfId="4" applyFont="1" applyFill="1" applyBorder="1"/>
    <xf numFmtId="0" fontId="11" fillId="6" borderId="0" xfId="0" applyFont="1" applyFill="1"/>
    <xf numFmtId="0" fontId="0" fillId="6" borderId="0" xfId="0" applyFill="1" applyAlignment="1">
      <alignment horizontal="right"/>
    </xf>
    <xf numFmtId="0" fontId="47" fillId="0" borderId="31" xfId="4" applyFont="1"/>
    <xf numFmtId="10" fontId="47" fillId="0" borderId="31" xfId="5" applyNumberFormat="1" applyFont="1"/>
    <xf numFmtId="164" fontId="2" fillId="54" borderId="31" xfId="6" applyNumberFormat="1" applyFont="1" applyFill="1"/>
    <xf numFmtId="10" fontId="2" fillId="54" borderId="31" xfId="5" applyNumberFormat="1" applyFont="1" applyFill="1"/>
    <xf numFmtId="44" fontId="35" fillId="54" borderId="15" xfId="6" applyFont="1" applyFill="1" applyBorder="1"/>
    <xf numFmtId="164" fontId="0" fillId="12" borderId="31" xfId="6" applyNumberFormat="1" applyFont="1" applyFill="1"/>
    <xf numFmtId="10" fontId="1" fillId="12" borderId="31" xfId="5" applyNumberFormat="1" applyFill="1"/>
    <xf numFmtId="164" fontId="1" fillId="12" borderId="31" xfId="6" applyNumberFormat="1" applyFill="1"/>
    <xf numFmtId="164" fontId="1" fillId="12" borderId="15" xfId="6" applyNumberFormat="1" applyFill="1" applyBorder="1"/>
    <xf numFmtId="0" fontId="16" fillId="27" borderId="58" xfId="4" applyFont="1" applyFill="1" applyBorder="1"/>
    <xf numFmtId="0" fontId="38" fillId="27" borderId="59" xfId="4" applyFont="1" applyFill="1" applyBorder="1"/>
    <xf numFmtId="0" fontId="1" fillId="27" borderId="59" xfId="4" applyFill="1" applyBorder="1"/>
    <xf numFmtId="167" fontId="16" fillId="27" borderId="60" xfId="4" applyNumberFormat="1" applyFont="1" applyFill="1" applyBorder="1"/>
    <xf numFmtId="0" fontId="35" fillId="6" borderId="0" xfId="0" applyFont="1" applyFill="1"/>
    <xf numFmtId="0" fontId="38" fillId="0" borderId="30" xfId="0" applyFont="1" applyBorder="1"/>
    <xf numFmtId="0" fontId="38" fillId="0" borderId="42" xfId="0" applyFont="1" applyBorder="1"/>
    <xf numFmtId="0" fontId="14" fillId="9" borderId="39" xfId="4" applyFont="1" applyFill="1" applyBorder="1"/>
    <xf numFmtId="167" fontId="14" fillId="4" borderId="30" xfId="4" applyNumberFormat="1" applyFont="1" applyFill="1" applyBorder="1" applyAlignment="1">
      <alignment horizontal="center"/>
    </xf>
    <xf numFmtId="10" fontId="14" fillId="4" borderId="30" xfId="4" applyNumberFormat="1" applyFont="1" applyFill="1" applyBorder="1" applyAlignment="1">
      <alignment horizontal="center"/>
    </xf>
    <xf numFmtId="0" fontId="14" fillId="4" borderId="39" xfId="4" applyFont="1" applyFill="1" applyBorder="1" applyAlignment="1">
      <alignment horizontal="left"/>
    </xf>
    <xf numFmtId="1" fontId="14" fillId="4" borderId="30" xfId="4" applyNumberFormat="1" applyFont="1" applyFill="1" applyBorder="1" applyAlignment="1">
      <alignment horizontal="center"/>
    </xf>
    <xf numFmtId="0" fontId="50" fillId="38" borderId="36" xfId="0" applyFont="1" applyFill="1" applyBorder="1" applyAlignment="1">
      <alignment horizontal="center" vertical="center"/>
    </xf>
    <xf numFmtId="172" fontId="57" fillId="42" borderId="37" xfId="0" applyNumberFormat="1" applyFont="1" applyFill="1" applyBorder="1" applyAlignment="1">
      <alignment horizontal="center" vertical="center"/>
    </xf>
    <xf numFmtId="172" fontId="58" fillId="42" borderId="37" xfId="0" applyNumberFormat="1" applyFont="1" applyFill="1" applyBorder="1" applyAlignment="1">
      <alignment horizontal="center" vertical="center"/>
    </xf>
    <xf numFmtId="10" fontId="60" fillId="41" borderId="37" xfId="0" applyNumberFormat="1" applyFont="1" applyFill="1" applyBorder="1" applyAlignment="1">
      <alignment horizontal="center" vertical="center"/>
    </xf>
    <xf numFmtId="10" fontId="60" fillId="42" borderId="37" xfId="0" applyNumberFormat="1" applyFont="1" applyFill="1" applyBorder="1" applyAlignment="1">
      <alignment horizontal="center" vertical="center"/>
    </xf>
    <xf numFmtId="10" fontId="73" fillId="42" borderId="37" xfId="0" applyNumberFormat="1" applyFont="1" applyFill="1" applyBorder="1" applyAlignment="1">
      <alignment horizontal="center" vertical="center"/>
    </xf>
    <xf numFmtId="10" fontId="73" fillId="41" borderId="37" xfId="0" applyNumberFormat="1" applyFont="1" applyFill="1" applyBorder="1" applyAlignment="1">
      <alignment horizontal="center" vertical="center"/>
    </xf>
    <xf numFmtId="0" fontId="72" fillId="40" borderId="65" xfId="0" applyFont="1" applyFill="1" applyBorder="1" applyAlignment="1">
      <alignment vertical="center"/>
    </xf>
    <xf numFmtId="0" fontId="72" fillId="38" borderId="36" xfId="0" applyFont="1" applyFill="1" applyBorder="1" applyAlignment="1">
      <alignment horizontal="center" vertical="center"/>
    </xf>
    <xf numFmtId="4" fontId="65" fillId="42" borderId="37" xfId="0" applyNumberFormat="1" applyFont="1" applyFill="1" applyBorder="1" applyAlignment="1">
      <alignment horizontal="center" vertical="center"/>
    </xf>
    <xf numFmtId="2" fontId="65" fillId="42" borderId="37" xfId="0" applyNumberFormat="1" applyFont="1" applyFill="1" applyBorder="1" applyAlignment="1">
      <alignment horizontal="center" vertical="center"/>
    </xf>
    <xf numFmtId="10" fontId="65" fillId="42" borderId="37" xfId="0" applyNumberFormat="1" applyFont="1" applyFill="1" applyBorder="1" applyAlignment="1">
      <alignment horizontal="center" vertical="center"/>
    </xf>
    <xf numFmtId="170" fontId="65" fillId="41" borderId="37" xfId="0" applyNumberFormat="1" applyFont="1" applyFill="1" applyBorder="1" applyAlignment="1">
      <alignment horizontal="center" vertical="center"/>
    </xf>
    <xf numFmtId="170" fontId="65" fillId="42" borderId="37" xfId="0" applyNumberFormat="1" applyFont="1" applyFill="1" applyBorder="1" applyAlignment="1">
      <alignment horizontal="center" vertical="center"/>
    </xf>
    <xf numFmtId="0" fontId="56" fillId="41" borderId="37" xfId="0" applyFont="1" applyFill="1" applyBorder="1" applyAlignment="1">
      <alignment horizontal="left" vertical="center"/>
    </xf>
    <xf numFmtId="172" fontId="75" fillId="41" borderId="37" xfId="0" applyNumberFormat="1" applyFont="1" applyFill="1" applyBorder="1" applyAlignment="1">
      <alignment horizontal="center" vertical="center"/>
    </xf>
    <xf numFmtId="171" fontId="75" fillId="41" borderId="37" xfId="0" applyNumberFormat="1" applyFont="1" applyFill="1" applyBorder="1" applyAlignment="1">
      <alignment horizontal="center" vertical="center"/>
    </xf>
    <xf numFmtId="0" fontId="57" fillId="42" borderId="37" xfId="0" applyFont="1" applyFill="1" applyBorder="1" applyAlignment="1">
      <alignment vertical="center"/>
    </xf>
    <xf numFmtId="171" fontId="70" fillId="42" borderId="37" xfId="0" applyNumberFormat="1" applyFont="1" applyFill="1" applyBorder="1" applyAlignment="1">
      <alignment horizontal="center" vertical="center"/>
    </xf>
    <xf numFmtId="0" fontId="76" fillId="41" borderId="37" xfId="0" applyFont="1" applyFill="1" applyBorder="1" applyAlignment="1">
      <alignment vertical="center"/>
    </xf>
    <xf numFmtId="172" fontId="76" fillId="41" borderId="37" xfId="0" applyNumberFormat="1" applyFont="1" applyFill="1" applyBorder="1" applyAlignment="1">
      <alignment horizontal="center" vertical="center"/>
    </xf>
    <xf numFmtId="171" fontId="76" fillId="41" borderId="37" xfId="0" applyNumberFormat="1" applyFont="1" applyFill="1" applyBorder="1" applyAlignment="1">
      <alignment horizontal="center" vertical="center"/>
    </xf>
    <xf numFmtId="0" fontId="55" fillId="42" borderId="37" xfId="0" applyFont="1" applyFill="1" applyBorder="1" applyAlignment="1">
      <alignment vertical="center"/>
    </xf>
    <xf numFmtId="0" fontId="72" fillId="40" borderId="64" xfId="0" applyFont="1" applyFill="1" applyBorder="1" applyAlignment="1">
      <alignment horizontal="left" vertical="center"/>
    </xf>
    <xf numFmtId="0" fontId="77" fillId="41" borderId="0" xfId="0" applyFont="1" applyFill="1"/>
    <xf numFmtId="1" fontId="78" fillId="41" borderId="0" xfId="0" applyNumberFormat="1" applyFont="1" applyFill="1"/>
    <xf numFmtId="0" fontId="78" fillId="41" borderId="0" xfId="0" applyFont="1" applyFill="1"/>
    <xf numFmtId="3" fontId="78" fillId="0" borderId="0" xfId="0" applyNumberFormat="1" applyFont="1"/>
    <xf numFmtId="171" fontId="78" fillId="0" borderId="0" xfId="0" applyNumberFormat="1" applyFont="1"/>
    <xf numFmtId="176" fontId="64" fillId="55" borderId="37" xfId="0" applyNumberFormat="1" applyFont="1" applyFill="1" applyBorder="1" applyAlignment="1">
      <alignment vertical="center"/>
    </xf>
    <xf numFmtId="172" fontId="64" fillId="56" borderId="62" xfId="0" applyNumberFormat="1" applyFont="1" applyFill="1" applyBorder="1" applyAlignment="1">
      <alignment horizontal="left" vertical="center"/>
    </xf>
    <xf numFmtId="0" fontId="51" fillId="41" borderId="66" xfId="0" applyFont="1" applyFill="1" applyBorder="1" applyAlignment="1">
      <alignment vertical="center"/>
    </xf>
    <xf numFmtId="174" fontId="52" fillId="41" borderId="66" xfId="0" applyNumberFormat="1" applyFont="1" applyFill="1" applyBorder="1" applyAlignment="1">
      <alignment horizontal="left" vertical="center"/>
    </xf>
    <xf numFmtId="0" fontId="51" fillId="41" borderId="62" xfId="0" applyFont="1" applyFill="1" applyBorder="1" applyAlignment="1">
      <alignment vertical="center"/>
    </xf>
    <xf numFmtId="171" fontId="71" fillId="41" borderId="67" xfId="0" applyNumberFormat="1" applyFont="1" applyFill="1" applyBorder="1" applyAlignment="1">
      <alignment horizontal="left" vertical="center"/>
    </xf>
    <xf numFmtId="176" fontId="64" fillId="55" borderId="68" xfId="0" applyNumberFormat="1" applyFont="1" applyFill="1" applyBorder="1" applyAlignment="1">
      <alignment vertical="center"/>
    </xf>
    <xf numFmtId="172" fontId="64" fillId="56" borderId="69" xfId="0" applyNumberFormat="1" applyFont="1" applyFill="1" applyBorder="1" applyAlignment="1">
      <alignment horizontal="left" vertical="center"/>
    </xf>
    <xf numFmtId="0" fontId="51" fillId="41" borderId="70" xfId="0" applyFont="1" applyFill="1" applyBorder="1" applyAlignment="1">
      <alignment vertical="center"/>
    </xf>
    <xf numFmtId="174" fontId="52" fillId="41" borderId="71" xfId="0" applyNumberFormat="1" applyFont="1" applyFill="1" applyBorder="1" applyAlignment="1">
      <alignment horizontal="left" vertical="center"/>
    </xf>
    <xf numFmtId="0" fontId="51" fillId="41" borderId="72" xfId="0" applyFont="1" applyFill="1" applyBorder="1" applyAlignment="1">
      <alignment vertical="center"/>
    </xf>
    <xf numFmtId="171" fontId="71" fillId="41" borderId="73" xfId="0" applyNumberFormat="1" applyFont="1" applyFill="1" applyBorder="1" applyAlignment="1">
      <alignment horizontal="left" vertical="center"/>
    </xf>
    <xf numFmtId="0" fontId="51" fillId="41" borderId="14" xfId="0" applyFont="1" applyFill="1" applyBorder="1" applyAlignment="1">
      <alignment vertical="center"/>
    </xf>
    <xf numFmtId="171" fontId="71" fillId="41" borderId="74" xfId="0" applyNumberFormat="1" applyFont="1" applyFill="1" applyBorder="1" applyAlignment="1">
      <alignment horizontal="left" vertical="center"/>
    </xf>
    <xf numFmtId="0" fontId="51" fillId="41" borderId="74" xfId="0" applyFont="1" applyFill="1" applyBorder="1" applyAlignment="1">
      <alignment vertical="center"/>
    </xf>
    <xf numFmtId="171" fontId="71" fillId="41" borderId="75" xfId="0" applyNumberFormat="1" applyFont="1" applyFill="1" applyBorder="1" applyAlignment="1">
      <alignment horizontal="left" vertical="center"/>
    </xf>
    <xf numFmtId="0" fontId="50" fillId="38" borderId="79" xfId="0" applyFont="1" applyFill="1" applyBorder="1" applyAlignment="1">
      <alignment vertical="center"/>
    </xf>
    <xf numFmtId="0" fontId="50" fillId="38" borderId="80" xfId="0" applyFont="1" applyFill="1" applyBorder="1" applyAlignment="1">
      <alignment horizontal="center" vertical="center"/>
    </xf>
    <xf numFmtId="0" fontId="67" fillId="41" borderId="68" xfId="0" applyFont="1" applyFill="1" applyBorder="1" applyAlignment="1">
      <alignment vertical="center"/>
    </xf>
    <xf numFmtId="10" fontId="60" fillId="41" borderId="81" xfId="0" applyNumberFormat="1" applyFont="1" applyFill="1" applyBorder="1" applyAlignment="1">
      <alignment horizontal="center" vertical="center"/>
    </xf>
    <xf numFmtId="0" fontId="67" fillId="42" borderId="68" xfId="0" applyFont="1" applyFill="1" applyBorder="1" applyAlignment="1">
      <alignment vertical="center"/>
    </xf>
    <xf numFmtId="10" fontId="60" fillId="42" borderId="81" xfId="0" applyNumberFormat="1" applyFont="1" applyFill="1" applyBorder="1" applyAlignment="1">
      <alignment horizontal="center" vertical="center"/>
    </xf>
    <xf numFmtId="0" fontId="64" fillId="43" borderId="82" xfId="0" applyFont="1" applyFill="1" applyBorder="1" applyAlignment="1">
      <alignment vertical="center"/>
    </xf>
    <xf numFmtId="172" fontId="64" fillId="43" borderId="83" xfId="0" applyNumberFormat="1" applyFont="1" applyFill="1" applyBorder="1" applyAlignment="1">
      <alignment horizontal="center" vertical="center"/>
    </xf>
    <xf numFmtId="0" fontId="69" fillId="43" borderId="83" xfId="0" applyFont="1" applyFill="1" applyBorder="1" applyAlignment="1">
      <alignment horizontal="right" vertical="center"/>
    </xf>
    <xf numFmtId="171" fontId="64" fillId="43" borderId="84" xfId="0" applyNumberFormat="1" applyFont="1" applyFill="1" applyBorder="1" applyAlignment="1">
      <alignment horizontal="center" vertical="center"/>
    </xf>
    <xf numFmtId="0" fontId="42" fillId="38" borderId="85" xfId="0" applyFont="1" applyFill="1" applyBorder="1" applyAlignment="1">
      <alignment vertical="center"/>
    </xf>
    <xf numFmtId="170" fontId="42" fillId="38" borderId="85" xfId="0" applyNumberFormat="1" applyFont="1" applyFill="1" applyBorder="1" applyAlignment="1">
      <alignment horizontal="center" vertical="center"/>
    </xf>
    <xf numFmtId="170" fontId="42" fillId="38" borderId="85" xfId="0" applyNumberFormat="1" applyFont="1" applyFill="1" applyBorder="1" applyAlignment="1">
      <alignment horizontal="left" vertical="center"/>
    </xf>
    <xf numFmtId="0" fontId="53" fillId="41" borderId="68" xfId="0" applyFont="1" applyFill="1" applyBorder="1" applyAlignment="1">
      <alignment vertical="center"/>
    </xf>
    <xf numFmtId="0" fontId="68" fillId="39" borderId="81" xfId="0" applyFont="1" applyFill="1" applyBorder="1" applyAlignment="1">
      <alignment vertical="center"/>
    </xf>
    <xf numFmtId="0" fontId="61" fillId="41" borderId="68" xfId="0" applyFont="1" applyFill="1" applyBorder="1" applyAlignment="1">
      <alignment horizontal="left" vertical="center"/>
    </xf>
    <xf numFmtId="0" fontId="61" fillId="42" borderId="68" xfId="0" applyFont="1" applyFill="1" applyBorder="1" applyAlignment="1">
      <alignment horizontal="left" vertical="center"/>
    </xf>
    <xf numFmtId="0" fontId="54" fillId="42" borderId="81" xfId="0" applyFont="1" applyFill="1" applyBorder="1" applyAlignment="1">
      <alignment vertical="center"/>
    </xf>
    <xf numFmtId="0" fontId="54" fillId="41" borderId="81" xfId="0" applyFont="1" applyFill="1" applyBorder="1" applyAlignment="1">
      <alignment vertical="center"/>
    </xf>
    <xf numFmtId="0" fontId="61" fillId="42" borderId="82" xfId="0" applyFont="1" applyFill="1" applyBorder="1" applyAlignment="1">
      <alignment horizontal="left" vertical="center"/>
    </xf>
    <xf numFmtId="170" fontId="65" fillId="42" borderId="83" xfId="0" applyNumberFormat="1" applyFont="1" applyFill="1" applyBorder="1" applyAlignment="1">
      <alignment horizontal="center" vertical="center"/>
    </xf>
    <xf numFmtId="0" fontId="54" fillId="42" borderId="84" xfId="0" applyFont="1" applyFill="1" applyBorder="1" applyAlignment="1">
      <alignment vertical="center"/>
    </xf>
    <xf numFmtId="0" fontId="53" fillId="41" borderId="86" xfId="0" applyFont="1" applyFill="1" applyBorder="1" applyAlignment="1">
      <alignment vertical="center"/>
    </xf>
    <xf numFmtId="10" fontId="65" fillId="42" borderId="87" xfId="0" applyNumberFormat="1" applyFont="1" applyFill="1" applyBorder="1" applyAlignment="1">
      <alignment horizontal="center" vertical="center"/>
    </xf>
    <xf numFmtId="0" fontId="68" fillId="39" borderId="88" xfId="0" applyFont="1" applyFill="1" applyBorder="1" applyAlignment="1">
      <alignment vertical="center"/>
    </xf>
    <xf numFmtId="0" fontId="61" fillId="41" borderId="89" xfId="0" applyFont="1" applyFill="1" applyBorder="1" applyAlignment="1">
      <alignment horizontal="left" vertical="center"/>
    </xf>
    <xf numFmtId="170" fontId="65" fillId="41" borderId="90" xfId="0" applyNumberFormat="1" applyFont="1" applyFill="1" applyBorder="1" applyAlignment="1">
      <alignment horizontal="center" vertical="center"/>
    </xf>
    <xf numFmtId="0" fontId="54" fillId="41" borderId="91" xfId="0" applyFont="1" applyFill="1" applyBorder="1" applyAlignment="1">
      <alignment vertical="center" wrapText="1"/>
    </xf>
    <xf numFmtId="0" fontId="53" fillId="41" borderId="89" xfId="0" applyFont="1" applyFill="1" applyBorder="1" applyAlignment="1">
      <alignment vertical="center"/>
    </xf>
    <xf numFmtId="4" fontId="65" fillId="42" borderId="90" xfId="0" applyNumberFormat="1" applyFont="1" applyFill="1" applyBorder="1" applyAlignment="1">
      <alignment horizontal="center" vertical="center"/>
    </xf>
    <xf numFmtId="0" fontId="68" fillId="39" borderId="91" xfId="0" applyFont="1" applyFill="1" applyBorder="1" applyAlignment="1">
      <alignment vertical="center"/>
    </xf>
    <xf numFmtId="0" fontId="72" fillId="38" borderId="65" xfId="0" applyFont="1" applyFill="1" applyBorder="1" applyAlignment="1">
      <alignment horizontal="center" vertical="center"/>
    </xf>
    <xf numFmtId="176" fontId="48" fillId="55" borderId="96" xfId="0" applyNumberFormat="1" applyFont="1" applyFill="1" applyBorder="1" applyAlignment="1">
      <alignment horizontal="right" vertical="center"/>
    </xf>
    <xf numFmtId="0" fontId="62" fillId="32" borderId="96" xfId="0" applyFont="1" applyFill="1" applyBorder="1" applyAlignment="1">
      <alignment horizontal="right" vertical="center"/>
    </xf>
    <xf numFmtId="0" fontId="66" fillId="41" borderId="68" xfId="0" applyFont="1" applyFill="1" applyBorder="1" applyAlignment="1">
      <alignment horizontal="left" vertical="center"/>
    </xf>
    <xf numFmtId="172" fontId="66" fillId="41" borderId="81" xfId="0" applyNumberFormat="1" applyFont="1" applyFill="1" applyBorder="1" applyAlignment="1">
      <alignment horizontal="center" vertical="center"/>
    </xf>
    <xf numFmtId="0" fontId="59" fillId="42" borderId="68" xfId="0" applyFont="1" applyFill="1" applyBorder="1" applyAlignment="1">
      <alignment horizontal="left" vertical="center"/>
    </xf>
    <xf numFmtId="172" fontId="59" fillId="42" borderId="81" xfId="0" applyNumberFormat="1" applyFont="1" applyFill="1" applyBorder="1" applyAlignment="1">
      <alignment horizontal="center" vertical="center"/>
    </xf>
    <xf numFmtId="0" fontId="59" fillId="41" borderId="68" xfId="0" applyFont="1" applyFill="1" applyBorder="1" applyAlignment="1">
      <alignment horizontal="left" vertical="center"/>
    </xf>
    <xf numFmtId="172" fontId="59" fillId="41" borderId="81" xfId="0" applyNumberFormat="1" applyFont="1" applyFill="1" applyBorder="1" applyAlignment="1">
      <alignment horizontal="center" vertical="center"/>
    </xf>
    <xf numFmtId="10" fontId="2" fillId="0" borderId="12" xfId="2" applyNumberFormat="1" applyFont="1" applyBorder="1" applyAlignment="1">
      <alignment horizontal="center"/>
    </xf>
    <xf numFmtId="0" fontId="59" fillId="42" borderId="82" xfId="0" applyFont="1" applyFill="1" applyBorder="1" applyAlignment="1">
      <alignment horizontal="left" vertical="center"/>
    </xf>
    <xf numFmtId="172" fontId="66" fillId="41" borderId="84" xfId="0" applyNumberFormat="1" applyFont="1" applyFill="1" applyBorder="1" applyAlignment="1">
      <alignment horizontal="center" vertical="center"/>
    </xf>
    <xf numFmtId="0" fontId="25" fillId="23" borderId="18" xfId="0" applyFont="1" applyFill="1" applyBorder="1"/>
    <xf numFmtId="0" fontId="0" fillId="0" borderId="16" xfId="0" applyBorder="1"/>
    <xf numFmtId="0" fontId="26" fillId="28" borderId="18" xfId="0" applyFont="1" applyFill="1" applyBorder="1" applyAlignment="1">
      <alignment horizontal="center" wrapText="1"/>
    </xf>
    <xf numFmtId="0" fontId="26" fillId="28" borderId="19" xfId="0" applyFont="1" applyFill="1" applyBorder="1" applyAlignment="1">
      <alignment horizontal="center" wrapText="1"/>
    </xf>
    <xf numFmtId="0" fontId="26" fillId="28" borderId="20" xfId="0" applyFont="1" applyFill="1" applyBorder="1" applyAlignment="1">
      <alignment horizontal="center" wrapText="1"/>
    </xf>
    <xf numFmtId="170" fontId="0" fillId="0" borderId="31" xfId="0" applyNumberFormat="1" applyBorder="1"/>
    <xf numFmtId="170" fontId="0" fillId="0" borderId="12" xfId="0" applyNumberFormat="1" applyBorder="1"/>
    <xf numFmtId="9" fontId="0" fillId="0" borderId="31" xfId="0" applyNumberFormat="1" applyBorder="1"/>
    <xf numFmtId="2" fontId="0" fillId="0" borderId="12" xfId="0" applyNumberFormat="1" applyBorder="1"/>
    <xf numFmtId="0" fontId="25" fillId="30" borderId="16" xfId="0" applyFont="1" applyFill="1" applyBorder="1" applyAlignment="1">
      <alignment horizontal="center"/>
    </xf>
    <xf numFmtId="2" fontId="29" fillId="30" borderId="28" xfId="0" applyNumberFormat="1" applyFont="1" applyFill="1" applyBorder="1"/>
    <xf numFmtId="0" fontId="42" fillId="38" borderId="26" xfId="0" applyFont="1" applyFill="1" applyBorder="1" applyAlignment="1">
      <alignment horizontal="center" vertical="center"/>
    </xf>
    <xf numFmtId="0" fontId="42" fillId="38" borderId="27" xfId="0" applyFont="1" applyFill="1" applyBorder="1" applyAlignment="1">
      <alignment horizontal="center" vertical="center"/>
    </xf>
    <xf numFmtId="0" fontId="42" fillId="38" borderId="28" xfId="0" applyFont="1" applyFill="1" applyBorder="1" applyAlignment="1">
      <alignment horizontal="center" vertical="center"/>
    </xf>
    <xf numFmtId="172" fontId="48" fillId="56" borderId="95" xfId="0" applyNumberFormat="1" applyFont="1" applyFill="1" applyBorder="1" applyAlignment="1">
      <alignment horizontal="center" vertical="center"/>
    </xf>
    <xf numFmtId="172" fontId="48" fillId="56" borderId="28" xfId="0" applyNumberFormat="1" applyFont="1" applyFill="1" applyBorder="1" applyAlignment="1">
      <alignment horizontal="center" vertical="center"/>
    </xf>
    <xf numFmtId="0" fontId="72" fillId="40" borderId="63" xfId="0" applyFont="1" applyFill="1" applyBorder="1" applyAlignment="1">
      <alignment horizontal="center" vertical="center"/>
    </xf>
    <xf numFmtId="0" fontId="79" fillId="39" borderId="18" xfId="0" applyFont="1" applyFill="1" applyBorder="1" applyAlignment="1">
      <alignment horizontal="center" vertical="center" wrapText="1"/>
    </xf>
    <xf numFmtId="0" fontId="79" fillId="39" borderId="20" xfId="0" applyFont="1" applyFill="1" applyBorder="1" applyAlignment="1">
      <alignment horizontal="center" vertical="center" wrapText="1"/>
    </xf>
    <xf numFmtId="0" fontId="79" fillId="39" borderId="13" xfId="0" applyFont="1" applyFill="1" applyBorder="1" applyAlignment="1">
      <alignment horizontal="center" vertical="center" wrapText="1"/>
    </xf>
    <xf numFmtId="0" fontId="79" fillId="39" borderId="12" xfId="0" applyFont="1" applyFill="1" applyBorder="1" applyAlignment="1">
      <alignment horizontal="center" vertical="center" wrapText="1"/>
    </xf>
    <xf numFmtId="0" fontId="79" fillId="39" borderId="97" xfId="0" applyFont="1" applyFill="1" applyBorder="1" applyAlignment="1">
      <alignment horizontal="center" vertical="center" wrapText="1"/>
    </xf>
    <xf numFmtId="0" fontId="79" fillId="39" borderId="98" xfId="0" applyFont="1" applyFill="1" applyBorder="1" applyAlignment="1">
      <alignment horizontal="center" vertical="center" wrapText="1"/>
    </xf>
    <xf numFmtId="0" fontId="72" fillId="40" borderId="61" xfId="0" applyFont="1" applyFill="1" applyBorder="1" applyAlignment="1">
      <alignment horizontal="center" vertical="center"/>
    </xf>
    <xf numFmtId="0" fontId="72" fillId="40" borderId="31" xfId="0" applyFont="1" applyFill="1" applyBorder="1" applyAlignment="1">
      <alignment horizontal="center" vertical="center"/>
    </xf>
    <xf numFmtId="0" fontId="63" fillId="39" borderId="31" xfId="0" applyFont="1" applyFill="1" applyBorder="1" applyAlignment="1">
      <alignment horizontal="center" vertical="center"/>
    </xf>
    <xf numFmtId="0" fontId="50" fillId="38" borderId="18" xfId="0" applyFont="1" applyFill="1" applyBorder="1" applyAlignment="1">
      <alignment horizontal="center" vertical="center"/>
    </xf>
    <xf numFmtId="0" fontId="50" fillId="38" borderId="19" xfId="0" applyFont="1" applyFill="1" applyBorder="1" applyAlignment="1">
      <alignment horizontal="center" vertical="center"/>
    </xf>
    <xf numFmtId="0" fontId="50" fillId="38" borderId="20" xfId="0" applyFont="1" applyFill="1" applyBorder="1" applyAlignment="1">
      <alignment horizontal="center" vertical="center"/>
    </xf>
    <xf numFmtId="0" fontId="62" fillId="41" borderId="26" xfId="0" applyFont="1" applyFill="1" applyBorder="1" applyAlignment="1">
      <alignment horizontal="center" vertical="center"/>
    </xf>
    <xf numFmtId="0" fontId="62" fillId="41" borderId="92" xfId="0" applyFont="1" applyFill="1" applyBorder="1" applyAlignment="1">
      <alignment horizontal="center" vertical="center"/>
    </xf>
    <xf numFmtId="0" fontId="74" fillId="44" borderId="93" xfId="0" applyFont="1" applyFill="1" applyBorder="1" applyAlignment="1">
      <alignment horizontal="center" vertical="center"/>
    </xf>
    <xf numFmtId="0" fontId="74" fillId="44" borderId="28" xfId="0" applyFont="1" applyFill="1" applyBorder="1" applyAlignment="1">
      <alignment horizontal="center" vertical="center"/>
    </xf>
    <xf numFmtId="0" fontId="72" fillId="40" borderId="26" xfId="0" applyFont="1" applyFill="1" applyBorder="1" applyAlignment="1">
      <alignment horizontal="center" vertical="center"/>
    </xf>
    <xf numFmtId="0" fontId="72" fillId="40" borderId="27" xfId="0" applyFont="1" applyFill="1" applyBorder="1" applyAlignment="1">
      <alignment horizontal="center" vertical="center"/>
    </xf>
    <xf numFmtId="0" fontId="72" fillId="40" borderId="28" xfId="0" applyFont="1" applyFill="1" applyBorder="1" applyAlignment="1">
      <alignment horizontal="center" vertical="center"/>
    </xf>
    <xf numFmtId="0" fontId="50" fillId="40" borderId="76" xfId="0" applyFont="1" applyFill="1" applyBorder="1" applyAlignment="1">
      <alignment horizontal="center" vertical="center"/>
    </xf>
    <xf numFmtId="0" fontId="50" fillId="40" borderId="77" xfId="0" applyFont="1" applyFill="1" applyBorder="1" applyAlignment="1">
      <alignment horizontal="center" vertical="center"/>
    </xf>
    <xf numFmtId="0" fontId="50" fillId="40" borderId="78" xfId="0" applyFont="1" applyFill="1" applyBorder="1" applyAlignment="1">
      <alignment horizontal="center" vertical="center"/>
    </xf>
    <xf numFmtId="173" fontId="48" fillId="32" borderId="95" xfId="0" applyNumberFormat="1" applyFont="1" applyFill="1" applyBorder="1" applyAlignment="1">
      <alignment horizontal="center" vertical="center"/>
    </xf>
    <xf numFmtId="173" fontId="48" fillId="32" borderId="28" xfId="0" applyNumberFormat="1" applyFont="1" applyFill="1" applyBorder="1" applyAlignment="1">
      <alignment horizontal="center" vertical="center"/>
    </xf>
    <xf numFmtId="0" fontId="62" fillId="32" borderId="26" xfId="0" applyFont="1" applyFill="1" applyBorder="1" applyAlignment="1">
      <alignment horizontal="center" vertical="center"/>
    </xf>
    <xf numFmtId="0" fontId="62" fillId="32" borderId="94" xfId="0" applyFont="1" applyFill="1" applyBorder="1" applyAlignment="1">
      <alignment horizontal="center" vertical="center"/>
    </xf>
    <xf numFmtId="0" fontId="41" fillId="38" borderId="26" xfId="0" applyFont="1" applyFill="1" applyBorder="1" applyAlignment="1">
      <alignment horizontal="center" vertical="center"/>
    </xf>
    <xf numFmtId="0" fontId="41" fillId="38" borderId="27" xfId="0" applyFont="1" applyFill="1" applyBorder="1" applyAlignment="1">
      <alignment horizontal="center" vertical="center"/>
    </xf>
    <xf numFmtId="0" fontId="41" fillId="38" borderId="28" xfId="0" applyFont="1" applyFill="1" applyBorder="1" applyAlignment="1">
      <alignment horizontal="center" vertical="center"/>
    </xf>
    <xf numFmtId="176" fontId="48" fillId="32" borderId="95" xfId="0" applyNumberFormat="1" applyFont="1" applyFill="1" applyBorder="1" applyAlignment="1">
      <alignment horizontal="center" vertical="center"/>
    </xf>
    <xf numFmtId="176" fontId="48" fillId="32" borderId="28" xfId="0" applyNumberFormat="1" applyFont="1" applyFill="1" applyBorder="1" applyAlignment="1">
      <alignment horizontal="center" vertical="center"/>
    </xf>
    <xf numFmtId="0" fontId="28" fillId="30" borderId="26" xfId="0" applyFont="1" applyFill="1" applyBorder="1" applyAlignment="1">
      <alignment horizontal="center"/>
    </xf>
    <xf numFmtId="0" fontId="28" fillId="30" borderId="27" xfId="0" applyFont="1" applyFill="1" applyBorder="1" applyAlignment="1">
      <alignment horizontal="center"/>
    </xf>
    <xf numFmtId="0" fontId="28" fillId="30" borderId="14" xfId="0" applyFont="1" applyFill="1" applyBorder="1" applyAlignment="1">
      <alignment horizontal="center"/>
    </xf>
    <xf numFmtId="0" fontId="28" fillId="30" borderId="15" xfId="0" applyFont="1" applyFill="1" applyBorder="1" applyAlignment="1">
      <alignment horizontal="center"/>
    </xf>
    <xf numFmtId="0" fontId="27" fillId="29" borderId="14" xfId="0" applyFont="1" applyFill="1" applyBorder="1" applyAlignment="1">
      <alignment horizontal="center"/>
    </xf>
    <xf numFmtId="0" fontId="27" fillId="29" borderId="15" xfId="0" applyFont="1" applyFill="1" applyBorder="1" applyAlignment="1">
      <alignment horizontal="center"/>
    </xf>
    <xf numFmtId="0" fontId="8" fillId="11" borderId="31" xfId="4" applyFont="1" applyFill="1" applyAlignment="1">
      <alignment horizontal="center"/>
    </xf>
    <xf numFmtId="0" fontId="8" fillId="17" borderId="31" xfId="4" applyFont="1" applyFill="1" applyAlignment="1">
      <alignment horizontal="center"/>
    </xf>
    <xf numFmtId="0" fontId="7" fillId="17" borderId="13" xfId="4" applyFont="1" applyFill="1" applyBorder="1" applyAlignment="1">
      <alignment horizontal="left"/>
    </xf>
    <xf numFmtId="0" fontId="34" fillId="36" borderId="44" xfId="4" applyFont="1" applyFill="1" applyBorder="1" applyAlignment="1">
      <alignment horizontal="center"/>
    </xf>
    <xf numFmtId="0" fontId="31" fillId="0" borderId="49" xfId="4" applyFont="1" applyBorder="1" applyAlignment="1">
      <alignment horizontal="center"/>
    </xf>
    <xf numFmtId="0" fontId="31" fillId="0" borderId="57" xfId="4" applyFont="1" applyBorder="1" applyAlignment="1">
      <alignment horizontal="center"/>
    </xf>
    <xf numFmtId="0" fontId="41" fillId="36" borderId="43" xfId="4" applyFont="1" applyFill="1" applyBorder="1" applyAlignment="1">
      <alignment horizontal="center"/>
    </xf>
    <xf numFmtId="0" fontId="8" fillId="4" borderId="13" xfId="4" applyFont="1" applyFill="1" applyBorder="1" applyAlignment="1">
      <alignment horizontal="left"/>
    </xf>
    <xf numFmtId="0" fontId="14" fillId="0" borderId="18" xfId="4" applyFont="1" applyBorder="1" applyAlignment="1">
      <alignment horizontal="center"/>
    </xf>
    <xf numFmtId="0" fontId="14" fillId="0" borderId="51" xfId="4" applyFont="1" applyBorder="1" applyAlignment="1">
      <alignment horizontal="center"/>
    </xf>
    <xf numFmtId="0" fontId="41" fillId="31" borderId="26" xfId="4" applyFont="1" applyFill="1" applyBorder="1" applyAlignment="1">
      <alignment horizontal="center"/>
    </xf>
    <xf numFmtId="0" fontId="41" fillId="31" borderId="27" xfId="4" applyFont="1" applyFill="1" applyBorder="1" applyAlignment="1">
      <alignment horizontal="center"/>
    </xf>
    <xf numFmtId="0" fontId="41" fillId="31" borderId="28" xfId="4" applyFont="1" applyFill="1" applyBorder="1" applyAlignment="1">
      <alignment horizontal="center"/>
    </xf>
    <xf numFmtId="0" fontId="2" fillId="4" borderId="15" xfId="4" applyFont="1" applyFill="1" applyBorder="1" applyAlignment="1">
      <alignment horizontal="right"/>
    </xf>
    <xf numFmtId="0" fontId="1" fillId="4" borderId="13" xfId="4" applyFill="1" applyBorder="1" applyAlignment="1">
      <alignment horizontal="left"/>
    </xf>
    <xf numFmtId="0" fontId="19" fillId="20" borderId="18" xfId="4" applyFont="1" applyFill="1" applyBorder="1" applyAlignment="1">
      <alignment horizontal="center" vertical="center"/>
    </xf>
    <xf numFmtId="0" fontId="19" fillId="20" borderId="19" xfId="4" applyFont="1" applyFill="1" applyBorder="1" applyAlignment="1">
      <alignment horizontal="center" vertical="center"/>
    </xf>
    <xf numFmtId="0" fontId="19" fillId="20" borderId="20" xfId="4" applyFont="1" applyFill="1" applyBorder="1" applyAlignment="1">
      <alignment horizontal="center" vertical="center"/>
    </xf>
    <xf numFmtId="0" fontId="20" fillId="21" borderId="10" xfId="4" applyFont="1" applyFill="1" applyBorder="1" applyAlignment="1">
      <alignment horizontal="center" vertical="center"/>
    </xf>
    <xf numFmtId="0" fontId="20" fillId="21" borderId="32" xfId="4" applyFont="1" applyFill="1" applyBorder="1" applyAlignment="1">
      <alignment horizontal="center" vertical="center"/>
    </xf>
    <xf numFmtId="0" fontId="20" fillId="21" borderId="11" xfId="4" applyFont="1" applyFill="1" applyBorder="1" applyAlignment="1">
      <alignment horizontal="center" vertical="center"/>
    </xf>
    <xf numFmtId="0" fontId="19" fillId="45" borderId="43" xfId="4" applyFont="1" applyFill="1" applyBorder="1" applyAlignment="1">
      <alignment horizontal="center"/>
    </xf>
    <xf numFmtId="0" fontId="41" fillId="31" borderId="43" xfId="4" applyFont="1" applyFill="1" applyBorder="1" applyAlignment="1">
      <alignment horizontal="center"/>
    </xf>
    <xf numFmtId="0" fontId="7" fillId="15" borderId="26" xfId="4" applyFont="1" applyFill="1" applyBorder="1" applyAlignment="1">
      <alignment horizontal="left"/>
    </xf>
    <xf numFmtId="0" fontId="35" fillId="45" borderId="19" xfId="4" applyFont="1" applyFill="1" applyBorder="1" applyAlignment="1">
      <alignment horizontal="center"/>
    </xf>
    <xf numFmtId="0" fontId="14" fillId="32" borderId="19" xfId="4" applyFont="1" applyFill="1" applyBorder="1" applyAlignment="1">
      <alignment horizontal="center"/>
    </xf>
    <xf numFmtId="0" fontId="14" fillId="32" borderId="20" xfId="4" applyFont="1" applyFill="1" applyBorder="1" applyAlignment="1">
      <alignment horizontal="center"/>
    </xf>
    <xf numFmtId="0" fontId="49" fillId="50" borderId="1" xfId="4" applyFont="1" applyFill="1" applyBorder="1" applyAlignment="1">
      <alignment horizontal="center" wrapText="1"/>
    </xf>
    <xf numFmtId="0" fontId="49" fillId="50" borderId="31" xfId="4" applyFont="1" applyFill="1" applyAlignment="1">
      <alignment horizontal="center" wrapText="1"/>
    </xf>
    <xf numFmtId="0" fontId="49" fillId="50" borderId="12" xfId="4" applyFont="1" applyFill="1" applyBorder="1" applyAlignment="1">
      <alignment horizontal="center" wrapText="1"/>
    </xf>
    <xf numFmtId="0" fontId="49" fillId="50" borderId="55" xfId="4" applyFont="1" applyFill="1" applyBorder="1" applyAlignment="1">
      <alignment horizontal="center" wrapText="1"/>
    </xf>
    <xf numFmtId="0" fontId="49" fillId="50" borderId="15" xfId="4" applyFont="1" applyFill="1" applyBorder="1" applyAlignment="1">
      <alignment horizontal="center" wrapText="1"/>
    </xf>
    <xf numFmtId="0" fontId="49" fillId="50" borderId="16" xfId="4" applyFont="1" applyFill="1" applyBorder="1" applyAlignment="1">
      <alignment horizontal="center" wrapText="1"/>
    </xf>
    <xf numFmtId="0" fontId="30" fillId="49" borderId="5" xfId="4" applyFont="1" applyFill="1" applyBorder="1" applyAlignment="1">
      <alignment horizontal="center" vertical="center"/>
    </xf>
    <xf numFmtId="0" fontId="30" fillId="49" borderId="34" xfId="4" applyFont="1" applyFill="1" applyBorder="1" applyAlignment="1">
      <alignment horizontal="center" vertical="center"/>
    </xf>
    <xf numFmtId="0" fontId="30" fillId="49" borderId="35" xfId="4" applyFont="1" applyFill="1" applyBorder="1" applyAlignment="1">
      <alignment horizontal="center" vertical="center"/>
    </xf>
    <xf numFmtId="0" fontId="30" fillId="49" borderId="17" xfId="4" applyFont="1" applyFill="1" applyBorder="1" applyAlignment="1">
      <alignment horizontal="center" vertical="center"/>
    </xf>
    <xf numFmtId="0" fontId="30" fillId="48" borderId="17" xfId="4" applyFont="1" applyFill="1" applyBorder="1" applyAlignment="1">
      <alignment horizontal="center" vertical="center"/>
    </xf>
    <xf numFmtId="0" fontId="30" fillId="48" borderId="35" xfId="4" applyFont="1" applyFill="1" applyBorder="1" applyAlignment="1">
      <alignment horizontal="center" vertical="center"/>
    </xf>
    <xf numFmtId="0" fontId="40" fillId="27" borderId="26" xfId="4" applyFont="1" applyFill="1" applyBorder="1" applyAlignment="1">
      <alignment horizontal="center" vertical="top" wrapText="1"/>
    </xf>
    <xf numFmtId="0" fontId="40" fillId="27" borderId="27" xfId="4" applyFont="1" applyFill="1" applyBorder="1" applyAlignment="1">
      <alignment horizontal="center" vertical="top" wrapText="1"/>
    </xf>
    <xf numFmtId="0" fontId="40" fillId="27" borderId="28" xfId="4" applyFont="1" applyFill="1" applyBorder="1" applyAlignment="1">
      <alignment horizontal="center" vertical="top" wrapText="1"/>
    </xf>
    <xf numFmtId="0" fontId="42" fillId="48" borderId="18" xfId="4" applyFont="1" applyFill="1" applyBorder="1" applyAlignment="1">
      <alignment horizontal="center" vertical="center"/>
    </xf>
    <xf numFmtId="0" fontId="42" fillId="48" borderId="19" xfId="4" applyFont="1" applyFill="1" applyBorder="1" applyAlignment="1">
      <alignment horizontal="center" vertical="center"/>
    </xf>
    <xf numFmtId="0" fontId="42" fillId="48" borderId="20" xfId="4" applyFont="1" applyFill="1" applyBorder="1" applyAlignment="1">
      <alignment horizontal="center" vertical="center"/>
    </xf>
    <xf numFmtId="0" fontId="44" fillId="2" borderId="18" xfId="4" applyFont="1" applyFill="1" applyBorder="1" applyAlignment="1">
      <alignment horizontal="center"/>
    </xf>
    <xf numFmtId="0" fontId="44" fillId="2" borderId="19" xfId="4" applyFont="1" applyFill="1" applyBorder="1" applyAlignment="1">
      <alignment horizontal="center"/>
    </xf>
    <xf numFmtId="0" fontId="44" fillId="2" borderId="20" xfId="4" applyFont="1" applyFill="1" applyBorder="1" applyAlignment="1">
      <alignment horizontal="center"/>
    </xf>
    <xf numFmtId="0" fontId="38" fillId="0" borderId="5" xfId="4" applyFont="1" applyBorder="1" applyAlignment="1">
      <alignment horizontal="left"/>
    </xf>
    <xf numFmtId="0" fontId="38" fillId="0" borderId="35" xfId="4" applyFont="1" applyBorder="1" applyAlignment="1">
      <alignment horizontal="left"/>
    </xf>
    <xf numFmtId="0" fontId="44" fillId="2" borderId="21" xfId="4" applyFont="1" applyFill="1" applyBorder="1" applyAlignment="1">
      <alignment horizontal="center"/>
    </xf>
    <xf numFmtId="0" fontId="44" fillId="2" borderId="49" xfId="4" applyFont="1" applyFill="1" applyBorder="1" applyAlignment="1">
      <alignment horizontal="center"/>
    </xf>
    <xf numFmtId="0" fontId="44" fillId="2" borderId="50" xfId="4" applyFont="1" applyFill="1" applyBorder="1" applyAlignment="1">
      <alignment horizontal="center"/>
    </xf>
    <xf numFmtId="0" fontId="20" fillId="21" borderId="33" xfId="4" applyFont="1" applyFill="1" applyBorder="1" applyAlignment="1">
      <alignment horizontal="center" vertical="center"/>
    </xf>
    <xf numFmtId="0" fontId="41" fillId="37" borderId="43" xfId="4" applyFont="1" applyFill="1" applyBorder="1" applyAlignment="1">
      <alignment horizontal="center"/>
    </xf>
    <xf numFmtId="0" fontId="7" fillId="4" borderId="13" xfId="4" applyFont="1" applyFill="1" applyBorder="1" applyAlignment="1">
      <alignment horizontal="left"/>
    </xf>
    <xf numFmtId="0" fontId="34" fillId="37" borderId="44" xfId="4" applyFont="1" applyFill="1" applyBorder="1" applyAlignment="1">
      <alignment horizontal="center"/>
    </xf>
    <xf numFmtId="0" fontId="0" fillId="0" borderId="35" xfId="0" applyBorder="1" applyAlignment="1">
      <alignment horizontal="left"/>
    </xf>
    <xf numFmtId="0" fontId="16" fillId="27" borderId="56" xfId="4" applyFont="1" applyFill="1" applyBorder="1" applyAlignment="1">
      <alignment horizontal="center"/>
    </xf>
    <xf numFmtId="0" fontId="16" fillId="27" borderId="53" xfId="4" applyFont="1" applyFill="1" applyBorder="1" applyAlignment="1">
      <alignment horizontal="center"/>
    </xf>
    <xf numFmtId="0" fontId="16" fillId="27" borderId="52" xfId="4" applyFont="1" applyFill="1" applyBorder="1" applyAlignment="1">
      <alignment horizontal="center"/>
    </xf>
    <xf numFmtId="0" fontId="43" fillId="27" borderId="56" xfId="4" applyFont="1" applyFill="1" applyBorder="1" applyAlignment="1">
      <alignment horizontal="center"/>
    </xf>
    <xf numFmtId="0" fontId="2" fillId="3" borderId="26" xfId="0" applyFont="1" applyFill="1" applyBorder="1" applyAlignment="1">
      <alignment horizontal="left"/>
    </xf>
    <xf numFmtId="0" fontId="2" fillId="3" borderId="27" xfId="0" applyFont="1" applyFill="1" applyBorder="1" applyAlignment="1">
      <alignment horizontal="left"/>
    </xf>
    <xf numFmtId="0" fontId="2" fillId="3" borderId="28" xfId="0" applyFont="1" applyFill="1" applyBorder="1" applyAlignment="1">
      <alignment horizontal="left"/>
    </xf>
    <xf numFmtId="0" fontId="0" fillId="9" borderId="48" xfId="0" applyFill="1" applyBorder="1" applyAlignment="1">
      <alignment horizontal="center"/>
    </xf>
    <xf numFmtId="0" fontId="4" fillId="0" borderId="30" xfId="0" quotePrefix="1" applyFont="1" applyBorder="1" applyAlignment="1">
      <alignment horizontal="center" vertical="center"/>
    </xf>
    <xf numFmtId="0" fontId="10" fillId="7" borderId="0" xfId="0" applyFont="1" applyFill="1" applyAlignment="1">
      <alignment horizontal="center" vertical="center"/>
    </xf>
    <xf numFmtId="0" fontId="10" fillId="8" borderId="0" xfId="0" applyFont="1" applyFill="1" applyAlignment="1">
      <alignment horizontal="center" vertical="center"/>
    </xf>
    <xf numFmtId="0" fontId="14" fillId="0" borderId="13" xfId="0" applyFont="1" applyBorder="1"/>
    <xf numFmtId="0" fontId="15" fillId="0" borderId="31" xfId="0" applyFont="1" applyBorder="1"/>
    <xf numFmtId="0" fontId="14" fillId="0" borderId="14" xfId="0" applyFont="1" applyBorder="1"/>
    <xf numFmtId="0" fontId="15" fillId="0" borderId="15" xfId="0" applyFont="1" applyBorder="1"/>
    <xf numFmtId="0" fontId="15" fillId="0" borderId="13" xfId="0" applyFont="1" applyBorder="1"/>
    <xf numFmtId="170" fontId="14" fillId="29" borderId="16" xfId="0" applyNumberFormat="1" applyFont="1" applyFill="1" applyBorder="1"/>
    <xf numFmtId="0" fontId="45" fillId="45" borderId="49" xfId="4" applyFont="1" applyFill="1" applyBorder="1" applyAlignment="1"/>
    <xf numFmtId="0" fontId="45" fillId="45" borderId="50" xfId="4" applyFont="1" applyFill="1" applyBorder="1" applyAlignment="1"/>
    <xf numFmtId="0" fontId="11" fillId="45" borderId="19" xfId="4" applyFont="1" applyFill="1" applyBorder="1" applyAlignment="1"/>
    <xf numFmtId="0" fontId="1" fillId="0" borderId="31" xfId="4" applyAlignment="1"/>
    <xf numFmtId="0" fontId="1" fillId="0" borderId="27" xfId="4" applyBorder="1" applyAlignment="1"/>
    <xf numFmtId="0" fontId="2" fillId="0" borderId="15" xfId="4" applyFont="1" applyBorder="1" applyAlignment="1"/>
    <xf numFmtId="0" fontId="15" fillId="4" borderId="31" xfId="4" applyFont="1" applyFill="1" applyAlignment="1"/>
    <xf numFmtId="0" fontId="1" fillId="4" borderId="31" xfId="4" applyFill="1" applyAlignment="1"/>
    <xf numFmtId="0" fontId="15" fillId="4" borderId="15" xfId="4" applyFont="1" applyFill="1" applyBorder="1" applyAlignment="1"/>
    <xf numFmtId="0" fontId="1" fillId="4" borderId="15" xfId="4" applyFill="1" applyBorder="1" applyAlignment="1"/>
    <xf numFmtId="0" fontId="39" fillId="0" borderId="49" xfId="4" applyFont="1" applyBorder="1" applyAlignment="1"/>
    <xf numFmtId="0" fontId="39" fillId="0" borderId="50" xfId="4" applyFont="1" applyBorder="1" applyAlignment="1"/>
    <xf numFmtId="0" fontId="14" fillId="23" borderId="18" xfId="0" applyFont="1" applyFill="1" applyBorder="1"/>
    <xf numFmtId="0" fontId="15" fillId="0" borderId="39" xfId="0" applyFont="1" applyBorder="1"/>
    <xf numFmtId="2" fontId="14" fillId="0" borderId="40" xfId="0" applyNumberFormat="1" applyFont="1" applyBorder="1"/>
    <xf numFmtId="0" fontId="15" fillId="0" borderId="41" xfId="0" applyFont="1" applyBorder="1"/>
    <xf numFmtId="2" fontId="14" fillId="0" borderId="46" xfId="0" applyNumberFormat="1" applyFont="1" applyBorder="1"/>
    <xf numFmtId="0" fontId="0" fillId="0" borderId="30" xfId="0" applyBorder="1" applyAlignment="1"/>
    <xf numFmtId="0" fontId="0" fillId="0" borderId="42" xfId="0" applyBorder="1" applyAlignment="1"/>
    <xf numFmtId="0" fontId="14" fillId="23" borderId="19" xfId="0" applyFont="1" applyFill="1" applyBorder="1"/>
    <xf numFmtId="0" fontId="14" fillId="23" borderId="20" xfId="0" applyFont="1" applyFill="1" applyBorder="1"/>
    <xf numFmtId="0" fontId="14" fillId="23" borderId="43" xfId="0" applyFont="1" applyFill="1" applyBorder="1" applyAlignment="1">
      <alignment horizontal="center" wrapText="1"/>
    </xf>
    <xf numFmtId="0" fontId="14" fillId="23" borderId="44" xfId="0" applyFont="1" applyFill="1" applyBorder="1" applyAlignment="1">
      <alignment horizontal="center" wrapText="1"/>
    </xf>
    <xf numFmtId="0" fontId="14" fillId="23" borderId="45" xfId="0" applyFont="1" applyFill="1" applyBorder="1" applyAlignment="1">
      <alignment horizontal="center" wrapText="1"/>
    </xf>
    <xf numFmtId="0" fontId="15" fillId="0" borderId="54" xfId="0" applyFont="1" applyBorder="1"/>
    <xf numFmtId="0" fontId="0" fillId="0" borderId="19" xfId="0" applyBorder="1" applyAlignment="1"/>
    <xf numFmtId="0" fontId="0" fillId="0" borderId="20" xfId="0" applyBorder="1" applyAlignment="1"/>
    <xf numFmtId="0" fontId="0" fillId="0" borderId="0" xfId="0" applyAlignment="1"/>
  </cellXfs>
  <cellStyles count="7">
    <cellStyle name="Currency" xfId="1" builtinId="4"/>
    <cellStyle name="Currency 2" xfId="6" xr:uid="{9F50F077-BDCA-4B4A-AD9F-720403654539}"/>
    <cellStyle name="Hyperlink" xfId="3" builtinId="8"/>
    <cellStyle name="Normal" xfId="0" builtinId="0"/>
    <cellStyle name="Normal 2" xfId="4" xr:uid="{5F7C6C27-B8FD-4C32-88DE-4FAB3EA5E88B}"/>
    <cellStyle name="Percent" xfId="2" builtinId="5"/>
    <cellStyle name="Percent 2" xfId="5" xr:uid="{7D8156BC-35F0-4FC0-AE69-DFD4B469A82F}"/>
  </cellStyles>
  <dxfs count="189">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9" tint="-0.24994659260841701"/>
        </patternFill>
      </fill>
    </dxf>
    <dxf>
      <fill>
        <patternFill>
          <bgColor theme="5" tint="0.39994506668294322"/>
        </patternFill>
      </fill>
    </dxf>
    <dxf>
      <fill>
        <patternFill>
          <bgColor rgb="FFFF0000"/>
        </patternFill>
      </fill>
    </dxf>
    <dxf>
      <fill>
        <patternFill>
          <bgColor theme="5"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9" tint="-0.24994659260841701"/>
        </patternFill>
      </fill>
    </dxf>
    <dxf>
      <fill>
        <patternFill>
          <bgColor theme="5" tint="0.39994506668294322"/>
        </patternFill>
      </fill>
    </dxf>
    <dxf>
      <fill>
        <patternFill>
          <bgColor rgb="FFFF0000"/>
        </patternFill>
      </fill>
    </dxf>
    <dxf>
      <fill>
        <patternFill>
          <bgColor theme="5" tint="0.79998168889431442"/>
        </patternFill>
      </fill>
    </dxf>
    <dxf>
      <font>
        <color rgb="FFFF0000"/>
      </font>
      <fill>
        <patternFill>
          <bgColor auto="1"/>
        </patternFill>
      </fill>
    </dxf>
    <dxf>
      <font>
        <color theme="9"/>
      </font>
      <fill>
        <patternFill>
          <bgColor auto="1"/>
        </patternFill>
      </fill>
    </dxf>
    <dxf>
      <font>
        <color rgb="FFFF0000"/>
      </font>
      <fill>
        <patternFill>
          <bgColor auto="1"/>
        </patternFill>
      </fill>
    </dxf>
    <dxf>
      <font>
        <color theme="9"/>
      </font>
      <fill>
        <patternFill>
          <bgColor auto="1"/>
        </patternFill>
      </fill>
    </dxf>
    <dxf>
      <font>
        <color rgb="FFFF0000"/>
      </font>
      <fill>
        <patternFill>
          <bgColor auto="1"/>
        </patternFill>
      </fill>
    </dxf>
    <dxf>
      <font>
        <color theme="9"/>
      </font>
      <fill>
        <patternFill>
          <bgColor auto="1"/>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9" tint="-0.24994659260841701"/>
        </patternFill>
      </fill>
    </dxf>
    <dxf>
      <fill>
        <patternFill>
          <bgColor theme="5" tint="0.39994506668294322"/>
        </patternFill>
      </fill>
    </dxf>
    <dxf>
      <fill>
        <patternFill>
          <bgColor rgb="FFFF0000"/>
        </patternFill>
      </fill>
    </dxf>
    <dxf>
      <fill>
        <patternFill>
          <bgColor theme="5"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79998168889431442"/>
        </patternFill>
      </fill>
    </dxf>
    <dxf>
      <fill>
        <patternFill>
          <bgColor theme="9" tint="0.39994506668294322"/>
        </patternFill>
      </fill>
    </dxf>
    <dxf>
      <fill>
        <patternFill>
          <bgColor theme="9" tint="0.79998168889431442"/>
        </patternFill>
      </fill>
    </dxf>
    <dxf>
      <fill>
        <patternFill>
          <bgColor theme="9" tint="-0.24994659260841701"/>
        </patternFill>
      </fill>
    </dxf>
    <dxf>
      <fill>
        <patternFill>
          <bgColor theme="5" tint="0.39994506668294322"/>
        </patternFill>
      </fill>
    </dxf>
    <dxf>
      <fill>
        <patternFill>
          <bgColor rgb="FFFF0000"/>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9" tint="0.39994506668294322"/>
        </patternFill>
      </fill>
    </dxf>
    <dxf>
      <fill>
        <patternFill>
          <bgColor theme="9" tint="0.79998168889431442"/>
        </patternFill>
      </fill>
    </dxf>
    <dxf>
      <fill>
        <patternFill>
          <bgColor theme="9" tint="-0.24994659260841701"/>
        </patternFill>
      </fill>
    </dxf>
    <dxf>
      <fill>
        <patternFill>
          <bgColor theme="5" tint="0.39994506668294322"/>
        </patternFill>
      </fill>
    </dxf>
    <dxf>
      <fill>
        <patternFill>
          <bgColor rgb="FFFF0000"/>
        </patternFill>
      </fill>
    </dxf>
    <dxf>
      <fill>
        <patternFill>
          <bgColor theme="5"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79998168889431442"/>
        </patternFill>
      </fill>
    </dxf>
    <dxf>
      <fill>
        <patternFill>
          <bgColor theme="9" tint="0.39994506668294322"/>
        </patternFill>
      </fill>
    </dxf>
    <dxf>
      <fill>
        <patternFill>
          <bgColor theme="9" tint="0.79998168889431442"/>
        </patternFill>
      </fill>
    </dxf>
    <dxf>
      <fill>
        <patternFill>
          <bgColor theme="9" tint="-0.24994659260841701"/>
        </patternFill>
      </fill>
    </dxf>
    <dxf>
      <fill>
        <patternFill>
          <bgColor theme="5" tint="0.39994506668294322"/>
        </patternFill>
      </fill>
    </dxf>
    <dxf>
      <fill>
        <patternFill>
          <bgColor rgb="FFFF0000"/>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ill>
        <patternFill>
          <bgColor theme="5" tint="0.39994506668294322"/>
        </patternFill>
      </fill>
    </dxf>
    <dxf>
      <fill>
        <patternFill>
          <bgColor theme="5" tint="0.79998168889431442"/>
        </patternFill>
      </fill>
    </dxf>
    <dxf>
      <fill>
        <patternFill>
          <bgColor rgb="FFFF0000"/>
        </patternFill>
      </fill>
    </dxf>
    <dxf>
      <fill>
        <patternFill>
          <bgColor theme="9" tint="0.39994506668294322"/>
        </patternFill>
      </fill>
    </dxf>
    <dxf>
      <fill>
        <patternFill>
          <bgColor theme="9" tint="-0.24994659260841701"/>
        </patternFill>
      </fill>
    </dxf>
    <dxf>
      <fill>
        <patternFill>
          <bgColor theme="9" tint="0.79998168889431442"/>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b/>
        <sz val="12"/>
        <color rgb="FFC62828"/>
      </font>
      <fill>
        <patternFill patternType="solid">
          <fgColor rgb="FFFFCDD2"/>
          <bgColor rgb="FFFFCDD2"/>
        </patternFill>
      </fill>
    </dxf>
    <dxf>
      <font>
        <b/>
        <sz val="12"/>
        <color rgb="FFE65100"/>
      </font>
      <fill>
        <patternFill patternType="solid">
          <fgColor rgb="FFFFE0B2"/>
          <bgColor rgb="FFFFE0B2"/>
        </patternFill>
      </fill>
    </dxf>
    <dxf>
      <font>
        <b/>
        <sz val="12"/>
        <color rgb="FF7B6B00"/>
      </font>
      <fill>
        <patternFill patternType="solid">
          <fgColor rgb="FFFFF9C4"/>
          <bgColor rgb="FFFFF9C4"/>
        </patternFill>
      </fill>
    </dxf>
    <dxf>
      <font>
        <b/>
        <sz val="12"/>
        <color rgb="FF2E7D32"/>
      </font>
      <fill>
        <patternFill patternType="solid">
          <fgColor rgb="FFC8E6C9"/>
          <bgColor rgb="FFC8E6C9"/>
        </patternFill>
      </fill>
    </dxf>
    <dxf>
      <font>
        <b/>
        <sz val="12"/>
        <color rgb="FFFFFFFF"/>
      </font>
      <fill>
        <patternFill patternType="solid">
          <fgColor rgb="FF2E7D32"/>
          <bgColor rgb="FF2E7D32"/>
        </patternFill>
      </fill>
    </dxf>
    <dxf>
      <font>
        <b/>
        <color rgb="FFC62828"/>
      </font>
      <fill>
        <patternFill patternType="solid">
          <fgColor rgb="FFFFCDD2"/>
          <bgColor rgb="FFFFCDD2"/>
        </patternFill>
      </fill>
    </dxf>
    <dxf>
      <font>
        <b/>
        <color rgb="FF7B6B00"/>
      </font>
      <fill>
        <patternFill patternType="solid">
          <fgColor rgb="FFFFF9C4"/>
          <bgColor rgb="FFFFF9C4"/>
        </patternFill>
      </fill>
    </dxf>
    <dxf>
      <font>
        <b/>
        <color rgb="FF2E7D32"/>
      </font>
      <fill>
        <patternFill patternType="solid">
          <fgColor rgb="FFC8E6C9"/>
          <bgColor rgb="FFC8E6C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Intrinsic Value by Scenario</a:t>
            </a:r>
          </a:p>
        </c:rich>
      </c:tx>
      <c:layout>
        <c:manualLayout>
          <c:xMode val="edge"/>
          <c:yMode val="edge"/>
          <c:x val="0.39768505342454685"/>
          <c:y val="1.4749262536873156E-2"/>
        </c:manualLayout>
      </c:layout>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32195113918442775"/>
          <c:y val="9.0147689090862071E-2"/>
          <c:w val="0.59550015378232812"/>
          <c:h val="0.76785905322617687"/>
        </c:manualLayout>
      </c:layout>
      <c:barChart>
        <c:barDir val="bar"/>
        <c:grouping val="clustered"/>
        <c:varyColors val="1"/>
        <c:ser>
          <c:idx val="0"/>
          <c:order val="0"/>
          <c:tx>
            <c:strRef>
              <c:f>Dashboard!$L$3</c:f>
              <c:strCache>
                <c:ptCount val="1"/>
                <c:pt idx="0">
                  <c:v>Intrinsic Value</c:v>
                </c:pt>
              </c:strCache>
            </c:strRef>
          </c:tx>
          <c:invertIfNegative val="1"/>
          <c:dPt>
            <c:idx val="0"/>
            <c:invertIfNegative val="1"/>
            <c:bubble3D val="0"/>
            <c:spPr>
              <a:solidFill>
                <a:schemeClr val="accent2"/>
              </a:solidFill>
              <a:ln w="6350" cap="flat" cmpd="sng" algn="ctr">
                <a:solidFill>
                  <a:schemeClr val="lt1"/>
                </a:solidFill>
                <a:prstDash val="solid"/>
                <a:round/>
              </a:ln>
              <a:effectLst/>
            </c:spPr>
            <c:extLst>
              <c:ext xmlns:c16="http://schemas.microsoft.com/office/drawing/2014/chart" uri="{C3380CC4-5D6E-409C-BE32-E72D297353CC}">
                <c16:uniqueId val="{00000001-7767-4DF8-9693-2A991D4565E1}"/>
              </c:ext>
            </c:extLst>
          </c:dPt>
          <c:dPt>
            <c:idx val="1"/>
            <c:invertIfNegative val="1"/>
            <c:bubble3D val="0"/>
            <c:spPr>
              <a:solidFill>
                <a:schemeClr val="accent4"/>
              </a:solidFill>
              <a:ln w="6350" cap="flat" cmpd="sng" algn="ctr">
                <a:solidFill>
                  <a:schemeClr val="lt1"/>
                </a:solidFill>
                <a:prstDash val="solid"/>
                <a:round/>
              </a:ln>
              <a:effectLst/>
            </c:spPr>
            <c:extLst>
              <c:ext xmlns:c16="http://schemas.microsoft.com/office/drawing/2014/chart" uri="{C3380CC4-5D6E-409C-BE32-E72D297353CC}">
                <c16:uniqueId val="{00000003-7767-4DF8-9693-2A991D4565E1}"/>
              </c:ext>
            </c:extLst>
          </c:dPt>
          <c:dPt>
            <c:idx val="2"/>
            <c:invertIfNegative val="1"/>
            <c:bubble3D val="0"/>
            <c:spPr>
              <a:solidFill>
                <a:schemeClr val="accent6"/>
              </a:solidFill>
              <a:ln w="6350" cap="flat" cmpd="sng" algn="ctr">
                <a:solidFill>
                  <a:schemeClr val="lt1"/>
                </a:solidFill>
                <a:prstDash val="solid"/>
                <a:round/>
              </a:ln>
              <a:effectLst/>
            </c:spPr>
            <c:extLst>
              <c:ext xmlns:c16="http://schemas.microsoft.com/office/drawing/2014/chart" uri="{C3380CC4-5D6E-409C-BE32-E72D297353CC}">
                <c16:uniqueId val="{00000005-7767-4DF8-9693-2A991D4565E1}"/>
              </c:ext>
            </c:extLst>
          </c:dPt>
          <c:dPt>
            <c:idx val="3"/>
            <c:invertIfNegative val="1"/>
            <c:bubble3D val="0"/>
            <c:spPr>
              <a:solidFill>
                <a:schemeClr val="accent2">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7-7767-4DF8-9693-2A991D4565E1}"/>
              </c:ext>
            </c:extLst>
          </c:dPt>
          <c:cat>
            <c:strRef>
              <c:f>Dashboard!$K$4:$K$7</c:f>
              <c:strCache>
                <c:ptCount val="4"/>
                <c:pt idx="0">
                  <c:v>Bear Case</c:v>
                </c:pt>
                <c:pt idx="1">
                  <c:v>Base Case</c:v>
                </c:pt>
                <c:pt idx="2">
                  <c:v>Bull Case</c:v>
                </c:pt>
                <c:pt idx="3">
                  <c:v>Monte Carlo Mean</c:v>
                </c:pt>
              </c:strCache>
            </c:strRef>
          </c:cat>
          <c:val>
            <c:numRef>
              <c:f>Dashboard!$L$4:$L$7</c:f>
              <c:numCache>
                <c:formatCode>"$"#,##0.00</c:formatCode>
                <c:ptCount val="4"/>
                <c:pt idx="0">
                  <c:v>9.251981332464295</c:v>
                </c:pt>
                <c:pt idx="1">
                  <c:v>85.30831348406727</c:v>
                </c:pt>
                <c:pt idx="2">
                  <c:v>265.43046394032945</c:v>
                </c:pt>
                <c:pt idx="3">
                  <c:v>96.290975802638513</c:v>
                </c:pt>
              </c:numCache>
            </c:numRef>
          </c:val>
          <c:extLst>
            <c:ext xmlns:c16="http://schemas.microsoft.com/office/drawing/2014/chart" uri="{C3380CC4-5D6E-409C-BE32-E72D297353CC}">
              <c16:uniqueId val="{00000000-7605-4D2D-8F2F-9F4D10B7D66A}"/>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Intrinsic Value ($)</a:t>
                </a:r>
              </a:p>
            </c:rich>
          </c:tx>
          <c:overlay val="1"/>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b"/>
        <c:majorGridlines>
          <c:spPr>
            <a:ln w="6350" cap="flat" cmpd="sng" algn="ctr">
              <a:solidFill>
                <a:schemeClr val="tx1"/>
              </a:solidFill>
              <a:prstDash val="solid"/>
              <a:round/>
            </a:ln>
            <a:effectLst/>
          </c:spPr>
        </c:majorGridlines>
        <c:numFmt formatCode="&quot;$&quot;#,##0.00" sourceLinked="1"/>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max"/>
        <c:crossBetween val="between"/>
      </c:valAx>
      <c:spPr>
        <a:solidFill>
          <a:schemeClr val="bg1"/>
        </a:solidFill>
        <a:ln>
          <a:noFill/>
        </a:ln>
        <a:effectLst/>
      </c:spPr>
    </c:plotArea>
    <c:plotVisOnly val="1"/>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autoTitleDeleted val="1"/>
    <c:plotArea>
      <c:layout/>
      <c:barChart>
        <c:barDir val="col"/>
        <c:grouping val="clustered"/>
        <c:varyColors val="1"/>
        <c:ser>
          <c:idx val="0"/>
          <c:order val="0"/>
          <c:tx>
            <c:v>Revenue</c:v>
          </c:tx>
          <c:spPr>
            <a:solidFill>
              <a:srgbClr val="2C5F8A"/>
            </a:solidFill>
            <a:ln>
              <a:prstDash val="solid"/>
            </a:ln>
          </c:spPr>
          <c:invertIfNegative val="1"/>
          <c:cat>
            <c:strRef>
              <c:f>Dashboard!$B$48:$F$48</c:f>
              <c:strCache>
                <c:ptCount val="5"/>
                <c:pt idx="0">
                  <c:v>2023</c:v>
                </c:pt>
                <c:pt idx="1">
                  <c:v>2024</c:v>
                </c:pt>
                <c:pt idx="2">
                  <c:v>2025</c:v>
                </c:pt>
                <c:pt idx="3">
                  <c:v>2026</c:v>
                </c:pt>
                <c:pt idx="4">
                  <c:v>TTM</c:v>
                </c:pt>
              </c:strCache>
            </c:strRef>
          </c:cat>
          <c:val>
            <c:numRef>
              <c:f>Dashboard!$B$49:$F$49</c:f>
              <c:numCache>
                <c:formatCode>#,##0</c:formatCode>
                <c:ptCount val="5"/>
                <c:pt idx="0">
                  <c:v>611289000</c:v>
                </c:pt>
                <c:pt idx="1">
                  <c:v>648125000</c:v>
                </c:pt>
                <c:pt idx="2">
                  <c:v>680985000</c:v>
                </c:pt>
                <c:pt idx="3">
                  <c:v>713163000</c:v>
                </c:pt>
                <c:pt idx="4">
                  <c:v>713163000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514-46C6-9447-456D54D22B59}"/>
            </c:ext>
          </c:extLst>
        </c:ser>
        <c:ser>
          <c:idx val="1"/>
          <c:order val="1"/>
          <c:tx>
            <c:v>Net Income</c:v>
          </c:tx>
          <c:spPr>
            <a:solidFill>
              <a:srgbClr val="43A047"/>
            </a:solidFill>
            <a:ln>
              <a:prstDash val="solid"/>
            </a:ln>
          </c:spPr>
          <c:invertIfNegative val="1"/>
          <c:cat>
            <c:strRef>
              <c:f>Dashboard!$B$48:$F$48</c:f>
              <c:strCache>
                <c:ptCount val="5"/>
                <c:pt idx="0">
                  <c:v>2023</c:v>
                </c:pt>
                <c:pt idx="1">
                  <c:v>2024</c:v>
                </c:pt>
                <c:pt idx="2">
                  <c:v>2025</c:v>
                </c:pt>
                <c:pt idx="3">
                  <c:v>2026</c:v>
                </c:pt>
                <c:pt idx="4">
                  <c:v>TTM</c:v>
                </c:pt>
              </c:strCache>
            </c:strRef>
          </c:cat>
          <c:val>
            <c:numRef>
              <c:f>Dashboard!$B$50:$F$50</c:f>
              <c:numCache>
                <c:formatCode>#,##0</c:formatCode>
                <c:ptCount val="5"/>
                <c:pt idx="0">
                  <c:v>11680000</c:v>
                </c:pt>
                <c:pt idx="1">
                  <c:v>15511000</c:v>
                </c:pt>
                <c:pt idx="2">
                  <c:v>19436000</c:v>
                </c:pt>
                <c:pt idx="3">
                  <c:v>21893000</c:v>
                </c:pt>
                <c:pt idx="4">
                  <c:v>21893000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D514-46C6-9447-456D54D22B59}"/>
            </c:ext>
          </c:extLst>
        </c:ser>
        <c:dLbls>
          <c:showLegendKey val="0"/>
          <c:showVal val="0"/>
          <c:showCatName val="0"/>
          <c:showSerName val="0"/>
          <c:showPercent val="0"/>
          <c:showBubbleSize val="0"/>
        </c:dLbls>
        <c:gapWidth val="150"/>
        <c:axId val="10"/>
        <c:axId val="100"/>
      </c:barChart>
      <c:lineChart>
        <c:grouping val="standard"/>
        <c:varyColors val="1"/>
        <c:ser>
          <c:idx val="2"/>
          <c:order val="2"/>
          <c:tx>
            <c:v>Net Income</c:v>
          </c:tx>
          <c:spPr>
            <a:ln w="25000">
              <a:solidFill>
                <a:srgbClr val="43A047"/>
              </a:solidFill>
              <a:prstDash val="solid"/>
            </a:ln>
          </c:spPr>
          <c:marker>
            <c:symbol val="none"/>
          </c:marker>
          <c:cat>
            <c:strRef>
              <c:f>Dashboard!$B$48:$F$48</c:f>
              <c:strCache>
                <c:ptCount val="5"/>
                <c:pt idx="0">
                  <c:v>2023</c:v>
                </c:pt>
                <c:pt idx="1">
                  <c:v>2024</c:v>
                </c:pt>
                <c:pt idx="2">
                  <c:v>2025</c:v>
                </c:pt>
                <c:pt idx="3">
                  <c:v>2026</c:v>
                </c:pt>
                <c:pt idx="4">
                  <c:v>TTM</c:v>
                </c:pt>
              </c:strCache>
            </c:strRef>
          </c:cat>
          <c:val>
            <c:numRef>
              <c:f>Dashboard!$B$50:$F$50</c:f>
              <c:numCache>
                <c:formatCode>#,##0</c:formatCode>
                <c:ptCount val="5"/>
                <c:pt idx="0">
                  <c:v>11680000</c:v>
                </c:pt>
                <c:pt idx="1">
                  <c:v>15511000</c:v>
                </c:pt>
                <c:pt idx="2">
                  <c:v>19436000</c:v>
                </c:pt>
                <c:pt idx="3">
                  <c:v>21893000</c:v>
                </c:pt>
                <c:pt idx="4">
                  <c:v>21893000</c:v>
                </c:pt>
              </c:numCache>
            </c:numRef>
          </c:val>
          <c:smooth val="1"/>
          <c:extLst>
            <c:ext xmlns:c16="http://schemas.microsoft.com/office/drawing/2014/chart" uri="{C3380CC4-5D6E-409C-BE32-E72D297353CC}">
              <c16:uniqueId val="{00000002-D514-46C6-9447-456D54D22B59}"/>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out"/>
        <c:minorTickMark val="none"/>
        <c:tickLblPos val="nextTo"/>
        <c:spPr>
          <a:ln/>
        </c:spPr>
        <c:crossAx val="100"/>
        <c:crosses val="autoZero"/>
        <c:auto val="1"/>
        <c:lblAlgn val="ctr"/>
        <c:lblOffset val="100"/>
        <c:noMultiLvlLbl val="1"/>
      </c:catAx>
      <c:valAx>
        <c:axId val="100"/>
        <c:scaling>
          <c:orientation val="minMax"/>
        </c:scaling>
        <c:delete val="0"/>
        <c:axPos val="l"/>
        <c:numFmt formatCode="#,##0" sourceLinked="1"/>
        <c:majorTickMark val="out"/>
        <c:minorTickMark val="none"/>
        <c:tickLblPos val="nextTo"/>
        <c:crossAx val="10"/>
        <c:crosses val="autoZero"/>
        <c:crossBetween val="between"/>
      </c:valAx>
      <c:valAx>
        <c:axId val="200"/>
        <c:scaling>
          <c:orientation val="minMax"/>
        </c:scaling>
        <c:delete val="1"/>
        <c:axPos val="l"/>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Op Income vs. FCFF</a:t>
            </a:r>
          </a:p>
        </c:rich>
      </c:tx>
      <c:overlay val="0"/>
    </c:title>
    <c:autoTitleDeleted val="0"/>
    <c:plotArea>
      <c:layout/>
      <c:lineChart>
        <c:grouping val="standard"/>
        <c:varyColors val="1"/>
        <c:ser>
          <c:idx val="0"/>
          <c:order val="0"/>
          <c:tx>
            <c:v>Op Income</c:v>
          </c:tx>
          <c:spPr>
            <a:ln w="25000">
              <a:solidFill>
                <a:srgbClr val="1976D2"/>
              </a:solidFill>
              <a:prstDash val="solid"/>
            </a:ln>
          </c:spPr>
          <c:marker>
            <c:symbol val="none"/>
          </c:marker>
          <c:cat>
            <c:strRef>
              <c:f>Dashboard!$B$48:$F$48</c:f>
              <c:strCache>
                <c:ptCount val="5"/>
                <c:pt idx="0">
                  <c:v>2023</c:v>
                </c:pt>
                <c:pt idx="1">
                  <c:v>2024</c:v>
                </c:pt>
                <c:pt idx="2">
                  <c:v>2025</c:v>
                </c:pt>
                <c:pt idx="3">
                  <c:v>2026</c:v>
                </c:pt>
                <c:pt idx="4">
                  <c:v>TTM</c:v>
                </c:pt>
              </c:strCache>
            </c:strRef>
          </c:cat>
          <c:val>
            <c:numRef>
              <c:f>Dashboard!$B$51:$F$51</c:f>
              <c:numCache>
                <c:formatCode>#,##0</c:formatCode>
                <c:ptCount val="5"/>
                <c:pt idx="0">
                  <c:v>19144000</c:v>
                </c:pt>
                <c:pt idx="1">
                  <c:v>24531000</c:v>
                </c:pt>
                <c:pt idx="2">
                  <c:v>29037000</c:v>
                </c:pt>
                <c:pt idx="3">
                  <c:v>32268000</c:v>
                </c:pt>
                <c:pt idx="4">
                  <c:v>32268000</c:v>
                </c:pt>
              </c:numCache>
            </c:numRef>
          </c:val>
          <c:smooth val="1"/>
          <c:extLst>
            <c:ext xmlns:c16="http://schemas.microsoft.com/office/drawing/2014/chart" uri="{C3380CC4-5D6E-409C-BE32-E72D297353CC}">
              <c16:uniqueId val="{00000000-0B36-4918-93ED-234E17FF28F9}"/>
            </c:ext>
          </c:extLst>
        </c:ser>
        <c:ser>
          <c:idx val="1"/>
          <c:order val="1"/>
          <c:tx>
            <c:v>FCFF</c:v>
          </c:tx>
          <c:spPr>
            <a:ln w="25000">
              <a:solidFill>
                <a:srgbClr val="43A047"/>
              </a:solidFill>
              <a:prstDash val="solid"/>
            </a:ln>
          </c:spPr>
          <c:marker>
            <c:symbol val="none"/>
          </c:marker>
          <c:cat>
            <c:strRef>
              <c:f>Dashboard!$B$48:$F$48</c:f>
              <c:strCache>
                <c:ptCount val="5"/>
                <c:pt idx="0">
                  <c:v>2023</c:v>
                </c:pt>
                <c:pt idx="1">
                  <c:v>2024</c:v>
                </c:pt>
                <c:pt idx="2">
                  <c:v>2025</c:v>
                </c:pt>
                <c:pt idx="3">
                  <c:v>2026</c:v>
                </c:pt>
                <c:pt idx="4">
                  <c:v>TTM</c:v>
                </c:pt>
              </c:strCache>
            </c:strRef>
          </c:cat>
          <c:val>
            <c:numRef>
              <c:f>Dashboard!$B$52:$F$52</c:f>
              <c:numCache>
                <c:formatCode>#,##0</c:formatCode>
                <c:ptCount val="5"/>
                <c:pt idx="0">
                  <c:v>14923000</c:v>
                </c:pt>
                <c:pt idx="1">
                  <c:v>14923000</c:v>
                </c:pt>
                <c:pt idx="2">
                  <c:v>12660000</c:v>
                </c:pt>
                <c:pt idx="3">
                  <c:v>15120000</c:v>
                </c:pt>
                <c:pt idx="4">
                  <c:v>11984000</c:v>
                </c:pt>
              </c:numCache>
            </c:numRef>
          </c:val>
          <c:smooth val="1"/>
          <c:extLst>
            <c:ext xmlns:c16="http://schemas.microsoft.com/office/drawing/2014/chart" uri="{C3380CC4-5D6E-409C-BE32-E72D297353CC}">
              <c16:uniqueId val="{00000001-0B36-4918-93ED-234E17FF28F9}"/>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Profit Margins Over Time</a:t>
            </a:r>
          </a:p>
        </c:rich>
      </c:tx>
      <c:layout>
        <c:manualLayout>
          <c:xMode val="edge"/>
          <c:yMode val="edge"/>
          <c:x val="0.38420179095260154"/>
          <c:y val="2.0737210480268914E-2"/>
        </c:manualLayout>
      </c:layout>
      <c:overlay val="1"/>
    </c:title>
    <c:autoTitleDeleted val="0"/>
    <c:plotArea>
      <c:layout>
        <c:manualLayout>
          <c:layoutTarget val="inner"/>
          <c:xMode val="edge"/>
          <c:yMode val="edge"/>
          <c:x val="0.13665105587291784"/>
          <c:y val="0.14583874384123038"/>
          <c:w val="0.66651441854081961"/>
          <c:h val="0.73690012432656449"/>
        </c:manualLayout>
      </c:layout>
      <c:lineChart>
        <c:grouping val="standard"/>
        <c:varyColors val="1"/>
        <c:ser>
          <c:idx val="0"/>
          <c:order val="0"/>
          <c:tx>
            <c:v>Gross Margin</c:v>
          </c:tx>
          <c:spPr>
            <a:ln w="25000">
              <a:solidFill>
                <a:srgbClr val="43A047"/>
              </a:solidFill>
              <a:prstDash val="solid"/>
            </a:ln>
          </c:spPr>
          <c:marker>
            <c:symbol val="none"/>
          </c:marker>
          <c:cat>
            <c:strRef>
              <c:extLst>
                <c:ext xmlns:c15="http://schemas.microsoft.com/office/drawing/2012/chart" uri="{02D57815-91ED-43cb-92C2-25804820EDAC}">
                  <c15:fullRef>
                    <c15:sqref>Dashboard!$B$48:$F$48</c15:sqref>
                  </c15:fullRef>
                </c:ext>
              </c:extLst>
              <c:f>Dashboard!$B$48:$E$48</c:f>
              <c:strCache>
                <c:ptCount val="4"/>
                <c:pt idx="0">
                  <c:v>2023</c:v>
                </c:pt>
                <c:pt idx="1">
                  <c:v>2024</c:v>
                </c:pt>
                <c:pt idx="2">
                  <c:v>2025</c:v>
                </c:pt>
                <c:pt idx="3">
                  <c:v>2026</c:v>
                </c:pt>
              </c:strCache>
            </c:strRef>
          </c:cat>
          <c:val>
            <c:numRef>
              <c:extLst>
                <c:ext xmlns:c15="http://schemas.microsoft.com/office/drawing/2012/chart" uri="{02D57815-91ED-43cb-92C2-25804820EDAC}">
                  <c15:fullRef>
                    <c15:sqref>Dashboard!$B$53:$F$53</c15:sqref>
                  </c15:fullRef>
                </c:ext>
              </c:extLst>
              <c:f>Dashboard!$B$53:$E$53</c:f>
              <c:numCache>
                <c:formatCode>0.0%</c:formatCode>
                <c:ptCount val="4"/>
                <c:pt idx="0">
                  <c:v>0.24140463839525986</c:v>
                </c:pt>
                <c:pt idx="1">
                  <c:v>0.24375390549662487</c:v>
                </c:pt>
                <c:pt idx="2">
                  <c:v>0.24851061330278934</c:v>
                </c:pt>
                <c:pt idx="3">
                  <c:v>0.24926699786724774</c:v>
                </c:pt>
              </c:numCache>
            </c:numRef>
          </c:val>
          <c:smooth val="1"/>
          <c:extLst>
            <c:ext xmlns:c16="http://schemas.microsoft.com/office/drawing/2014/chart" uri="{C3380CC4-5D6E-409C-BE32-E72D297353CC}">
              <c16:uniqueId val="{00000000-96CC-48C4-BBB1-4C74C53F5A0B}"/>
            </c:ext>
          </c:extLst>
        </c:ser>
        <c:ser>
          <c:idx val="1"/>
          <c:order val="1"/>
          <c:tx>
            <c:v>Op Margin</c:v>
          </c:tx>
          <c:spPr>
            <a:ln w="25000">
              <a:solidFill>
                <a:srgbClr val="1976D2"/>
              </a:solidFill>
              <a:prstDash val="solid"/>
            </a:ln>
          </c:spPr>
          <c:marker>
            <c:symbol val="none"/>
          </c:marker>
          <c:cat>
            <c:strRef>
              <c:extLst>
                <c:ext xmlns:c15="http://schemas.microsoft.com/office/drawing/2012/chart" uri="{02D57815-91ED-43cb-92C2-25804820EDAC}">
                  <c15:fullRef>
                    <c15:sqref>Dashboard!$B$48:$F$48</c15:sqref>
                  </c15:fullRef>
                </c:ext>
              </c:extLst>
              <c:f>Dashboard!$B$48:$E$48</c:f>
              <c:strCache>
                <c:ptCount val="4"/>
                <c:pt idx="0">
                  <c:v>2023</c:v>
                </c:pt>
                <c:pt idx="1">
                  <c:v>2024</c:v>
                </c:pt>
                <c:pt idx="2">
                  <c:v>2025</c:v>
                </c:pt>
                <c:pt idx="3">
                  <c:v>2026</c:v>
                </c:pt>
              </c:strCache>
            </c:strRef>
          </c:cat>
          <c:val>
            <c:numRef>
              <c:extLst>
                <c:ext xmlns:c15="http://schemas.microsoft.com/office/drawing/2012/chart" uri="{02D57815-91ED-43cb-92C2-25804820EDAC}">
                  <c15:fullRef>
                    <c15:sqref>Dashboard!$B$54:$F$54</c15:sqref>
                  </c15:fullRef>
                </c:ext>
              </c:extLst>
              <c:f>Dashboard!$B$54:$E$54</c:f>
              <c:numCache>
                <c:formatCode>0.0%</c:formatCode>
                <c:ptCount val="4"/>
                <c:pt idx="0">
                  <c:v>3.1317429235598875E-2</c:v>
                </c:pt>
                <c:pt idx="1">
                  <c:v>3.7849180327868853E-2</c:v>
                </c:pt>
                <c:pt idx="2">
                  <c:v>4.2639705720390317E-2</c:v>
                </c:pt>
                <c:pt idx="3">
                  <c:v>4.5246318162888426E-2</c:v>
                </c:pt>
              </c:numCache>
            </c:numRef>
          </c:val>
          <c:smooth val="1"/>
          <c:extLst>
            <c:ext xmlns:c16="http://schemas.microsoft.com/office/drawing/2014/chart" uri="{C3380CC4-5D6E-409C-BE32-E72D297353CC}">
              <c16:uniqueId val="{00000001-96CC-48C4-BBB1-4C74C53F5A0B}"/>
            </c:ext>
          </c:extLst>
        </c:ser>
        <c:ser>
          <c:idx val="2"/>
          <c:order val="2"/>
          <c:tx>
            <c:v>Net Margin</c:v>
          </c:tx>
          <c:spPr>
            <a:ln w="25000">
              <a:solidFill>
                <a:srgbClr val="F5C242"/>
              </a:solidFill>
              <a:prstDash val="solid"/>
            </a:ln>
          </c:spPr>
          <c:marker>
            <c:symbol val="none"/>
          </c:marker>
          <c:cat>
            <c:strRef>
              <c:extLst>
                <c:ext xmlns:c15="http://schemas.microsoft.com/office/drawing/2012/chart" uri="{02D57815-91ED-43cb-92C2-25804820EDAC}">
                  <c15:fullRef>
                    <c15:sqref>Dashboard!$B$48:$F$48</c15:sqref>
                  </c15:fullRef>
                </c:ext>
              </c:extLst>
              <c:f>Dashboard!$B$48:$E$48</c:f>
              <c:strCache>
                <c:ptCount val="4"/>
                <c:pt idx="0">
                  <c:v>2023</c:v>
                </c:pt>
                <c:pt idx="1">
                  <c:v>2024</c:v>
                </c:pt>
                <c:pt idx="2">
                  <c:v>2025</c:v>
                </c:pt>
                <c:pt idx="3">
                  <c:v>2026</c:v>
                </c:pt>
              </c:strCache>
            </c:strRef>
          </c:cat>
          <c:val>
            <c:numRef>
              <c:extLst>
                <c:ext xmlns:c15="http://schemas.microsoft.com/office/drawing/2012/chart" uri="{02D57815-91ED-43cb-92C2-25804820EDAC}">
                  <c15:fullRef>
                    <c15:sqref>Dashboard!$B$55:$F$55</c15:sqref>
                  </c15:fullRef>
                </c:ext>
              </c:extLst>
              <c:f>Dashboard!$B$55:$E$55</c:f>
              <c:numCache>
                <c:formatCode>0.0%</c:formatCode>
                <c:ptCount val="4"/>
                <c:pt idx="0">
                  <c:v>1.9107165350595218E-2</c:v>
                </c:pt>
                <c:pt idx="1">
                  <c:v>2.3932111861137896E-2</c:v>
                </c:pt>
                <c:pt idx="2">
                  <c:v>2.8541010448100913E-2</c:v>
                </c:pt>
                <c:pt idx="3">
                  <c:v>3.0698451826581021E-2</c:v>
                </c:pt>
              </c:numCache>
            </c:numRef>
          </c:val>
          <c:smooth val="1"/>
          <c:extLst>
            <c:ext xmlns:c16="http://schemas.microsoft.com/office/drawing/2014/chart" uri="{C3380CC4-5D6E-409C-BE32-E72D297353CC}">
              <c16:uniqueId val="{00000002-96CC-48C4-BBB1-4C74C53F5A0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out"/>
        <c:minorTickMark val="none"/>
        <c:tickLblPos val="nextTo"/>
        <c:crossAx val="10"/>
        <c:crosses val="autoZero"/>
        <c:crossBetween val="between"/>
      </c:valAx>
    </c:plotArea>
    <c:legend>
      <c:legendPos val="r"/>
      <c:layout>
        <c:manualLayout>
          <c:xMode val="edge"/>
          <c:yMode val="edge"/>
          <c:x val="0.8063611840186643"/>
          <c:y val="0.21908827186075425"/>
          <c:w val="0.18853550168973976"/>
          <c:h val="0.58624994244140538"/>
        </c:manualLayout>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Balance Sheet Trends ($M)</a:t>
            </a:r>
          </a:p>
        </c:rich>
      </c:tx>
      <c:layout>
        <c:manualLayout>
          <c:xMode val="edge"/>
          <c:yMode val="edge"/>
          <c:x val="0.37762274829652809"/>
          <c:y val="1.8450184501845018E-2"/>
        </c:manualLayout>
      </c:layout>
      <c:overlay val="1"/>
    </c:title>
    <c:autoTitleDeleted val="0"/>
    <c:plotArea>
      <c:layout>
        <c:manualLayout>
          <c:layoutTarget val="inner"/>
          <c:xMode val="edge"/>
          <c:yMode val="edge"/>
          <c:x val="0.20985940478938503"/>
          <c:y val="0.11562018769793997"/>
          <c:w val="0.54526233895030218"/>
          <c:h val="0.76106090982169672"/>
        </c:manualLayout>
      </c:layout>
      <c:lineChart>
        <c:grouping val="standard"/>
        <c:varyColors val="1"/>
        <c:ser>
          <c:idx val="0"/>
          <c:order val="0"/>
          <c:tx>
            <c:v>Total Assets</c:v>
          </c:tx>
          <c:spPr>
            <a:ln w="25000">
              <a:solidFill>
                <a:srgbClr val="1976D2"/>
              </a:solidFill>
              <a:prstDash val="solid"/>
            </a:ln>
          </c:spPr>
          <c:marker>
            <c:symbol val="none"/>
          </c:marker>
          <c:cat>
            <c:strRef>
              <c:extLst>
                <c:ext xmlns:c15="http://schemas.microsoft.com/office/drawing/2012/chart" uri="{02D57815-91ED-43cb-92C2-25804820EDAC}">
                  <c15:fullRef>
                    <c15:sqref>Dashboard!$B$48:$F$48</c15:sqref>
                  </c15:fullRef>
                </c:ext>
              </c:extLst>
              <c:f>Dashboard!$B$48:$E$48</c:f>
              <c:strCache>
                <c:ptCount val="4"/>
                <c:pt idx="0">
                  <c:v>2023</c:v>
                </c:pt>
                <c:pt idx="1">
                  <c:v>2024</c:v>
                </c:pt>
                <c:pt idx="2">
                  <c:v>2025</c:v>
                </c:pt>
                <c:pt idx="3">
                  <c:v>2026</c:v>
                </c:pt>
              </c:strCache>
            </c:strRef>
          </c:cat>
          <c:val>
            <c:numRef>
              <c:extLst>
                <c:ext xmlns:c15="http://schemas.microsoft.com/office/drawing/2012/chart" uri="{02D57815-91ED-43cb-92C2-25804820EDAC}">
                  <c15:fullRef>
                    <c15:sqref>Dashboard!$B$56:$F$56</c15:sqref>
                  </c15:fullRef>
                </c:ext>
              </c:extLst>
              <c:f>Dashboard!$B$56:$E$56</c:f>
              <c:numCache>
                <c:formatCode>#,##0</c:formatCode>
                <c:ptCount val="4"/>
                <c:pt idx="0">
                  <c:v>243197000</c:v>
                </c:pt>
                <c:pt idx="1">
                  <c:v>252399000</c:v>
                </c:pt>
                <c:pt idx="2">
                  <c:v>260823000</c:v>
                </c:pt>
                <c:pt idx="3">
                  <c:v>284668000</c:v>
                </c:pt>
              </c:numCache>
            </c:numRef>
          </c:val>
          <c:smooth val="1"/>
          <c:extLst>
            <c:ext xmlns:c16="http://schemas.microsoft.com/office/drawing/2014/chart" uri="{C3380CC4-5D6E-409C-BE32-E72D297353CC}">
              <c16:uniqueId val="{00000000-9E02-4A57-9F9B-C71627AD0D97}"/>
            </c:ext>
          </c:extLst>
        </c:ser>
        <c:ser>
          <c:idx val="1"/>
          <c:order val="1"/>
          <c:tx>
            <c:v>Total Debt</c:v>
          </c:tx>
          <c:spPr>
            <a:ln w="25000">
              <a:solidFill>
                <a:srgbClr val="E53935"/>
              </a:solidFill>
              <a:prstDash val="solid"/>
            </a:ln>
          </c:spPr>
          <c:marker>
            <c:symbol val="none"/>
          </c:marker>
          <c:cat>
            <c:strRef>
              <c:extLst>
                <c:ext xmlns:c15="http://schemas.microsoft.com/office/drawing/2012/chart" uri="{02D57815-91ED-43cb-92C2-25804820EDAC}">
                  <c15:fullRef>
                    <c15:sqref>Dashboard!$B$48:$F$48</c15:sqref>
                  </c15:fullRef>
                </c:ext>
              </c:extLst>
              <c:f>Dashboard!$B$48:$E$48</c:f>
              <c:strCache>
                <c:ptCount val="4"/>
                <c:pt idx="0">
                  <c:v>2023</c:v>
                </c:pt>
                <c:pt idx="1">
                  <c:v>2024</c:v>
                </c:pt>
                <c:pt idx="2">
                  <c:v>2025</c:v>
                </c:pt>
                <c:pt idx="3">
                  <c:v>2026</c:v>
                </c:pt>
              </c:strCache>
            </c:strRef>
          </c:cat>
          <c:val>
            <c:numRef>
              <c:extLst>
                <c:ext xmlns:c15="http://schemas.microsoft.com/office/drawing/2012/chart" uri="{02D57815-91ED-43cb-92C2-25804820EDAC}">
                  <c15:fullRef>
                    <c15:sqref>Dashboard!$B$57:$F$57</c15:sqref>
                  </c15:fullRef>
                </c:ext>
              </c:extLst>
              <c:f>Dashboard!$B$57:$E$57</c:f>
              <c:numCache>
                <c:formatCode>#,##0</c:formatCode>
                <c:ptCount val="4"/>
                <c:pt idx="0">
                  <c:v>58923000</c:v>
                </c:pt>
                <c:pt idx="1">
                  <c:v>61321000</c:v>
                </c:pt>
                <c:pt idx="2">
                  <c:v>60114000</c:v>
                </c:pt>
                <c:pt idx="3">
                  <c:v>67095000</c:v>
                </c:pt>
              </c:numCache>
            </c:numRef>
          </c:val>
          <c:smooth val="1"/>
          <c:extLst>
            <c:ext xmlns:c16="http://schemas.microsoft.com/office/drawing/2014/chart" uri="{C3380CC4-5D6E-409C-BE32-E72D297353CC}">
              <c16:uniqueId val="{00000001-9E02-4A57-9F9B-C71627AD0D97}"/>
            </c:ext>
          </c:extLst>
        </c:ser>
        <c:ser>
          <c:idx val="2"/>
          <c:order val="2"/>
          <c:tx>
            <c:v>Equity</c:v>
          </c:tx>
          <c:spPr>
            <a:ln w="25000">
              <a:solidFill>
                <a:srgbClr val="43A047"/>
              </a:solidFill>
              <a:prstDash val="solid"/>
            </a:ln>
          </c:spPr>
          <c:marker>
            <c:symbol val="none"/>
          </c:marker>
          <c:cat>
            <c:strRef>
              <c:extLst>
                <c:ext xmlns:c15="http://schemas.microsoft.com/office/drawing/2012/chart" uri="{02D57815-91ED-43cb-92C2-25804820EDAC}">
                  <c15:fullRef>
                    <c15:sqref>Dashboard!$B$48:$F$48</c15:sqref>
                  </c15:fullRef>
                </c:ext>
              </c:extLst>
              <c:f>Dashboard!$B$48:$E$48</c:f>
              <c:strCache>
                <c:ptCount val="4"/>
                <c:pt idx="0">
                  <c:v>2023</c:v>
                </c:pt>
                <c:pt idx="1">
                  <c:v>2024</c:v>
                </c:pt>
                <c:pt idx="2">
                  <c:v>2025</c:v>
                </c:pt>
                <c:pt idx="3">
                  <c:v>2026</c:v>
                </c:pt>
              </c:strCache>
            </c:strRef>
          </c:cat>
          <c:val>
            <c:numRef>
              <c:extLst>
                <c:ext xmlns:c15="http://schemas.microsoft.com/office/drawing/2012/chart" uri="{02D57815-91ED-43cb-92C2-25804820EDAC}">
                  <c15:fullRef>
                    <c15:sqref>Dashboard!$B$58:$F$58</c15:sqref>
                  </c15:fullRef>
                </c:ext>
              </c:extLst>
              <c:f>Dashboard!$B$58:$E$58</c:f>
              <c:numCache>
                <c:formatCode>#,##0</c:formatCode>
                <c:ptCount val="4"/>
                <c:pt idx="0">
                  <c:v>83991000</c:v>
                </c:pt>
                <c:pt idx="1">
                  <c:v>90571000</c:v>
                </c:pt>
                <c:pt idx="2">
                  <c:v>97692000</c:v>
                </c:pt>
                <c:pt idx="3">
                  <c:v>106180000</c:v>
                </c:pt>
              </c:numCache>
            </c:numRef>
          </c:val>
          <c:smooth val="1"/>
          <c:extLst>
            <c:ext xmlns:c16="http://schemas.microsoft.com/office/drawing/2014/chart" uri="{C3380CC4-5D6E-409C-BE32-E72D297353CC}">
              <c16:uniqueId val="{00000002-9E02-4A57-9F9B-C71627AD0D97}"/>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out"/>
        <c:minorTickMark val="none"/>
        <c:tickLblPos val="nextTo"/>
        <c:crossAx val="10"/>
        <c:crosses val="autoZero"/>
        <c:crossBetween val="between"/>
      </c:valAx>
    </c:plotArea>
    <c:legend>
      <c:legendPos val="r"/>
      <c:layout>
        <c:manualLayout>
          <c:xMode val="edge"/>
          <c:yMode val="edge"/>
          <c:x val="0.7755559260304189"/>
          <c:y val="0.30858296771944099"/>
          <c:w val="0.21358631066882111"/>
          <c:h val="0.33363308829938693"/>
        </c:manualLayout>
      </c:layout>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17066411106508"/>
          <c:y val="8.5477975730487266E-2"/>
          <c:w val="0.83406166140192228"/>
          <c:h val="0.82866884196543877"/>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numRef>
              <c:f>Calculations!$A$77:$A$138</c:f>
              <c:numCache>
                <c:formatCode>d\-mmm\-yy</c:formatCode>
                <c:ptCount val="62"/>
                <c:pt idx="0" formatCode="[$-409]d\-mmm\-yy;@">
                  <c:v>46105</c:v>
                </c:pt>
                <c:pt idx="1">
                  <c:v>46082</c:v>
                </c:pt>
                <c:pt idx="2">
                  <c:v>46054</c:v>
                </c:pt>
                <c:pt idx="3">
                  <c:v>46023</c:v>
                </c:pt>
                <c:pt idx="4">
                  <c:v>45992</c:v>
                </c:pt>
                <c:pt idx="5">
                  <c:v>45962</c:v>
                </c:pt>
                <c:pt idx="6">
                  <c:v>45931</c:v>
                </c:pt>
                <c:pt idx="7">
                  <c:v>45901</c:v>
                </c:pt>
                <c:pt idx="8">
                  <c:v>45870</c:v>
                </c:pt>
                <c:pt idx="9">
                  <c:v>45839</c:v>
                </c:pt>
                <c:pt idx="10">
                  <c:v>45809</c:v>
                </c:pt>
                <c:pt idx="11">
                  <c:v>45778</c:v>
                </c:pt>
                <c:pt idx="12">
                  <c:v>45748</c:v>
                </c:pt>
                <c:pt idx="13">
                  <c:v>45717</c:v>
                </c:pt>
                <c:pt idx="14">
                  <c:v>45689</c:v>
                </c:pt>
                <c:pt idx="15">
                  <c:v>45658</c:v>
                </c:pt>
                <c:pt idx="16">
                  <c:v>45627</c:v>
                </c:pt>
                <c:pt idx="17">
                  <c:v>45597</c:v>
                </c:pt>
                <c:pt idx="18">
                  <c:v>45566</c:v>
                </c:pt>
                <c:pt idx="19">
                  <c:v>45536</c:v>
                </c:pt>
                <c:pt idx="20">
                  <c:v>45505</c:v>
                </c:pt>
                <c:pt idx="21">
                  <c:v>45474</c:v>
                </c:pt>
                <c:pt idx="22">
                  <c:v>45444</c:v>
                </c:pt>
                <c:pt idx="23">
                  <c:v>45413</c:v>
                </c:pt>
                <c:pt idx="24">
                  <c:v>45383</c:v>
                </c:pt>
                <c:pt idx="25">
                  <c:v>45352</c:v>
                </c:pt>
                <c:pt idx="26">
                  <c:v>45323</c:v>
                </c:pt>
                <c:pt idx="27">
                  <c:v>45292</c:v>
                </c:pt>
                <c:pt idx="28">
                  <c:v>45261</c:v>
                </c:pt>
                <c:pt idx="29">
                  <c:v>45231</c:v>
                </c:pt>
                <c:pt idx="30">
                  <c:v>45200</c:v>
                </c:pt>
                <c:pt idx="31">
                  <c:v>45170</c:v>
                </c:pt>
                <c:pt idx="32">
                  <c:v>45139</c:v>
                </c:pt>
                <c:pt idx="33">
                  <c:v>45108</c:v>
                </c:pt>
                <c:pt idx="34">
                  <c:v>45078</c:v>
                </c:pt>
                <c:pt idx="35">
                  <c:v>45047</c:v>
                </c:pt>
                <c:pt idx="36">
                  <c:v>45017</c:v>
                </c:pt>
                <c:pt idx="37">
                  <c:v>44986</c:v>
                </c:pt>
                <c:pt idx="38">
                  <c:v>44958</c:v>
                </c:pt>
                <c:pt idx="39">
                  <c:v>44927</c:v>
                </c:pt>
                <c:pt idx="40">
                  <c:v>44896</c:v>
                </c:pt>
                <c:pt idx="41">
                  <c:v>44866</c:v>
                </c:pt>
                <c:pt idx="42">
                  <c:v>44835</c:v>
                </c:pt>
                <c:pt idx="43">
                  <c:v>44805</c:v>
                </c:pt>
                <c:pt idx="44">
                  <c:v>44774</c:v>
                </c:pt>
                <c:pt idx="45">
                  <c:v>44743</c:v>
                </c:pt>
                <c:pt idx="46">
                  <c:v>44713</c:v>
                </c:pt>
                <c:pt idx="47">
                  <c:v>44682</c:v>
                </c:pt>
                <c:pt idx="48">
                  <c:v>44652</c:v>
                </c:pt>
                <c:pt idx="49">
                  <c:v>44621</c:v>
                </c:pt>
                <c:pt idx="50">
                  <c:v>44593</c:v>
                </c:pt>
                <c:pt idx="51">
                  <c:v>44562</c:v>
                </c:pt>
                <c:pt idx="52">
                  <c:v>44531</c:v>
                </c:pt>
                <c:pt idx="53">
                  <c:v>44501</c:v>
                </c:pt>
                <c:pt idx="54">
                  <c:v>44470</c:v>
                </c:pt>
                <c:pt idx="55">
                  <c:v>44440</c:v>
                </c:pt>
                <c:pt idx="56">
                  <c:v>44409</c:v>
                </c:pt>
                <c:pt idx="57" formatCode="[$-409]d\-mmm\-yy;@">
                  <c:v>44378</c:v>
                </c:pt>
                <c:pt idx="58" formatCode="[$-409]d\-mmm\-yy;@">
                  <c:v>44348</c:v>
                </c:pt>
                <c:pt idx="59" formatCode="[$-409]d\-mmm\-yy;@">
                  <c:v>44317</c:v>
                </c:pt>
                <c:pt idx="60" formatCode="[$-409]d\-mmm\-yy;@">
                  <c:v>44287</c:v>
                </c:pt>
              </c:numCache>
            </c:numRef>
          </c:cat>
          <c:val>
            <c:numRef>
              <c:f>Calculations!$B$77:$B$138</c:f>
              <c:numCache>
                <c:formatCode>_("$"* #,##0.00_);_("$"* \(#,##0.00\);_("$"* "-"??_);_(@_)</c:formatCode>
                <c:ptCount val="62"/>
                <c:pt idx="0">
                  <c:v>123.63</c:v>
                </c:pt>
                <c:pt idx="1">
                  <c:v>118.78</c:v>
                </c:pt>
                <c:pt idx="2">
                  <c:v>127.69</c:v>
                </c:pt>
                <c:pt idx="3">
                  <c:v>118.9</c:v>
                </c:pt>
                <c:pt idx="4">
                  <c:v>110.96</c:v>
                </c:pt>
                <c:pt idx="5">
                  <c:v>110.06</c:v>
                </c:pt>
                <c:pt idx="6">
                  <c:v>100.77</c:v>
                </c:pt>
                <c:pt idx="7">
                  <c:v>102.64</c:v>
                </c:pt>
                <c:pt idx="8">
                  <c:v>96.36</c:v>
                </c:pt>
                <c:pt idx="9">
                  <c:v>97.35</c:v>
                </c:pt>
                <c:pt idx="10">
                  <c:v>97.15</c:v>
                </c:pt>
                <c:pt idx="11">
                  <c:v>97.85</c:v>
                </c:pt>
                <c:pt idx="12">
                  <c:v>96.39</c:v>
                </c:pt>
                <c:pt idx="13">
                  <c:v>86.78</c:v>
                </c:pt>
                <c:pt idx="14">
                  <c:v>97.48</c:v>
                </c:pt>
                <c:pt idx="15">
                  <c:v>97.03</c:v>
                </c:pt>
                <c:pt idx="16">
                  <c:v>89.11</c:v>
                </c:pt>
                <c:pt idx="17">
                  <c:v>91.23</c:v>
                </c:pt>
                <c:pt idx="18">
                  <c:v>80.83</c:v>
                </c:pt>
                <c:pt idx="19">
                  <c:v>79.64</c:v>
                </c:pt>
                <c:pt idx="20">
                  <c:v>75.959999999999994</c:v>
                </c:pt>
                <c:pt idx="21">
                  <c:v>67.510000000000005</c:v>
                </c:pt>
                <c:pt idx="22">
                  <c:v>66.59</c:v>
                </c:pt>
                <c:pt idx="23">
                  <c:v>64.45</c:v>
                </c:pt>
                <c:pt idx="24">
                  <c:v>58.17</c:v>
                </c:pt>
                <c:pt idx="25">
                  <c:v>58.77</c:v>
                </c:pt>
                <c:pt idx="26">
                  <c:v>57.25</c:v>
                </c:pt>
                <c:pt idx="27">
                  <c:v>53.8</c:v>
                </c:pt>
                <c:pt idx="28">
                  <c:v>51.14</c:v>
                </c:pt>
                <c:pt idx="29">
                  <c:v>50.5</c:v>
                </c:pt>
                <c:pt idx="30">
                  <c:v>53.01</c:v>
                </c:pt>
                <c:pt idx="31">
                  <c:v>51.88</c:v>
                </c:pt>
                <c:pt idx="32">
                  <c:v>52.56</c:v>
                </c:pt>
                <c:pt idx="33">
                  <c:v>51.67</c:v>
                </c:pt>
                <c:pt idx="34">
                  <c:v>50.81</c:v>
                </c:pt>
                <c:pt idx="35">
                  <c:v>47.29</c:v>
                </c:pt>
                <c:pt idx="36">
                  <c:v>48.61</c:v>
                </c:pt>
                <c:pt idx="37">
                  <c:v>47.29</c:v>
                </c:pt>
                <c:pt idx="38">
                  <c:v>45.58</c:v>
                </c:pt>
                <c:pt idx="39">
                  <c:v>46.14</c:v>
                </c:pt>
                <c:pt idx="40">
                  <c:v>45.3</c:v>
                </c:pt>
                <c:pt idx="41">
                  <c:v>48.7</c:v>
                </c:pt>
                <c:pt idx="42">
                  <c:v>45.47</c:v>
                </c:pt>
                <c:pt idx="43">
                  <c:v>41.44</c:v>
                </c:pt>
                <c:pt idx="44">
                  <c:v>42.17</c:v>
                </c:pt>
                <c:pt idx="45">
                  <c:v>42.01</c:v>
                </c:pt>
                <c:pt idx="46">
                  <c:v>38.68</c:v>
                </c:pt>
                <c:pt idx="47">
                  <c:v>40.770000000000003</c:v>
                </c:pt>
                <c:pt idx="48">
                  <c:v>48.49</c:v>
                </c:pt>
                <c:pt idx="49">
                  <c:v>47.02</c:v>
                </c:pt>
                <c:pt idx="50">
                  <c:v>42.68</c:v>
                </c:pt>
                <c:pt idx="51">
                  <c:v>44.14</c:v>
                </c:pt>
                <c:pt idx="52">
                  <c:v>45.5</c:v>
                </c:pt>
                <c:pt idx="53">
                  <c:v>44.22</c:v>
                </c:pt>
                <c:pt idx="54">
                  <c:v>46.99</c:v>
                </c:pt>
                <c:pt idx="55">
                  <c:v>43.83</c:v>
                </c:pt>
                <c:pt idx="56">
                  <c:v>46.4</c:v>
                </c:pt>
                <c:pt idx="57">
                  <c:v>44.66</c:v>
                </c:pt>
                <c:pt idx="58">
                  <c:v>44.18</c:v>
                </c:pt>
                <c:pt idx="59">
                  <c:v>44.33</c:v>
                </c:pt>
                <c:pt idx="60">
                  <c:v>43.67</c:v>
                </c:pt>
              </c:numCache>
            </c:numRef>
          </c:val>
          <c:smooth val="0"/>
          <c:extLst>
            <c:ext xmlns:c16="http://schemas.microsoft.com/office/drawing/2014/chart" uri="{C3380CC4-5D6E-409C-BE32-E72D297353CC}">
              <c16:uniqueId val="{00000000-3DD6-4F25-9D00-1F7B1BC676C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921070272"/>
        <c:axId val="921070752"/>
      </c:lineChart>
      <c:dateAx>
        <c:axId val="921070272"/>
        <c:scaling>
          <c:orientation val="minMax"/>
          <c:min val="44197"/>
        </c:scaling>
        <c:delete val="0"/>
        <c:axPos val="b"/>
        <c:numFmt formatCode="yyyy" sourceLinked="0"/>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21070752"/>
        <c:crosses val="autoZero"/>
        <c:auto val="0"/>
        <c:lblOffset val="100"/>
        <c:baseTimeUnit val="days"/>
        <c:majorUnit val="1"/>
        <c:majorTimeUnit val="years"/>
        <c:minorUnit val="122"/>
        <c:minorTimeUnit val="years"/>
      </c:dateAx>
      <c:valAx>
        <c:axId val="921070752"/>
        <c:scaling>
          <c:orientation val="minMax"/>
        </c:scaling>
        <c:delete val="0"/>
        <c:axPos val="l"/>
        <c:majorGridlines>
          <c:spPr>
            <a:ln w="9525" cap="flat" cmpd="sng" algn="ctr">
              <a:solidFill>
                <a:schemeClr val="lt1">
                  <a:alpha val="2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1070272"/>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Monte Carlo DCF Intrinsic</a:t>
            </a:r>
            <a:r>
              <a:rPr lang="en-US" baseline="0"/>
              <a:t> Value Distributions </a:t>
            </a:r>
            <a:endParaRPr lang="en-US"/>
          </a:p>
        </c:rich>
      </c:tx>
      <c:layout>
        <c:manualLayout>
          <c:xMode val="edge"/>
          <c:yMode val="edge"/>
          <c:x val="0.25159463940251237"/>
          <c:y val="2.1923804751752103E-2"/>
        </c:manualLayout>
      </c:layout>
      <c:overlay val="0"/>
    </c:title>
    <c:autoTitleDeleted val="0"/>
    <c:plotArea>
      <c:layout>
        <c:manualLayout>
          <c:layoutTarget val="inner"/>
          <c:xMode val="edge"/>
          <c:yMode val="edge"/>
          <c:x val="0.16127600584395682"/>
          <c:y val="0.21019417475728155"/>
          <c:w val="0.80325482201366072"/>
          <c:h val="0.71196875875952403"/>
        </c:manualLayout>
      </c:layout>
      <c:barChart>
        <c:barDir val="bar"/>
        <c:grouping val="clustered"/>
        <c:varyColors val="1"/>
        <c:ser>
          <c:idx val="0"/>
          <c:order val="0"/>
          <c:spPr>
            <a:solidFill>
              <a:srgbClr val="1F4E79"/>
            </a:solidFill>
            <a:ln>
              <a:prstDash val="solid"/>
            </a:ln>
          </c:spPr>
          <c:invertIfNegative val="1"/>
          <c:cat>
            <c:strRef>
              <c:f>Valuation!$G$152:$G$171</c:f>
              <c:strCache>
                <c:ptCount val="20"/>
                <c:pt idx="0">
                  <c:v>$24-$34</c:v>
                </c:pt>
                <c:pt idx="1">
                  <c:v>$34-$44</c:v>
                </c:pt>
                <c:pt idx="2">
                  <c:v>$44-$54</c:v>
                </c:pt>
                <c:pt idx="3">
                  <c:v>$54-$64</c:v>
                </c:pt>
                <c:pt idx="4">
                  <c:v>$64-$74</c:v>
                </c:pt>
                <c:pt idx="5">
                  <c:v>$74-$85</c:v>
                </c:pt>
                <c:pt idx="6">
                  <c:v>$85-$95</c:v>
                </c:pt>
                <c:pt idx="7">
                  <c:v>$95-$105</c:v>
                </c:pt>
                <c:pt idx="8">
                  <c:v>$105-$115</c:v>
                </c:pt>
                <c:pt idx="9">
                  <c:v>$115-$125</c:v>
                </c:pt>
                <c:pt idx="10">
                  <c:v>$125-$135</c:v>
                </c:pt>
                <c:pt idx="11">
                  <c:v>$135-$145</c:v>
                </c:pt>
                <c:pt idx="12">
                  <c:v>$145-$155</c:v>
                </c:pt>
                <c:pt idx="13">
                  <c:v>$155-$165</c:v>
                </c:pt>
                <c:pt idx="14">
                  <c:v>$165-$175</c:v>
                </c:pt>
                <c:pt idx="15">
                  <c:v>$175-$185</c:v>
                </c:pt>
                <c:pt idx="16">
                  <c:v>$185-$195</c:v>
                </c:pt>
                <c:pt idx="17">
                  <c:v>$195-$205</c:v>
                </c:pt>
                <c:pt idx="18">
                  <c:v>$205-$216</c:v>
                </c:pt>
                <c:pt idx="19">
                  <c:v>$216-$226</c:v>
                </c:pt>
              </c:strCache>
            </c:strRef>
          </c:cat>
          <c:val>
            <c:numRef>
              <c:f>Valuation!$H$152:$H$171</c:f>
              <c:numCache>
                <c:formatCode>0</c:formatCode>
                <c:ptCount val="20"/>
                <c:pt idx="0">
                  <c:v>58</c:v>
                </c:pt>
                <c:pt idx="1">
                  <c:v>72</c:v>
                </c:pt>
                <c:pt idx="2">
                  <c:v>58</c:v>
                </c:pt>
                <c:pt idx="3">
                  <c:v>67</c:v>
                </c:pt>
                <c:pt idx="4">
                  <c:v>55</c:v>
                </c:pt>
                <c:pt idx="5">
                  <c:v>67</c:v>
                </c:pt>
                <c:pt idx="6">
                  <c:v>53</c:v>
                </c:pt>
                <c:pt idx="7">
                  <c:v>54</c:v>
                </c:pt>
                <c:pt idx="8">
                  <c:v>48</c:v>
                </c:pt>
                <c:pt idx="9">
                  <c:v>43</c:v>
                </c:pt>
                <c:pt idx="10">
                  <c:v>38</c:v>
                </c:pt>
                <c:pt idx="11">
                  <c:v>29</c:v>
                </c:pt>
                <c:pt idx="12">
                  <c:v>29</c:v>
                </c:pt>
                <c:pt idx="13">
                  <c:v>29</c:v>
                </c:pt>
                <c:pt idx="14">
                  <c:v>32</c:v>
                </c:pt>
                <c:pt idx="15">
                  <c:v>14</c:v>
                </c:pt>
                <c:pt idx="16">
                  <c:v>12</c:v>
                </c:pt>
                <c:pt idx="17">
                  <c:v>8</c:v>
                </c:pt>
                <c:pt idx="18">
                  <c:v>17</c:v>
                </c:pt>
                <c:pt idx="19">
                  <c:v>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6A8-42F3-A8DB-424043AD09EE}"/>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b"/>
        <c:majorGridlines/>
        <c:numFmt formatCode="0"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Monte Carlo Intrinsic</a:t>
            </a:r>
            <a:r>
              <a:rPr lang="en-US" baseline="0"/>
              <a:t> Value Distributions </a:t>
            </a:r>
            <a:endParaRPr lang="en-US"/>
          </a:p>
        </c:rich>
      </c:tx>
      <c:layout>
        <c:manualLayout>
          <c:xMode val="edge"/>
          <c:yMode val="edge"/>
          <c:x val="0.14944242697484053"/>
          <c:y val="2.192378705824961E-2"/>
        </c:manualLayout>
      </c:layout>
      <c:overlay val="0"/>
    </c:title>
    <c:autoTitleDeleted val="0"/>
    <c:plotArea>
      <c:layout/>
      <c:barChart>
        <c:barDir val="bar"/>
        <c:grouping val="clustered"/>
        <c:varyColors val="1"/>
        <c:ser>
          <c:idx val="0"/>
          <c:order val="0"/>
          <c:spPr>
            <a:solidFill>
              <a:srgbClr val="1F4E79"/>
            </a:solidFill>
            <a:ln>
              <a:prstDash val="solid"/>
            </a:ln>
          </c:spPr>
          <c:invertIfNegative val="1"/>
          <c:cat>
            <c:strRef>
              <c:f>Valuation!$G$152:$G$171</c:f>
              <c:strCache>
                <c:ptCount val="20"/>
                <c:pt idx="0">
                  <c:v>$24-$34</c:v>
                </c:pt>
                <c:pt idx="1">
                  <c:v>$34-$44</c:v>
                </c:pt>
                <c:pt idx="2">
                  <c:v>$44-$54</c:v>
                </c:pt>
                <c:pt idx="3">
                  <c:v>$54-$64</c:v>
                </c:pt>
                <c:pt idx="4">
                  <c:v>$64-$74</c:v>
                </c:pt>
                <c:pt idx="5">
                  <c:v>$74-$85</c:v>
                </c:pt>
                <c:pt idx="6">
                  <c:v>$85-$95</c:v>
                </c:pt>
                <c:pt idx="7">
                  <c:v>$95-$105</c:v>
                </c:pt>
                <c:pt idx="8">
                  <c:v>$105-$115</c:v>
                </c:pt>
                <c:pt idx="9">
                  <c:v>$115-$125</c:v>
                </c:pt>
                <c:pt idx="10">
                  <c:v>$125-$135</c:v>
                </c:pt>
                <c:pt idx="11">
                  <c:v>$135-$145</c:v>
                </c:pt>
                <c:pt idx="12">
                  <c:v>$145-$155</c:v>
                </c:pt>
                <c:pt idx="13">
                  <c:v>$155-$165</c:v>
                </c:pt>
                <c:pt idx="14">
                  <c:v>$165-$175</c:v>
                </c:pt>
                <c:pt idx="15">
                  <c:v>$175-$185</c:v>
                </c:pt>
                <c:pt idx="16">
                  <c:v>$185-$195</c:v>
                </c:pt>
                <c:pt idx="17">
                  <c:v>$195-$205</c:v>
                </c:pt>
                <c:pt idx="18">
                  <c:v>$205-$216</c:v>
                </c:pt>
                <c:pt idx="19">
                  <c:v>$216-$226</c:v>
                </c:pt>
              </c:strCache>
            </c:strRef>
          </c:cat>
          <c:val>
            <c:numRef>
              <c:f>Valuation!$H$152:$H$171</c:f>
              <c:numCache>
                <c:formatCode>0</c:formatCode>
                <c:ptCount val="20"/>
                <c:pt idx="0">
                  <c:v>58</c:v>
                </c:pt>
                <c:pt idx="1">
                  <c:v>72</c:v>
                </c:pt>
                <c:pt idx="2">
                  <c:v>58</c:v>
                </c:pt>
                <c:pt idx="3">
                  <c:v>67</c:v>
                </c:pt>
                <c:pt idx="4">
                  <c:v>55</c:v>
                </c:pt>
                <c:pt idx="5">
                  <c:v>67</c:v>
                </c:pt>
                <c:pt idx="6">
                  <c:v>53</c:v>
                </c:pt>
                <c:pt idx="7">
                  <c:v>54</c:v>
                </c:pt>
                <c:pt idx="8">
                  <c:v>48</c:v>
                </c:pt>
                <c:pt idx="9">
                  <c:v>43</c:v>
                </c:pt>
                <c:pt idx="10">
                  <c:v>38</c:v>
                </c:pt>
                <c:pt idx="11">
                  <c:v>29</c:v>
                </c:pt>
                <c:pt idx="12">
                  <c:v>29</c:v>
                </c:pt>
                <c:pt idx="13">
                  <c:v>29</c:v>
                </c:pt>
                <c:pt idx="14">
                  <c:v>32</c:v>
                </c:pt>
                <c:pt idx="15">
                  <c:v>14</c:v>
                </c:pt>
                <c:pt idx="16">
                  <c:v>12</c:v>
                </c:pt>
                <c:pt idx="17">
                  <c:v>8</c:v>
                </c:pt>
                <c:pt idx="18">
                  <c:v>17</c:v>
                </c:pt>
                <c:pt idx="19">
                  <c:v>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136-4D13-8D85-701DEA75DA8E}"/>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b"/>
        <c:majorGridlines/>
        <c:numFmt formatCode="0"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9</xdr:col>
      <xdr:colOff>937260</xdr:colOff>
      <xdr:row>6</xdr:row>
      <xdr:rowOff>205740</xdr:rowOff>
    </xdr:from>
    <xdr:ext cx="5745480" cy="177546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19</xdr:row>
      <xdr:rowOff>261399</xdr:rowOff>
    </xdr:from>
    <xdr:ext cx="3870960" cy="2702781"/>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30480</xdr:colOff>
      <xdr:row>3</xdr:row>
      <xdr:rowOff>15240</xdr:rowOff>
    </xdr:from>
    <xdr:ext cx="4693920" cy="2286000"/>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xdr:col>
      <xdr:colOff>38100</xdr:colOff>
      <xdr:row>22</xdr:row>
      <xdr:rowOff>114300</xdr:rowOff>
    </xdr:from>
    <xdr:ext cx="4617720" cy="2125980"/>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3</xdr:col>
      <xdr:colOff>7620</xdr:colOff>
      <xdr:row>13</xdr:row>
      <xdr:rowOff>83820</xdr:rowOff>
    </xdr:from>
    <xdr:ext cx="4678680" cy="2065020"/>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twoCellAnchor>
    <xdr:from>
      <xdr:col>6</xdr:col>
      <xdr:colOff>22860</xdr:colOff>
      <xdr:row>3</xdr:row>
      <xdr:rowOff>0</xdr:rowOff>
    </xdr:from>
    <xdr:to>
      <xdr:col>9</xdr:col>
      <xdr:colOff>982980</xdr:colOff>
      <xdr:row>15</xdr:row>
      <xdr:rowOff>198120</xdr:rowOff>
    </xdr:to>
    <xdr:graphicFrame macro="">
      <xdr:nvGraphicFramePr>
        <xdr:cNvPr id="9" name="Chart 8">
          <a:extLst>
            <a:ext uri="{FF2B5EF4-FFF2-40B4-BE49-F238E27FC236}">
              <a16:creationId xmlns:a16="http://schemas.microsoft.com/office/drawing/2014/main" id="{D905721E-0885-4629-8250-A87C354FF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1028700</xdr:colOff>
      <xdr:row>15</xdr:row>
      <xdr:rowOff>220980</xdr:rowOff>
    </xdr:from>
    <xdr:ext cx="3558540" cy="3627120"/>
    <xdr:graphicFrame macro="">
      <xdr:nvGraphicFramePr>
        <xdr:cNvPr id="2" name="Chart 1">
          <a:extLst>
            <a:ext uri="{FF2B5EF4-FFF2-40B4-BE49-F238E27FC236}">
              <a16:creationId xmlns:a16="http://schemas.microsoft.com/office/drawing/2014/main" id="{14626D4A-BC27-4AC9-B0B5-5F23E5CD3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73107</xdr:colOff>
      <xdr:row>143</xdr:row>
      <xdr:rowOff>9070</xdr:rowOff>
    </xdr:from>
    <xdr:ext cx="5678180" cy="5107216"/>
    <xdr:graphicFrame macro="">
      <xdr:nvGraphicFramePr>
        <xdr:cNvPr id="3" name="Chart 2">
          <a:extLst>
            <a:ext uri="{FF2B5EF4-FFF2-40B4-BE49-F238E27FC236}">
              <a16:creationId xmlns:a16="http://schemas.microsoft.com/office/drawing/2014/main" id="{8315EBD7-646C-4029-AF42-6862D0EBA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1</xdr:col>
      <xdr:colOff>12700</xdr:colOff>
      <xdr:row>21</xdr:row>
      <xdr:rowOff>12700</xdr:rowOff>
    </xdr:to>
    <xdr:pic>
      <xdr:nvPicPr>
        <xdr:cNvPr id="7" name="Picture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55800" y="2051050"/>
          <a:ext cx="12700" cy="12700"/>
        </a:xfrm>
        <a:prstGeom prst="rect">
          <a:avLst/>
        </a:prstGeom>
        <a:noFill/>
        <a:ln>
          <a:prstDash val="solid"/>
        </a:ln>
      </xdr:spPr>
    </xdr:pic>
    <xdr:clientData/>
  </xdr:twoCellAnchor>
</xdr:wsDr>
</file>

<file path=xl/persons/person.xml><?xml version="1.0" encoding="utf-8"?>
<personList xmlns="http://schemas.microsoft.com/office/spreadsheetml/2018/threadedcomments" xmlns:x="http://schemas.openxmlformats.org/spreadsheetml/2006/main">
  <person displayName="Dang, Kevin" id="{85FB4F65-2633-4FAE-A1F9-8738C3AB5008}" userId="S::Kevin.Dang@Nebraska.gov::784e6f80-0b2a-41e1-89a6-6a7fb594ad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79" dT="2026-04-03T19:54:08.93" personId="{85FB4F65-2633-4FAE-A1F9-8738C3AB5008}" id="{2EDE0418-4B8F-4A53-975D-5D1C3F91469F}">
    <text>The referenced data from Data Schema tab are absolute references, if any changes are made to the original cells in the Data Schema, it will be necessary to update the formula</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8"/>
  <sheetViews>
    <sheetView zoomScaleNormal="100" workbookViewId="0">
      <selection activeCell="F34" sqref="F34"/>
    </sheetView>
  </sheetViews>
  <sheetFormatPr defaultColWidth="8.85546875" defaultRowHeight="14.45"/>
  <cols>
    <col min="1" max="1" width="27" bestFit="1" customWidth="1"/>
    <col min="2" max="2" width="10.85546875" bestFit="1" customWidth="1"/>
    <col min="3" max="3" width="18" customWidth="1"/>
    <col min="4" max="4" width="28.140625" bestFit="1" customWidth="1"/>
    <col min="5" max="5" width="18" customWidth="1"/>
    <col min="6" max="6" width="22" customWidth="1"/>
    <col min="7" max="7" width="22.85546875" customWidth="1"/>
    <col min="8" max="8" width="13.5703125" customWidth="1"/>
    <col min="9" max="9" width="17.140625" customWidth="1"/>
    <col min="10" max="10" width="14.7109375" bestFit="1" customWidth="1"/>
    <col min="11" max="11" width="16.7109375" customWidth="1"/>
    <col min="12" max="12" width="15.28515625" bestFit="1" customWidth="1"/>
    <col min="13" max="13" width="25.7109375" customWidth="1"/>
    <col min="14" max="14" width="10.85546875" bestFit="1" customWidth="1"/>
    <col min="15" max="15" width="15.28515625" bestFit="1" customWidth="1"/>
    <col min="16" max="16" width="17.7109375" bestFit="1" customWidth="1"/>
    <col min="17" max="17" width="16.28515625" bestFit="1" customWidth="1"/>
  </cols>
  <sheetData>
    <row r="1" spans="1:15" ht="21.6" thickBot="1">
      <c r="A1" s="541" t="s">
        <v>0</v>
      </c>
      <c r="B1" s="542"/>
      <c r="C1" s="542"/>
      <c r="D1" s="542"/>
      <c r="E1" s="542"/>
      <c r="F1" s="542"/>
      <c r="G1" s="542"/>
      <c r="H1" s="542"/>
      <c r="I1" s="542"/>
      <c r="J1" s="542"/>
      <c r="K1" s="542"/>
      <c r="L1" s="542"/>
      <c r="M1" s="542"/>
      <c r="N1" s="542"/>
      <c r="O1" s="543"/>
    </row>
    <row r="2" spans="1:15" ht="21.6" thickBot="1">
      <c r="A2" s="555" t="s">
        <v>1</v>
      </c>
      <c r="B2" s="555"/>
      <c r="C2" s="555" t="str">
        <f>Analysis!$B$2</f>
        <v>WMT</v>
      </c>
      <c r="D2" s="519" t="s">
        <v>2</v>
      </c>
      <c r="E2" s="544">
        <f>Valuation!F29</f>
        <v>123.63</v>
      </c>
      <c r="F2" s="545"/>
      <c r="G2" s="559" t="s">
        <v>3</v>
      </c>
      <c r="H2" s="560"/>
      <c r="I2" s="561" t="str">
        <f>IFERROR(IF(H20&gt;0.25,"STRONG BUY",IF(H20&gt;0.1,"BUY",IF(H20&gt;-0.1,"HOLD",IF(H20&gt;-0.25,"SELL","STRONG SELL")))),"N/A")</f>
        <v>STRONG SELL</v>
      </c>
      <c r="J2" s="562"/>
      <c r="K2" s="546" t="s">
        <v>4</v>
      </c>
      <c r="L2" s="546"/>
      <c r="M2" s="546"/>
      <c r="N2" s="546"/>
      <c r="O2" s="546"/>
    </row>
    <row r="3" spans="1:15" ht="21.6" thickBot="1">
      <c r="A3" s="555"/>
      <c r="B3" s="555"/>
      <c r="C3" s="555"/>
      <c r="D3" s="520" t="s">
        <v>5</v>
      </c>
      <c r="E3" s="576">
        <f>Calculations!C16</f>
        <v>991759860</v>
      </c>
      <c r="F3" s="577"/>
      <c r="G3" s="571" t="s">
        <v>6</v>
      </c>
      <c r="H3" s="572"/>
      <c r="I3" s="569">
        <f>'Raw Data Pasting'!E4</f>
        <v>46105</v>
      </c>
      <c r="J3" s="570"/>
      <c r="K3" s="518" t="s">
        <v>7</v>
      </c>
      <c r="L3" s="450" t="s">
        <v>8</v>
      </c>
      <c r="M3" s="450" t="s">
        <v>9</v>
      </c>
      <c r="N3" s="450" t="s">
        <v>10</v>
      </c>
      <c r="O3" s="450" t="s">
        <v>11</v>
      </c>
    </row>
    <row r="4" spans="1:15" ht="18.600000000000001" thickBot="1">
      <c r="A4" s="573" t="s">
        <v>12</v>
      </c>
      <c r="B4" s="574"/>
      <c r="C4" s="575"/>
      <c r="K4" s="456" t="s">
        <v>13</v>
      </c>
      <c r="L4" s="457">
        <f>Valuation!K48</f>
        <v>9.251981332464295</v>
      </c>
      <c r="M4" s="458">
        <f>Valuation!K49</f>
        <v>-0.92516394619053388</v>
      </c>
      <c r="N4" s="458">
        <f>Valuation!K50</f>
        <v>-0.40458170371100011</v>
      </c>
      <c r="O4" s="458">
        <f>Valuation!K51</f>
        <v>-0.92516394619053388</v>
      </c>
    </row>
    <row r="5" spans="1:15" ht="18">
      <c r="A5" s="515" t="s">
        <v>14</v>
      </c>
      <c r="B5" s="516">
        <f>Calculations!C50</f>
        <v>45.285714285714285</v>
      </c>
      <c r="C5" s="517" t="str">
        <f>IFERROR("Rating: "&amp;TEXT(Analysis!E38,"0.0")&amp;" / 5.0","N/A")</f>
        <v>Rating: 1.0 / 5.0</v>
      </c>
      <c r="K5" s="459" t="s">
        <v>15</v>
      </c>
      <c r="L5" s="443">
        <f>Valuation!J48</f>
        <v>85.30831348406727</v>
      </c>
      <c r="M5" s="460">
        <f>Valuation!J49</f>
        <v>-0.309970771786239</v>
      </c>
      <c r="N5" s="460">
        <f>Valuation!J50</f>
        <v>-7.1517981456046487E-2</v>
      </c>
      <c r="O5" s="460">
        <f>Valuation!J51</f>
        <v>-0.309970771786239</v>
      </c>
    </row>
    <row r="6" spans="1:15" ht="18">
      <c r="A6" s="500" t="s">
        <v>16</v>
      </c>
      <c r="B6" s="452">
        <f>Analysis!B21</f>
        <v>0.63189866264833305</v>
      </c>
      <c r="C6" s="501" t="str">
        <f>IFERROR("Rating: "&amp;TEXT(Analysis!F21,"0.0")&amp;" / 5.0","N/A")</f>
        <v>Rating: 3.5 / 5.0</v>
      </c>
      <c r="K6" s="461" t="s">
        <v>17</v>
      </c>
      <c r="L6" s="462">
        <f>Valuation!I48</f>
        <v>265.43046394032945</v>
      </c>
      <c r="M6" s="463">
        <f>Valuation!I49</f>
        <v>1.1469745526193436</v>
      </c>
      <c r="N6" s="463">
        <f>Valuation!I50</f>
        <v>0.16510584067916056</v>
      </c>
      <c r="O6" s="463">
        <f>Valuation!I51</f>
        <v>1.1469745526193438</v>
      </c>
    </row>
    <row r="7" spans="1:15" ht="18">
      <c r="A7" s="500" t="s">
        <v>18</v>
      </c>
      <c r="B7" s="451">
        <f>'Data Schema'!B49</f>
        <v>21.63</v>
      </c>
      <c r="C7" s="501" t="str">
        <f>IFERROR("Rating: "&amp;TEXT(Analysis!E41,"0.0")&amp;" / 5.0","N/A")</f>
        <v>Rating: 1.0 / 5.0</v>
      </c>
      <c r="K7" s="464" t="s">
        <v>19</v>
      </c>
      <c r="L7" s="444">
        <f ca="1">Valuation!B159</f>
        <v>96.290975802638513</v>
      </c>
      <c r="M7" s="460">
        <f ca="1">IFERROR((Valuation!B159-Valuation!F29)/Valuation!F29,0)</f>
        <v>-0.22113584241172438</v>
      </c>
      <c r="N7" s="460">
        <f>IFERROR((Valuation!J145/Valuation!F29)^(1/5)-1,0)</f>
        <v>-1</v>
      </c>
      <c r="O7" s="460">
        <f>IFERROR(Valuation!J145/Valuation!F29-1,0)</f>
        <v>-1</v>
      </c>
    </row>
    <row r="8" spans="1:15" ht="18">
      <c r="A8" s="500" t="s">
        <v>20</v>
      </c>
      <c r="B8" s="452">
        <f>Analysis!B15</f>
        <v>0.78975332421442468</v>
      </c>
      <c r="C8" s="501" t="str">
        <f>IFERROR("Rating: "&amp;TEXT(Analysis!F15,"0.0")&amp;" / 5.0","N/A")</f>
        <v>Rating: 2.5 / 5.0</v>
      </c>
    </row>
    <row r="9" spans="1:15" ht="18">
      <c r="A9" s="500" t="s">
        <v>21</v>
      </c>
      <c r="B9" s="453">
        <f>Analysis!B9</f>
        <v>0.20618760595215671</v>
      </c>
      <c r="C9" s="501" t="str">
        <f>IFERROR("Rating: "&amp;TEXT(Analysis!F9,"0.0")&amp;" / 5.0","N/A")</f>
        <v>Rating: 5.0 / 5.0</v>
      </c>
    </row>
    <row r="10" spans="1:15" ht="18">
      <c r="A10" s="500" t="s">
        <v>22</v>
      </c>
      <c r="B10" s="453">
        <f>Analysis!B7</f>
        <v>4.5246318162888426E-2</v>
      </c>
      <c r="C10" s="501" t="str">
        <f>IFERROR("Rating: "&amp;TEXT(Analysis!F7,"0.0")&amp;" / 5.0","N/A")</f>
        <v>Rating: 3.5 / 5.0</v>
      </c>
    </row>
    <row r="11" spans="1:15" ht="14.45" customHeight="1">
      <c r="A11" s="500" t="s">
        <v>23</v>
      </c>
      <c r="B11" s="453">
        <f>Analysis!B11</f>
        <v>0.15001864422379119</v>
      </c>
      <c r="C11" s="501" t="str">
        <f>IFERROR("Rating: "&amp;TEXT(Analysis!F11,"0.0")&amp;" / 5.0","N/A")</f>
        <v>Rating: 5.0 / 5.0</v>
      </c>
    </row>
    <row r="12" spans="1:15" ht="18.600000000000001" thickBot="1">
      <c r="A12" s="509" t="s">
        <v>24</v>
      </c>
      <c r="B12" s="510">
        <f>Analysis!B32</f>
        <v>4.7252142117667706E-2</v>
      </c>
      <c r="C12" s="511" t="str">
        <f>IFERROR("Rating: "&amp;TEXT(Analysis!F32,"0.0")&amp;" / 5.0","N/A")</f>
        <v>Rating: 1.5 / 5.0</v>
      </c>
    </row>
    <row r="13" spans="1:15" ht="15" thickBot="1">
      <c r="A13" s="563" t="s">
        <v>25</v>
      </c>
      <c r="B13" s="564"/>
      <c r="C13" s="565"/>
    </row>
    <row r="14" spans="1:15" ht="18" customHeight="1">
      <c r="A14" s="512" t="s">
        <v>26</v>
      </c>
      <c r="B14" s="513">
        <f>Analysis!F12</f>
        <v>4.166666666666667</v>
      </c>
      <c r="C14" s="514" t="str">
        <f t="shared" ref="C14:C19" si="0">IFERROR(REPT("█",ROUND(B14,0))&amp;REPT("░",5-ROUND(B14,0))&amp;"  "&amp;TEXT(B14,"0.0")&amp;" / 5.0","N/A")</f>
        <v>████░  4.2 / 5.0</v>
      </c>
    </row>
    <row r="15" spans="1:15" ht="18">
      <c r="A15" s="503" t="s">
        <v>27</v>
      </c>
      <c r="B15" s="455">
        <f>Analysis!F18</f>
        <v>2.1666666666666665</v>
      </c>
      <c r="C15" s="504" t="str">
        <f t="shared" si="0"/>
        <v>██░░░  2.2 / 5.0</v>
      </c>
    </row>
    <row r="16" spans="1:15" ht="18.600000000000001" thickBot="1">
      <c r="A16" s="502" t="s">
        <v>28</v>
      </c>
      <c r="B16" s="454">
        <f>Analysis!F24</f>
        <v>4</v>
      </c>
      <c r="C16" s="505" t="str">
        <f t="shared" si="0"/>
        <v>████░  4.0 / 5.0</v>
      </c>
      <c r="K16" s="553" t="s">
        <v>29</v>
      </c>
      <c r="L16" s="554"/>
      <c r="M16" s="554"/>
      <c r="N16" s="554"/>
      <c r="O16" s="554"/>
    </row>
    <row r="17" spans="1:12" ht="18">
      <c r="A17" s="503" t="s">
        <v>30</v>
      </c>
      <c r="B17" s="455">
        <f>Analysis!F29</f>
        <v>3.25</v>
      </c>
      <c r="C17" s="504" t="str">
        <f t="shared" si="0"/>
        <v>███░░  3.3 / 5.0</v>
      </c>
      <c r="G17" s="556" t="s">
        <v>31</v>
      </c>
      <c r="H17" s="557"/>
      <c r="I17" s="557"/>
      <c r="J17" s="558"/>
      <c r="K17" s="547" t="str">
        <f ca="1">Valuation!A174</f>
        <v>Based on 1000 simulations with constraints, 795 valid scenarios were analyzed. There is a 27.7% chance that the intrinsic value exceeds the current market price of $123.63. The 80% confidence interval is $36.89 to $167.96.</v>
      </c>
      <c r="L17" s="548"/>
    </row>
    <row r="18" spans="1:12" ht="18.600000000000001" thickBot="1">
      <c r="A18" s="502" t="s">
        <v>32</v>
      </c>
      <c r="B18" s="454">
        <f>Analysis!F35</f>
        <v>2.3333333333333335</v>
      </c>
      <c r="C18" s="505" t="str">
        <f t="shared" si="0"/>
        <v>██░░░  2.3 / 5.0</v>
      </c>
      <c r="G18" s="477" t="s">
        <v>33</v>
      </c>
      <c r="H18" s="472">
        <f>Valuation!F28</f>
        <v>85.30831348406727</v>
      </c>
      <c r="I18" s="471" t="s">
        <v>34</v>
      </c>
      <c r="J18" s="478">
        <f>IF(Valuation!F100="On",Valuation!D106,"Off")</f>
        <v>76.106155893357737</v>
      </c>
      <c r="K18" s="549"/>
      <c r="L18" s="550"/>
    </row>
    <row r="19" spans="1:12" ht="16.149999999999999" customHeight="1" thickBot="1">
      <c r="A19" s="506" t="s">
        <v>35</v>
      </c>
      <c r="B19" s="507">
        <f>Analysis!E43</f>
        <v>1</v>
      </c>
      <c r="C19" s="508" t="str">
        <f t="shared" si="0"/>
        <v>█░░░░  1.0 / 5.0</v>
      </c>
      <c r="G19" s="479" t="s">
        <v>36</v>
      </c>
      <c r="H19" s="474">
        <f>H18-E2</f>
        <v>-38.321686515932726</v>
      </c>
      <c r="I19" s="473" t="s">
        <v>36</v>
      </c>
      <c r="J19" s="480">
        <f>J18-E2</f>
        <v>-47.523844106642258</v>
      </c>
      <c r="K19" s="549"/>
      <c r="L19" s="550"/>
    </row>
    <row r="20" spans="1:12" ht="21.6" thickBot="1">
      <c r="A20" s="497" t="s">
        <v>37</v>
      </c>
      <c r="B20" s="498">
        <f>Analysis!D52</f>
        <v>3.058333333333334</v>
      </c>
      <c r="C20" s="499" t="s">
        <v>38</v>
      </c>
      <c r="G20" s="481" t="s">
        <v>39</v>
      </c>
      <c r="H20" s="476">
        <f>IFERROR((H18-E2)/H18,0)</f>
        <v>-0.44921397400606133</v>
      </c>
      <c r="I20" s="475" t="s">
        <v>39</v>
      </c>
      <c r="J20" s="482">
        <f>IFERROR((J18-E2)/J18,0)</f>
        <v>-0.6244415257713728</v>
      </c>
      <c r="K20" s="551"/>
      <c r="L20" s="552"/>
    </row>
    <row r="21" spans="1:12" ht="16.149999999999999" thickBot="1">
      <c r="G21" s="477" t="s">
        <v>40</v>
      </c>
      <c r="H21" s="472">
        <f>IF(Valuation!F108="On",Valuation!D112,"Off")</f>
        <v>28.608298571309472</v>
      </c>
      <c r="I21" s="471" t="s">
        <v>41</v>
      </c>
      <c r="J21" s="478">
        <f>IF(Valuation!F114="On",Valuation!D119,"Off")</f>
        <v>-9.4198386496711581</v>
      </c>
      <c r="K21" s="521" t="s">
        <v>42</v>
      </c>
      <c r="L21" s="522">
        <f ca="1">Valuation!B159</f>
        <v>96.290975802638513</v>
      </c>
    </row>
    <row r="22" spans="1:12" ht="15.6">
      <c r="G22" s="479" t="s">
        <v>36</v>
      </c>
      <c r="H22" s="474">
        <f>H21-E2</f>
        <v>-95.02170142869052</v>
      </c>
      <c r="I22" s="473" t="s">
        <v>36</v>
      </c>
      <c r="J22" s="480">
        <f>J21-E2</f>
        <v>-133.04983864967116</v>
      </c>
      <c r="K22" s="523" t="s">
        <v>43</v>
      </c>
      <c r="L22" s="524">
        <f ca="1">Valuation!B160</f>
        <v>87.904046821952221</v>
      </c>
    </row>
    <row r="23" spans="1:12" ht="16.149999999999999" thickBot="1">
      <c r="G23" s="481" t="s">
        <v>39</v>
      </c>
      <c r="H23" s="476">
        <f>IFERROR((H21-E2)/H21,0)</f>
        <v>-3.3214733547274058</v>
      </c>
      <c r="I23" s="475" t="s">
        <v>39</v>
      </c>
      <c r="J23" s="482">
        <f>IFERROR((J21-E2)/J21,0)</f>
        <v>14.124428623235055</v>
      </c>
      <c r="K23" s="525" t="s">
        <v>44</v>
      </c>
      <c r="L23" s="526">
        <f ca="1">Valuation!B161</f>
        <v>49.22842510719002</v>
      </c>
    </row>
    <row r="24" spans="1:12" ht="16.149999999999999" thickBot="1">
      <c r="G24" s="477" t="s">
        <v>45</v>
      </c>
      <c r="H24" s="472">
        <f>IF(Valuation!F121="On",Valuation!D124,"Off")</f>
        <v>12.417975567190227</v>
      </c>
      <c r="I24" s="471" t="s">
        <v>46</v>
      </c>
      <c r="J24" s="478">
        <f>IF(Valuation!F126="On",Valuation!D130,"Off")</f>
        <v>31.68402887826737</v>
      </c>
      <c r="K24" s="523" t="s">
        <v>47</v>
      </c>
      <c r="L24" s="524">
        <f ca="1">Valuation!B162</f>
        <v>36.885696643633509</v>
      </c>
    </row>
    <row r="25" spans="1:12" ht="22.15" customHeight="1">
      <c r="G25" s="479" t="s">
        <v>36</v>
      </c>
      <c r="H25" s="474">
        <f>H24-E2</f>
        <v>-111.21202443280977</v>
      </c>
      <c r="I25" s="473" t="s">
        <v>36</v>
      </c>
      <c r="J25" s="480">
        <f>J24-E2</f>
        <v>-91.945971121732626</v>
      </c>
      <c r="K25" s="525" t="s">
        <v>48</v>
      </c>
      <c r="L25" s="526">
        <f ca="1">Valuation!B163</f>
        <v>55.645214499122126</v>
      </c>
    </row>
    <row r="26" spans="1:12" ht="16.149999999999999" thickBot="1">
      <c r="G26" s="483" t="s">
        <v>39</v>
      </c>
      <c r="H26" s="484">
        <f>IFERROR((H24-E2)/H24,0)</f>
        <v>-8.9557290422317468</v>
      </c>
      <c r="I26" s="485" t="s">
        <v>39</v>
      </c>
      <c r="J26" s="486">
        <f>IFERROR((J24-E2)/J24,0)</f>
        <v>-2.9019658918692621</v>
      </c>
      <c r="K26" s="523" t="s">
        <v>49</v>
      </c>
      <c r="L26" s="526">
        <f ca="1">Valuation!B164</f>
        <v>129.02101078671672</v>
      </c>
    </row>
    <row r="27" spans="1:12" ht="16.149999999999999" thickBot="1">
      <c r="G27" s="566" t="s">
        <v>50</v>
      </c>
      <c r="H27" s="567"/>
      <c r="I27" s="567"/>
      <c r="J27" s="568"/>
      <c r="K27" s="525" t="s">
        <v>51</v>
      </c>
      <c r="L27" s="526">
        <f ca="1">Valuation!B165</f>
        <v>167.96063514269179</v>
      </c>
    </row>
    <row r="28" spans="1:12" ht="16.149999999999999" thickBot="1">
      <c r="G28" s="487" t="s">
        <v>52</v>
      </c>
      <c r="H28" s="442" t="s">
        <v>15</v>
      </c>
      <c r="I28" s="442" t="s">
        <v>53</v>
      </c>
      <c r="J28" s="488" t="s">
        <v>54</v>
      </c>
      <c r="K28" s="523" t="s">
        <v>55</v>
      </c>
      <c r="L28" s="526">
        <f ca="1">Valuation!B166</f>
        <v>24.364501614937467</v>
      </c>
    </row>
    <row r="29" spans="1:12" ht="15.6">
      <c r="G29" s="489" t="s">
        <v>56</v>
      </c>
      <c r="H29" s="445">
        <f>Valuation!I14</f>
        <v>2.5000000000000001E-2</v>
      </c>
      <c r="I29" s="448">
        <f>Valuation!W9</f>
        <v>3.6109846841749477E-2</v>
      </c>
      <c r="J29" s="490">
        <f>IFERROR((I29-H29)/H29,"N/A")</f>
        <v>0.44439387366997901</v>
      </c>
      <c r="K29" s="525" t="s">
        <v>57</v>
      </c>
      <c r="L29" s="526">
        <f ca="1">Valuation!B167</f>
        <v>223.44850233853901</v>
      </c>
    </row>
    <row r="30" spans="1:12" ht="15.6">
      <c r="G30" s="491" t="s">
        <v>58</v>
      </c>
      <c r="H30" s="446">
        <f>Valuation!I13</f>
        <v>0.06</v>
      </c>
      <c r="I30" s="447">
        <f>Valuation!W20</f>
        <v>4.9875912666320805E-2</v>
      </c>
      <c r="J30" s="492">
        <f t="shared" ref="J30:J31" si="1">IFERROR((I30-H30)/H30,"N/A")</f>
        <v>-0.16873478889465321</v>
      </c>
      <c r="K30" s="523" t="s">
        <v>59</v>
      </c>
      <c r="L30" s="527">
        <f ca="1">Valuation!B169</f>
        <v>0.27672955974842767</v>
      </c>
    </row>
    <row r="31" spans="1:12" ht="28.15" customHeight="1">
      <c r="G31" s="489" t="s">
        <v>60</v>
      </c>
      <c r="H31" s="445">
        <f>Valuation!I2</f>
        <v>0.1</v>
      </c>
      <c r="I31" s="448">
        <f>Valuation!W36</f>
        <v>0.19823985099792482</v>
      </c>
      <c r="J31" s="490">
        <f>IFERROR((I31-H31)/H31,"N/A")</f>
        <v>0.98239850997924816</v>
      </c>
      <c r="K31" s="525" t="s">
        <v>61</v>
      </c>
      <c r="L31" s="522">
        <f ca="1">Valuation!B170</f>
        <v>36.885696643633509</v>
      </c>
    </row>
    <row r="32" spans="1:12" ht="14.45" customHeight="1" thickBot="1">
      <c r="G32" s="493" t="s">
        <v>62</v>
      </c>
      <c r="H32" s="494">
        <f>Valuation!W47</f>
        <v>122.18853228379527</v>
      </c>
      <c r="I32" s="495" t="s">
        <v>63</v>
      </c>
      <c r="J32" s="496">
        <f>Valuation!W48</f>
        <v>-1.1659530180415167E-2</v>
      </c>
      <c r="K32" s="528" t="s">
        <v>64</v>
      </c>
      <c r="L32" s="529">
        <f ca="1">Valuation!B171</f>
        <v>167.96063514269179</v>
      </c>
    </row>
    <row r="33" spans="1:6" ht="14.45" customHeight="1"/>
    <row r="46" spans="1:6" ht="15" thickBot="1"/>
    <row r="47" spans="1:6" ht="28.15" customHeight="1" thickBot="1">
      <c r="A47" s="465" t="s">
        <v>65</v>
      </c>
      <c r="B47" s="449"/>
      <c r="C47" s="449"/>
      <c r="D47" s="449"/>
      <c r="E47" s="449"/>
      <c r="F47" s="449"/>
    </row>
    <row r="48" spans="1:6">
      <c r="A48" s="466" t="s">
        <v>66</v>
      </c>
      <c r="B48" s="467">
        <f>'Data Schema'!F1</f>
        <v>2023</v>
      </c>
      <c r="C48" s="467">
        <f>'Data Schema'!E1</f>
        <v>2024</v>
      </c>
      <c r="D48" s="467">
        <f>'Data Schema'!D1</f>
        <v>2025</v>
      </c>
      <c r="E48" s="467">
        <f>'Data Schema'!C1</f>
        <v>2026</v>
      </c>
      <c r="F48" s="468" t="s">
        <v>67</v>
      </c>
    </row>
    <row r="49" spans="1:6">
      <c r="A49" s="468" t="s">
        <v>68</v>
      </c>
      <c r="B49" s="469">
        <f>'Data Schema'!F3</f>
        <v>611289000</v>
      </c>
      <c r="C49" s="469">
        <f>'Data Schema'!E3</f>
        <v>648125000</v>
      </c>
      <c r="D49" s="469">
        <f>'Data Schema'!D3</f>
        <v>680985000</v>
      </c>
      <c r="E49" s="469">
        <f>'Data Schema'!C3</f>
        <v>713163000</v>
      </c>
      <c r="F49" s="469">
        <f>'Data Schema'!B3</f>
        <v>713163000</v>
      </c>
    </row>
    <row r="50" spans="1:6">
      <c r="A50" s="468" t="s">
        <v>69</v>
      </c>
      <c r="B50" s="469">
        <f>'Data Schema'!F13</f>
        <v>11680000</v>
      </c>
      <c r="C50" s="469">
        <f>'Data Schema'!E13</f>
        <v>15511000</v>
      </c>
      <c r="D50" s="469">
        <f>'Data Schema'!D13</f>
        <v>19436000</v>
      </c>
      <c r="E50" s="469">
        <f>'Data Schema'!C13</f>
        <v>21893000</v>
      </c>
      <c r="F50" s="469">
        <f>'Data Schema'!B13</f>
        <v>21893000</v>
      </c>
    </row>
    <row r="51" spans="1:6">
      <c r="A51" s="468" t="s">
        <v>70</v>
      </c>
      <c r="B51" s="469">
        <f>'Data Schema'!F14</f>
        <v>19144000</v>
      </c>
      <c r="C51" s="469">
        <f>'Data Schema'!E14</f>
        <v>24531000</v>
      </c>
      <c r="D51" s="469">
        <f>'Data Schema'!D14</f>
        <v>29037000</v>
      </c>
      <c r="E51" s="469">
        <f>'Data Schema'!C14</f>
        <v>32268000</v>
      </c>
      <c r="F51" s="469">
        <f>'Data Schema'!B14</f>
        <v>32268000</v>
      </c>
    </row>
    <row r="52" spans="1:6">
      <c r="A52" s="468" t="s">
        <v>71</v>
      </c>
      <c r="B52" s="469">
        <f>'Data Schema'!B40</f>
        <v>14923000</v>
      </c>
      <c r="C52" s="469">
        <f>'Data Schema'!C40</f>
        <v>14923000</v>
      </c>
      <c r="D52" s="469">
        <f>'Data Schema'!D40</f>
        <v>12660000</v>
      </c>
      <c r="E52" s="469">
        <f>'Data Schema'!E40</f>
        <v>15120000</v>
      </c>
      <c r="F52" s="469">
        <f>'Data Schema'!F40</f>
        <v>11984000</v>
      </c>
    </row>
    <row r="53" spans="1:6">
      <c r="A53" s="468" t="s">
        <v>72</v>
      </c>
      <c r="B53" s="470">
        <f>Calculations!G37</f>
        <v>0.24140463839525986</v>
      </c>
      <c r="C53" s="470">
        <f>Calculations!F37</f>
        <v>0.24375390549662487</v>
      </c>
      <c r="D53" s="470">
        <f>Calculations!E37</f>
        <v>0.24851061330278934</v>
      </c>
      <c r="E53" s="470">
        <f>Calculations!D37</f>
        <v>0.24926699786724774</v>
      </c>
      <c r="F53" s="470" t="str">
        <f>Calculations!C37</f>
        <v>N/A</v>
      </c>
    </row>
    <row r="54" spans="1:6">
      <c r="A54" s="468" t="s">
        <v>73</v>
      </c>
      <c r="B54" s="470">
        <f>Calculations!G38</f>
        <v>3.1317429235598875E-2</v>
      </c>
      <c r="C54" s="470">
        <f>Calculations!F38</f>
        <v>3.7849180327868853E-2</v>
      </c>
      <c r="D54" s="470">
        <f>Calculations!E38</f>
        <v>4.2639705720390317E-2</v>
      </c>
      <c r="E54" s="470">
        <f>Calculations!D38</f>
        <v>4.5246318162888426E-2</v>
      </c>
      <c r="F54" s="470" t="str">
        <f>Calculations!C38</f>
        <v>N/A</v>
      </c>
    </row>
    <row r="55" spans="1:6">
      <c r="A55" s="468" t="s">
        <v>74</v>
      </c>
      <c r="B55" s="470">
        <f>Calculations!G39</f>
        <v>1.9107165350595218E-2</v>
      </c>
      <c r="C55" s="470">
        <f>Calculations!F39</f>
        <v>2.3932111861137896E-2</v>
      </c>
      <c r="D55" s="470">
        <f>Calculations!E39</f>
        <v>2.8541010448100913E-2</v>
      </c>
      <c r="E55" s="470">
        <f>Calculations!D39</f>
        <v>3.0698451826581021E-2</v>
      </c>
      <c r="F55" s="470" t="str">
        <f>Calculations!C39</f>
        <v>N/A</v>
      </c>
    </row>
    <row r="56" spans="1:6">
      <c r="A56" s="468" t="s">
        <v>75</v>
      </c>
      <c r="B56" s="469">
        <f>'Data Schema'!F19</f>
        <v>243197000</v>
      </c>
      <c r="C56" s="469">
        <f>'Data Schema'!E19</f>
        <v>252399000</v>
      </c>
      <c r="D56" s="469">
        <f>'Data Schema'!D19</f>
        <v>260823000</v>
      </c>
      <c r="E56" s="469">
        <f>'Data Schema'!C19</f>
        <v>284668000</v>
      </c>
      <c r="F56" s="469" t="str">
        <f>'Data Schema'!B19</f>
        <v>N/A</v>
      </c>
    </row>
    <row r="57" spans="1:6">
      <c r="A57" s="468" t="s">
        <v>76</v>
      </c>
      <c r="B57" s="469">
        <f>'Data Schema'!F31</f>
        <v>58923000</v>
      </c>
      <c r="C57" s="469">
        <f>'Data Schema'!E31</f>
        <v>61321000</v>
      </c>
      <c r="D57" s="469">
        <f>'Data Schema'!D31</f>
        <v>60114000</v>
      </c>
      <c r="E57" s="469">
        <f>'Data Schema'!C31</f>
        <v>67095000</v>
      </c>
      <c r="F57" s="469" t="str">
        <f>'Data Schema'!B31</f>
        <v>N/A</v>
      </c>
    </row>
    <row r="58" spans="1:6">
      <c r="A58" s="468" t="s">
        <v>77</v>
      </c>
      <c r="B58" s="469">
        <f>'Data Schema'!F29</f>
        <v>83991000</v>
      </c>
      <c r="C58" s="469">
        <f>'Data Schema'!E29</f>
        <v>90571000</v>
      </c>
      <c r="D58" s="469">
        <f>'Data Schema'!D29</f>
        <v>97692000</v>
      </c>
      <c r="E58" s="469">
        <f>'Data Schema'!C29</f>
        <v>106180000</v>
      </c>
      <c r="F58" s="469" t="str">
        <f>'Data Schema'!B29</f>
        <v>N/A</v>
      </c>
    </row>
    <row r="63" spans="1:6" ht="28.15" customHeight="1"/>
    <row r="108" ht="28.15" customHeight="1"/>
    <row r="118" ht="28.15" customHeight="1"/>
  </sheetData>
  <mergeCells count="16">
    <mergeCell ref="G27:J27"/>
    <mergeCell ref="I3:J3"/>
    <mergeCell ref="G3:H3"/>
    <mergeCell ref="A4:C4"/>
    <mergeCell ref="E3:F3"/>
    <mergeCell ref="A1:O1"/>
    <mergeCell ref="E2:F2"/>
    <mergeCell ref="K2:O2"/>
    <mergeCell ref="K17:L20"/>
    <mergeCell ref="K16:O16"/>
    <mergeCell ref="A2:B3"/>
    <mergeCell ref="C2:C3"/>
    <mergeCell ref="G17:J17"/>
    <mergeCell ref="G2:H2"/>
    <mergeCell ref="I2:J2"/>
    <mergeCell ref="A13:C13"/>
  </mergeCells>
  <conditionalFormatting sqref="B14:B19">
    <cfRule type="cellIs" dxfId="188" priority="4" operator="greaterThanOrEqual">
      <formula>4</formula>
    </cfRule>
    <cfRule type="cellIs" dxfId="187" priority="5" operator="between">
      <formula>2.5</formula>
      <formula>3.9</formula>
    </cfRule>
    <cfRule type="cellIs" dxfId="186" priority="6" operator="lessThan">
      <formula>2.5</formula>
    </cfRule>
  </conditionalFormatting>
  <conditionalFormatting sqref="I2">
    <cfRule type="cellIs" dxfId="185" priority="7" operator="equal">
      <formula>"STRONG BUY"</formula>
    </cfRule>
    <cfRule type="cellIs" dxfId="184" priority="8" operator="equal">
      <formula>"BUY"</formula>
    </cfRule>
    <cfRule type="cellIs" dxfId="183" priority="9" operator="equal">
      <formula>"HOLD"</formula>
    </cfRule>
    <cfRule type="cellIs" dxfId="182" priority="10" operator="equal">
      <formula>"SELL"</formula>
    </cfRule>
    <cfRule type="cellIs" dxfId="181" priority="11" operator="equal">
      <formula>"STRONG SELL"</formula>
    </cfRule>
  </conditionalFormatting>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
  <sheetViews>
    <sheetView workbookViewId="0">
      <selection activeCell="G30" sqref="G30:H30"/>
    </sheetView>
  </sheetViews>
  <sheetFormatPr defaultRowHeight="14.45"/>
  <cols>
    <col min="1" max="1" width="28" customWidth="1"/>
    <col min="2" max="7" width="16" customWidth="1"/>
  </cols>
  <sheetData>
    <row r="1" spans="1:6" ht="21">
      <c r="A1" s="530" t="s">
        <v>78</v>
      </c>
      <c r="B1" s="168"/>
      <c r="C1" s="168"/>
      <c r="D1" s="168"/>
      <c r="E1" s="168"/>
      <c r="F1" s="169"/>
    </row>
    <row r="2" spans="1:6">
      <c r="A2" s="653" t="s">
        <v>79</v>
      </c>
      <c r="B2" s="654" t="str">
        <f>'Raw Data Pasting'!V3</f>
        <v>WMT</v>
      </c>
      <c r="C2" s="92"/>
      <c r="D2" s="92"/>
      <c r="E2" s="92"/>
      <c r="F2" s="73"/>
    </row>
    <row r="3" spans="1:6" ht="15" thickBot="1">
      <c r="A3" s="655" t="s">
        <v>80</v>
      </c>
      <c r="B3" s="656" t="s">
        <v>81</v>
      </c>
      <c r="C3" s="74"/>
      <c r="D3" s="74"/>
      <c r="E3" s="74"/>
      <c r="F3" s="531"/>
    </row>
    <row r="4" spans="1:6" ht="15" thickBot="1"/>
    <row r="5" spans="1:6">
      <c r="A5" s="532" t="s">
        <v>82</v>
      </c>
      <c r="B5" s="533" t="s">
        <v>83</v>
      </c>
      <c r="C5" s="533" t="s">
        <v>84</v>
      </c>
      <c r="D5" s="533" t="s">
        <v>85</v>
      </c>
      <c r="E5" s="533" t="s">
        <v>86</v>
      </c>
      <c r="F5" s="534" t="s">
        <v>87</v>
      </c>
    </row>
    <row r="6" spans="1:6">
      <c r="A6" s="657" t="s">
        <v>72</v>
      </c>
      <c r="B6" s="122">
        <f>Calculations!D37</f>
        <v>0.24926699786724774</v>
      </c>
      <c r="C6" s="122">
        <f>Calculations!H37</f>
        <v>0.24573403876548044</v>
      </c>
      <c r="D6" s="535">
        <f>IFERROR(IF(B6&gt;=0.4,5,IF(B6&gt;=0.3,4,IF(B6&gt;=0.2,3,IF(B6&gt;=0.1,2,1)))),"N/A")</f>
        <v>3</v>
      </c>
      <c r="E6" s="535">
        <f t="shared" ref="E6:E11" si="0">IFERROR(IF((B6-C6)/ABS(C6)&gt;=0.1,5,IF((B6-C6)/ABS(C6)&gt;=0.05,4,IF((B6-C6)/ABS(C6)&gt;=-0.05,3,IF((B6-C6)/ABS(C6)&gt;=-0.1,2,1)))),"N/A")</f>
        <v>3</v>
      </c>
      <c r="F6" s="536">
        <f t="shared" ref="F6:F11" si="1">IFERROR(ROUND(AVERAGE(D6,E6),1),"N/A")</f>
        <v>3</v>
      </c>
    </row>
    <row r="7" spans="1:6">
      <c r="A7" s="657" t="s">
        <v>22</v>
      </c>
      <c r="B7" s="122">
        <f>Calculations!D38</f>
        <v>4.5246318162888426E-2</v>
      </c>
      <c r="C7" s="122">
        <f>Calculations!H38</f>
        <v>3.9263158361686618E-2</v>
      </c>
      <c r="D7" s="535">
        <f>IFERROR(IF(B7&gt;=0.15,5,IF(B7&gt;=0.1,4,IF(B7&gt;=0.05,3,IF(B7&gt;=0.02,2,1)))),"N/A")</f>
        <v>2</v>
      </c>
      <c r="E7" s="535">
        <f>IFERROR(IF((B7-C7)/ABS(C7)&gt;=0.1,5,IF((B7-C7)/ABS(C7)&gt;=0.05,4,IF((B7-C7)/ABS(C7)&gt;=-0.05,3,IF((B7-C7)/ABS(C7)&gt;=-0.1,2,1)))),"N/A")</f>
        <v>5</v>
      </c>
      <c r="F7" s="536">
        <f t="shared" si="1"/>
        <v>3.5</v>
      </c>
    </row>
    <row r="8" spans="1:6">
      <c r="A8" s="657" t="s">
        <v>74</v>
      </c>
      <c r="B8" s="122">
        <f>Calculations!D39</f>
        <v>3.0698451826581021E-2</v>
      </c>
      <c r="C8" s="122">
        <f>Calculations!H39</f>
        <v>2.556968487160376E-2</v>
      </c>
      <c r="D8" s="535">
        <f>IFERROR(IF(B8&gt;=0.1,5,IF(B8&gt;=0.05,4,IF(B8&gt;=0.02,3,IF(B8&gt;=0,2,1)))),"N/A")</f>
        <v>3</v>
      </c>
      <c r="E8" s="535">
        <f t="shared" si="0"/>
        <v>5</v>
      </c>
      <c r="F8" s="536">
        <f t="shared" si="1"/>
        <v>4</v>
      </c>
    </row>
    <row r="9" spans="1:6">
      <c r="A9" s="657" t="s">
        <v>21</v>
      </c>
      <c r="B9" s="122">
        <f>Calculations!D41</f>
        <v>0.20618760595215671</v>
      </c>
      <c r="C9" s="122">
        <f>Calculations!H41</f>
        <v>0.17886496010950453</v>
      </c>
      <c r="D9" s="535">
        <f>IFERROR(IF(B9&gt;=0.2,5,IF(B9&gt;=0.15,4,IF(B9&gt;=0.1,3,IF(B9&gt;=0.05,2,1)))),"N/A")</f>
        <v>5</v>
      </c>
      <c r="E9" s="535">
        <f t="shared" si="0"/>
        <v>5</v>
      </c>
      <c r="F9" s="536">
        <f t="shared" si="1"/>
        <v>5</v>
      </c>
    </row>
    <row r="10" spans="1:6">
      <c r="A10" s="657" t="s">
        <v>88</v>
      </c>
      <c r="B10" s="122">
        <f>Calculations!D40</f>
        <v>7.690713392443127E-2</v>
      </c>
      <c r="C10" s="122">
        <f>Calculations!H40</f>
        <v>6.5226573739810681E-2</v>
      </c>
      <c r="D10" s="535">
        <f>IFERROR(IF(B10&gt;=0.1,5,IF(B10&gt;=0.05,4,IF(B10&gt;=0.02,3,IF(B10&gt;=0,2,1)))),"N/A")</f>
        <v>4</v>
      </c>
      <c r="E10" s="535">
        <f t="shared" si="0"/>
        <v>5</v>
      </c>
      <c r="F10" s="536">
        <f t="shared" si="1"/>
        <v>4.5</v>
      </c>
    </row>
    <row r="11" spans="1:6">
      <c r="A11" s="657" t="s">
        <v>23</v>
      </c>
      <c r="B11" s="122">
        <f>Calculations!D61</f>
        <v>0.15001864422379119</v>
      </c>
      <c r="C11" s="122">
        <f>Calculations!H61</f>
        <v>0.13069706935152287</v>
      </c>
      <c r="D11" s="535">
        <f>IFERROR(IF(B11&gt;=0.15,5,IF(B11&gt;=0.1,4,IF(B11&gt;=0.05,3,IF(B11&gt;=0.02,2,1)))),"N/A")</f>
        <v>5</v>
      </c>
      <c r="E11" s="535">
        <f t="shared" si="0"/>
        <v>5</v>
      </c>
      <c r="F11" s="536">
        <f t="shared" si="1"/>
        <v>5</v>
      </c>
    </row>
    <row r="12" spans="1:6" ht="15" thickBot="1">
      <c r="A12" s="582" t="s">
        <v>89</v>
      </c>
      <c r="B12" s="583"/>
      <c r="C12" s="583"/>
      <c r="D12" s="583"/>
      <c r="E12" s="583"/>
      <c r="F12" s="658">
        <f>IFERROR(AVERAGE(F6:F11),"N/A")</f>
        <v>4.166666666666667</v>
      </c>
    </row>
    <row r="13" spans="1:6" ht="15" thickBot="1"/>
    <row r="14" spans="1:6">
      <c r="A14" s="532" t="s">
        <v>90</v>
      </c>
      <c r="B14" s="533" t="s">
        <v>83</v>
      </c>
      <c r="C14" s="533" t="s">
        <v>84</v>
      </c>
      <c r="D14" s="533" t="s">
        <v>85</v>
      </c>
      <c r="E14" s="533" t="s">
        <v>86</v>
      </c>
      <c r="F14" s="534" t="s">
        <v>87</v>
      </c>
    </row>
    <row r="15" spans="1:6">
      <c r="A15" s="657" t="s">
        <v>20</v>
      </c>
      <c r="B15" s="121">
        <f>Calculations!D31</f>
        <v>0.78975332421442468</v>
      </c>
      <c r="C15" s="121">
        <f>Calculations!H31</f>
        <v>0.81621855912815511</v>
      </c>
      <c r="D15" s="535">
        <f>IFERROR(IF(B15&gt;=2,5,IF(B15&gt;=1.5,4,IF(B15&gt;=1,3,IF(B15&gt;=0.5,2,1)))),"N/A")</f>
        <v>2</v>
      </c>
      <c r="E15" s="535">
        <f>IFERROR(IF((B15-C15)/ABS(C15)&gt;=0.1,5,IF((B15-C15)/ABS(C15)&gt;=0.05,4,IF((B15-C15)/ABS(C15)&gt;=-0.05,3,IF((B15-C15)/ABS(C15)&gt;=-0.1,2,1)))),"N/A")</f>
        <v>3</v>
      </c>
      <c r="F15" s="536">
        <f>IFERROR(ROUND(AVERAGE(D15,E15),1),"N/A")</f>
        <v>2.5</v>
      </c>
    </row>
    <row r="16" spans="1:6">
      <c r="A16" s="657" t="s">
        <v>91</v>
      </c>
      <c r="B16" s="121">
        <f>Calculations!D32</f>
        <v>0.20377038960072208</v>
      </c>
      <c r="C16" s="121">
        <f>Calculations!H32</f>
        <v>0.19553851783718623</v>
      </c>
      <c r="D16" s="535">
        <f>IFERROR(IF(B16&gt;=1.5,5,IF(B16&gt;=1,4,IF(B16&gt;=0.75,3,IF(B16&gt;=0.5,2,1)))),"N/A")</f>
        <v>1</v>
      </c>
      <c r="E16" s="535">
        <f>IFERROR(IF((B16-C16)/ABS(C16)&gt;=0.1,5,IF((B16-C16)/ABS(C16)&gt;=0.05,4,IF((B16-C16)/ABS(C16)&gt;=-0.05,3,IF((B16-C16)/ABS(C16)&gt;=-0.1,2,1)))),"N/A")</f>
        <v>3</v>
      </c>
      <c r="F16" s="536">
        <f>IFERROR(ROUND(AVERAGE(D16,E16),1),"N/A")</f>
        <v>2</v>
      </c>
    </row>
    <row r="17" spans="1:6">
      <c r="A17" s="657" t="s">
        <v>92</v>
      </c>
      <c r="B17" s="121">
        <f>Calculations!D63</f>
        <v>9.9814830323162962E-2</v>
      </c>
      <c r="C17" s="121">
        <f>Calculations!H63</f>
        <v>9.8424525306812893E-2</v>
      </c>
      <c r="D17" s="535">
        <f>IFERROR(IF(B17&gt;=1,5,IF(B17&gt;=0.5,4,IF(B17&gt;=0.25,3,IF(B17&gt;=0.1,2,1)))),"N/A")</f>
        <v>1</v>
      </c>
      <c r="E17" s="535">
        <f>IFERROR(IF((B17-C17)/ABS(C17)&gt;=0.1,5,IF((B17-C17)/ABS(C17)&gt;=0.05,4,IF((B17-C17)/ABS(C17)&gt;=-0.05,3,IF((B17-C17)/ABS(C17)&gt;=-0.1,2,1)))),"N/A")</f>
        <v>3</v>
      </c>
      <c r="F17" s="536">
        <f>IFERROR(ROUND(AVERAGE(D17,E17),1),"N/A")</f>
        <v>2</v>
      </c>
    </row>
    <row r="18" spans="1:6" ht="15" thickBot="1">
      <c r="A18" s="582" t="s">
        <v>93</v>
      </c>
      <c r="B18" s="583"/>
      <c r="C18" s="583"/>
      <c r="D18" s="583"/>
      <c r="E18" s="583"/>
      <c r="F18" s="658">
        <f>IFERROR(AVERAGE(F15:F17),"N/A")</f>
        <v>2.1666666666666665</v>
      </c>
    </row>
    <row r="19" spans="1:6" ht="15" thickBot="1"/>
    <row r="20" spans="1:6">
      <c r="A20" s="532" t="s">
        <v>94</v>
      </c>
      <c r="B20" s="533" t="s">
        <v>83</v>
      </c>
      <c r="C20" s="533" t="s">
        <v>84</v>
      </c>
      <c r="D20" s="533" t="s">
        <v>85</v>
      </c>
      <c r="E20" s="533" t="s">
        <v>86</v>
      </c>
      <c r="F20" s="534" t="s">
        <v>87</v>
      </c>
    </row>
    <row r="21" spans="1:6">
      <c r="A21" s="657" t="s">
        <v>95</v>
      </c>
      <c r="B21" s="121">
        <f>Calculations!D33</f>
        <v>0.63189866264833305</v>
      </c>
      <c r="C21" s="121">
        <f>Calculations!H33</f>
        <v>0.65645728847399232</v>
      </c>
      <c r="D21" s="535">
        <f>IFERROR(IF(B21&lt;=0.5,5,IF(B21&lt;=1,4,IF(B21&lt;=2,3,IF(B21&lt;=3,2,1)))),"N/A")</f>
        <v>4</v>
      </c>
      <c r="E21" s="535">
        <f>IFERROR(IF((C21-B21)/ABS(C21)&gt;=0.1,5,IF((C21-B21)/ABS(C21)&gt;=0.05,4,IF((C21-B21)/ABS(C21)&gt;=-0.05,3,IF((C21-B21)/ABS(C21)&gt;=-0.1,2,1)))),"N/A")</f>
        <v>3</v>
      </c>
      <c r="F21" s="536">
        <f>IFERROR(ROUND(AVERAGE(D21,E21),1),"N/A")</f>
        <v>3.5</v>
      </c>
    </row>
    <row r="22" spans="1:6">
      <c r="A22" s="657" t="s">
        <v>96</v>
      </c>
      <c r="B22" s="121">
        <f>Calculations!D34</f>
        <v>0.23569561735073841</v>
      </c>
      <c r="C22" s="121">
        <f>Calculations!H34</f>
        <v>0.23785286134403777</v>
      </c>
      <c r="D22" s="535">
        <f>IFERROR(IF(B22&lt;=0.3,5,IF(B22&lt;=0.5,4,IF(B22&lt;=0.7,3,IF(B22&lt;=0.9,2,1)))),"N/A")</f>
        <v>5</v>
      </c>
      <c r="E22" s="535">
        <f>IFERROR(IF((C22-B22)/ABS(C22)&gt;=0.1,5,IF((C22-B22)/ABS(C22)&gt;=0.05,4,IF((C22-B22)/ABS(C22)&gt;=-0.05,3,IF((C22-B22)/ABS(C22)&gt;=-0.1,2,1)))),"N/A")</f>
        <v>3</v>
      </c>
      <c r="F22" s="536">
        <f>IFERROR(ROUND(AVERAGE(D22,E22),1),"N/A")</f>
        <v>4</v>
      </c>
    </row>
    <row r="23" spans="1:6">
      <c r="A23" s="657" t="s">
        <v>97</v>
      </c>
      <c r="B23" s="121">
        <f>Calculations!D35</f>
        <v>11.528403001071812</v>
      </c>
      <c r="C23" s="121">
        <f>Calculations!H35</f>
        <v>10.710997738770999</v>
      </c>
      <c r="D23" s="535">
        <f>IFERROR(IF(B23&gt;=8,5,IF(B23&gt;=5,4,IF(B23&gt;=2.5,3,IF(B23&gt;=1,2,1)))),"N/A")</f>
        <v>5</v>
      </c>
      <c r="E23" s="535">
        <f>IFERROR(IF((B23-C23)/ABS(C23)&gt;=0.1,5,IF((B23-C23)/ABS(C23)&gt;=0.05,4,IF((B23-C23)/ABS(C23)&gt;=-0.05,3,IF((B23-C23)/ABS(C23)&gt;=-0.1,2,1)))),"N/A")</f>
        <v>4</v>
      </c>
      <c r="F23" s="536">
        <f>IFERROR(ROUND(AVERAGE(D23,E23),1),"N/A")</f>
        <v>4.5</v>
      </c>
    </row>
    <row r="24" spans="1:6" ht="15" thickBot="1">
      <c r="A24" s="582" t="s">
        <v>98</v>
      </c>
      <c r="B24" s="583"/>
      <c r="C24" s="583"/>
      <c r="D24" s="583"/>
      <c r="E24" s="583"/>
      <c r="F24" s="658">
        <f>IFERROR(AVERAGE(F21:F23),"N/A")</f>
        <v>4</v>
      </c>
    </row>
    <row r="25" spans="1:6" ht="15" thickBot="1"/>
    <row r="26" spans="1:6">
      <c r="A26" s="532" t="s">
        <v>99</v>
      </c>
      <c r="B26" s="533" t="s">
        <v>83</v>
      </c>
      <c r="C26" s="533" t="s">
        <v>84</v>
      </c>
      <c r="D26" s="533" t="s">
        <v>85</v>
      </c>
      <c r="E26" s="533" t="s">
        <v>86</v>
      </c>
      <c r="F26" s="534" t="s">
        <v>87</v>
      </c>
    </row>
    <row r="27" spans="1:6">
      <c r="A27" s="657" t="s">
        <v>100</v>
      </c>
      <c r="B27" s="121">
        <f>Calculations!D45</f>
        <v>2.6147562471241503</v>
      </c>
      <c r="C27" s="121">
        <f>Calculations!H45</f>
        <v>2.714020603292346</v>
      </c>
      <c r="D27" s="535">
        <f>IFERROR(IF(B27&gt;=2,5,IF(B27&gt;=1.5,4,IF(B27&gt;=1,3,IF(B27&gt;=0.5,2,1)))),"N/A")</f>
        <v>5</v>
      </c>
      <c r="E27" s="535">
        <f>IFERROR(IF((B27-C27)/ABS(C27)&gt;=0.1,5,IF((B27-C27)/ABS(C27)&gt;=0.05,4,IF((B27-C27)/ABS(C27)&gt;=-0.05,3,IF((B27-C27)/ABS(C27)&gt;=-0.1,2,1)))),"N/A")</f>
        <v>3</v>
      </c>
      <c r="F27" s="536">
        <f>IFERROR(ROUND(AVERAGE(D27,E27),1),"N/A")</f>
        <v>4</v>
      </c>
    </row>
    <row r="28" spans="1:6">
      <c r="A28" s="657" t="s">
        <v>101</v>
      </c>
      <c r="B28" s="121">
        <f>Calculations!D46</f>
        <v>9.2881182450601116</v>
      </c>
      <c r="C28" s="121">
        <f>Calculations!H46</f>
        <v>10.917242419346984</v>
      </c>
      <c r="D28" s="535">
        <f>IFERROR(IF(B28&gt;=10,5,IF(B28&gt;=7,4,IF(B28&gt;=5,3,IF(B28&gt;=3,2,1)))),"N/A")</f>
        <v>4</v>
      </c>
      <c r="E28" s="535">
        <f>IFERROR(IF((B28-C28)/ABS(C28)&gt;=0.1,5,IF((B28-C28)/ABS(C28)&gt;=0.05,4,IF((B28-C28)/ABS(C28)&gt;=-0.05,3,IF((B28-C28)/ABS(C28)&gt;=-0.1,2,1)))),"N/A")</f>
        <v>1</v>
      </c>
      <c r="F28" s="536">
        <f>IFERROR(ROUND(AVERAGE(D28,E28),1),"N/A")</f>
        <v>2.5</v>
      </c>
    </row>
    <row r="29" spans="1:6" ht="15" thickBot="1">
      <c r="A29" s="582" t="s">
        <v>102</v>
      </c>
      <c r="B29" s="583"/>
      <c r="C29" s="583"/>
      <c r="D29" s="583"/>
      <c r="E29" s="583"/>
      <c r="F29" s="658">
        <f>IFERROR(AVERAGE(F27:F28),"N/A")</f>
        <v>3.25</v>
      </c>
    </row>
    <row r="30" spans="1:6" ht="15" thickBot="1"/>
    <row r="31" spans="1:6">
      <c r="A31" s="532" t="s">
        <v>103</v>
      </c>
      <c r="B31" s="533" t="s">
        <v>83</v>
      </c>
      <c r="C31" s="533" t="s">
        <v>84</v>
      </c>
      <c r="D31" s="533" t="s">
        <v>85</v>
      </c>
      <c r="E31" s="533" t="s">
        <v>86</v>
      </c>
      <c r="F31" s="534" t="s">
        <v>87</v>
      </c>
    </row>
    <row r="32" spans="1:6">
      <c r="A32" s="657" t="s">
        <v>104</v>
      </c>
      <c r="B32" s="122">
        <f>Calculations!D54</f>
        <v>4.7252142117667706E-2</v>
      </c>
      <c r="C32" s="122">
        <f>Calculations!H54</f>
        <v>5.2737262817203888E-2</v>
      </c>
      <c r="D32" s="535">
        <f>IFERROR(IF(B32&gt;=0.2,5,IF(B32&gt;=0.1,4,IF(B32&gt;=0.05,3,IF(B32&gt;=0,2,1)))),"N/A")</f>
        <v>2</v>
      </c>
      <c r="E32" s="535">
        <f>IFERROR(IF((B32-C32)/ABS(C32)&gt;=0.1,5,IF((B32-C32)/ABS(C32)&gt;=0.05,4,IF((B32-C32)/ABS(C32)&gt;=-0.05,3,IF((B32-C32)/ABS(C32)&gt;=-0.1,2,1)))),"N/A")</f>
        <v>1</v>
      </c>
      <c r="F32" s="536">
        <f>IFERROR(ROUND(AVERAGE(D32,E32),1),"N/A")</f>
        <v>1.5</v>
      </c>
    </row>
    <row r="33" spans="1:7">
      <c r="A33" s="657" t="s">
        <v>105</v>
      </c>
      <c r="B33" s="122">
        <f>Calculations!C64</f>
        <v>5.2722909291688769E-2</v>
      </c>
      <c r="C33" s="122">
        <f>Calculations!C64</f>
        <v>5.2722909291688769E-2</v>
      </c>
      <c r="D33" s="535">
        <f>IFERROR(IF(B33&gt;=0.2,5,IF(B33&gt;=0.1,4,IF(B33&gt;=0.05,3,IF(B33&gt;=0,2,1)))),"N/A")</f>
        <v>3</v>
      </c>
      <c r="E33" s="535">
        <f>IFERROR(IF((B33-C33)/ABS(C33)&gt;=0.1,5,IF((B33-C33)/ABS(C33)&gt;=0.05,4,IF((B33-C33)/ABS(C33)&gt;=-0.05,3,IF((B33-C33)/ABS(C33)&gt;=-0.1,2,1)))),"N/A")</f>
        <v>3</v>
      </c>
      <c r="F33" s="536">
        <f>IFERROR(ROUND(AVERAGE(D33,E33),1),"N/A")</f>
        <v>3</v>
      </c>
    </row>
    <row r="34" spans="1:7">
      <c r="A34" s="657" t="s">
        <v>106</v>
      </c>
      <c r="B34" s="122">
        <f>Calculations!D55</f>
        <v>0.12641490018522328</v>
      </c>
      <c r="C34" s="122">
        <f>Calculations!H55</f>
        <v>0.23581923359572743</v>
      </c>
      <c r="D34" s="535">
        <f>IFERROR(IF(B34&gt;=0.2,5,IF(B34&gt;=0.1,4,IF(B34&gt;=0.05,3,IF(B34&gt;=0,2,1)))),"N/A")</f>
        <v>4</v>
      </c>
      <c r="E34" s="535">
        <f>IFERROR(IF((B34-C34)/ABS(C34)&gt;=0.1,5,IF((B34-C34)/ABS(C34)&gt;=0.05,4,IF((B34-C34)/ABS(C34)&gt;=-0.05,3,IF((B34-C34)/ABS(C34)&gt;=-0.1,2,1)))),"N/A")</f>
        <v>1</v>
      </c>
      <c r="F34" s="536">
        <f>IFERROR(ROUND(AVERAGE(D34,E34),1),"N/A")</f>
        <v>2.5</v>
      </c>
    </row>
    <row r="35" spans="1:7" ht="15" thickBot="1">
      <c r="A35" s="582" t="s">
        <v>107</v>
      </c>
      <c r="B35" s="583"/>
      <c r="C35" s="583"/>
      <c r="D35" s="583"/>
      <c r="E35" s="583"/>
      <c r="F35" s="658">
        <f>IFERROR(AVERAGE(F32:F34),"N/A")</f>
        <v>2.3333333333333335</v>
      </c>
    </row>
    <row r="36" spans="1:7" ht="15" thickBot="1"/>
    <row r="37" spans="1:7">
      <c r="A37" s="532" t="s">
        <v>108</v>
      </c>
      <c r="B37" s="533" t="s">
        <v>109</v>
      </c>
      <c r="C37" s="533" t="s">
        <v>110</v>
      </c>
      <c r="D37" s="533" t="s">
        <v>111</v>
      </c>
      <c r="E37" s="534" t="s">
        <v>112</v>
      </c>
    </row>
    <row r="38" spans="1:7">
      <c r="A38" s="657" t="s">
        <v>113</v>
      </c>
      <c r="B38" s="121">
        <f>'Data Schema'!B44</f>
        <v>43.6</v>
      </c>
      <c r="C38" s="121">
        <f>'Data Schema'!F44</f>
        <v>27.556666666666672</v>
      </c>
      <c r="D38" s="122">
        <f>IFERROR(B38/C38,"N/A")</f>
        <v>1.5821942663602271</v>
      </c>
      <c r="E38" s="536">
        <f>IFERROR(IF(D38&lt;=0.5,5,IF(D38&lt;=0.75,4,IF(D38&lt;=1,3,IF(D38&lt;=1.25,2,1)))),"N/A")</f>
        <v>1</v>
      </c>
      <c r="F38" s="92"/>
    </row>
    <row r="39" spans="1:7">
      <c r="A39" s="657" t="s">
        <v>114</v>
      </c>
      <c r="B39" s="121">
        <f>'Data Schema'!B47</f>
        <v>9.5299999999999994</v>
      </c>
      <c r="C39" s="121">
        <f>'Data Schema'!F47</f>
        <v>6.6099999999999994</v>
      </c>
      <c r="D39" s="122">
        <f>IFERROR(B39/C39,"N/A")</f>
        <v>1.4417549167927384</v>
      </c>
      <c r="E39" s="536">
        <f>IFERROR(IF(D39&lt;=0.5,5,IF(D39&lt;=0.75,4,IF(D39&lt;=1,3,IF(D39&lt;=1.25,2,1)))),"N/A")</f>
        <v>1</v>
      </c>
      <c r="F39" s="92"/>
    </row>
    <row r="40" spans="1:7">
      <c r="A40" s="657" t="s">
        <v>115</v>
      </c>
      <c r="B40" s="121">
        <f>'Data Schema'!B48</f>
        <v>1.34</v>
      </c>
      <c r="C40" s="121">
        <f>'Data Schema'!F48</f>
        <v>0.88</v>
      </c>
      <c r="D40" s="122">
        <f>IFERROR(B40/C40,"N/A")</f>
        <v>1.5227272727272727</v>
      </c>
      <c r="E40" s="536">
        <f>IFERROR(IF(D40&lt;=0.5,5,IF(D40&lt;=0.75,4,IF(D40&lt;=1,3,IF(D40&lt;=1.25,2,1)))),"N/A")</f>
        <v>1</v>
      </c>
      <c r="F40" s="92"/>
      <c r="G40" t="s">
        <v>116</v>
      </c>
    </row>
    <row r="41" spans="1:7">
      <c r="A41" s="657" t="s">
        <v>18</v>
      </c>
      <c r="B41" s="121">
        <f>'Data Schema'!B49</f>
        <v>21.63</v>
      </c>
      <c r="C41" s="121">
        <f>'Data Schema'!F49</f>
        <v>16.943333333333332</v>
      </c>
      <c r="D41" s="122">
        <f>IFERROR(B41/C41,"N/A")</f>
        <v>1.2766083021837498</v>
      </c>
      <c r="E41" s="536">
        <f>IFERROR(IF(D41&lt;=0.5,5,IF(D41&lt;=0.75,4,IF(D41&lt;=1,3,IF(D41&lt;=1.25,2,1)))),"N/A")</f>
        <v>1</v>
      </c>
      <c r="F41" s="92"/>
    </row>
    <row r="42" spans="1:7">
      <c r="A42" s="657" t="s">
        <v>117</v>
      </c>
      <c r="B42" s="121">
        <f>'Data Schema'!B46</f>
        <v>63.98</v>
      </c>
      <c r="C42" s="121">
        <f>'Data Schema'!F46</f>
        <v>25.733333333333331</v>
      </c>
      <c r="D42" s="122">
        <f>IFERROR(B42/C42,"N/A")</f>
        <v>2.4862694300518138</v>
      </c>
      <c r="E42" s="536">
        <f>IFERROR(IF(D42&lt;=0.5,5,IF(D42&lt;=0.75,4,IF(D42&lt;=1,3,IF(D42&lt;=1.25,2,1)))),"N/A")</f>
        <v>1</v>
      </c>
      <c r="F42" s="92"/>
    </row>
    <row r="43" spans="1:7" ht="15" thickBot="1">
      <c r="A43" s="582" t="s">
        <v>118</v>
      </c>
      <c r="B43" s="583"/>
      <c r="C43" s="583"/>
      <c r="D43" s="583"/>
      <c r="E43" s="658">
        <f>IFERROR(AVERAGE(E38:E42),"N/A")</f>
        <v>1</v>
      </c>
      <c r="F43" s="92"/>
    </row>
    <row r="44" spans="1:7" ht="15" thickBot="1">
      <c r="A44" s="28"/>
      <c r="B44" s="74"/>
      <c r="C44" s="74"/>
      <c r="D44" s="74"/>
    </row>
    <row r="45" spans="1:7">
      <c r="A45" s="532" t="s">
        <v>119</v>
      </c>
      <c r="B45" s="533" t="s">
        <v>120</v>
      </c>
      <c r="C45" s="533" t="s">
        <v>121</v>
      </c>
      <c r="D45" s="534" t="s">
        <v>122</v>
      </c>
    </row>
    <row r="46" spans="1:7">
      <c r="A46" s="657" t="s">
        <v>26</v>
      </c>
      <c r="B46" s="535">
        <f>F12</f>
        <v>4.166666666666667</v>
      </c>
      <c r="C46" s="537">
        <v>0.25</v>
      </c>
      <c r="D46" s="538">
        <f t="shared" ref="D46:D51" si="2">IFERROR(B46*C46,0)</f>
        <v>1.0416666666666667</v>
      </c>
    </row>
    <row r="47" spans="1:7">
      <c r="A47" s="657" t="s">
        <v>27</v>
      </c>
      <c r="B47" s="535">
        <f>F18</f>
        <v>2.1666666666666665</v>
      </c>
      <c r="C47" s="537">
        <v>0.15</v>
      </c>
      <c r="D47" s="538">
        <f t="shared" si="2"/>
        <v>0.32499999999999996</v>
      </c>
    </row>
    <row r="48" spans="1:7">
      <c r="A48" s="657" t="s">
        <v>28</v>
      </c>
      <c r="B48" s="535">
        <f>F24</f>
        <v>4</v>
      </c>
      <c r="C48" s="537">
        <v>0.2</v>
      </c>
      <c r="D48" s="538">
        <f t="shared" si="2"/>
        <v>0.8</v>
      </c>
    </row>
    <row r="49" spans="1:5">
      <c r="A49" s="657" t="s">
        <v>30</v>
      </c>
      <c r="B49" s="535">
        <f>F29</f>
        <v>3.25</v>
      </c>
      <c r="C49" s="537">
        <v>0.1</v>
      </c>
      <c r="D49" s="538">
        <f t="shared" si="2"/>
        <v>0.32500000000000001</v>
      </c>
      <c r="E49" s="92"/>
    </row>
    <row r="50" spans="1:5">
      <c r="A50" s="657" t="s">
        <v>32</v>
      </c>
      <c r="B50" s="535">
        <f>F35</f>
        <v>2.3333333333333335</v>
      </c>
      <c r="C50" s="537">
        <v>0.2</v>
      </c>
      <c r="D50" s="538">
        <f t="shared" si="2"/>
        <v>0.46666666666666673</v>
      </c>
      <c r="E50" s="92"/>
    </row>
    <row r="51" spans="1:5" ht="15" thickBot="1">
      <c r="A51" s="657" t="s">
        <v>108</v>
      </c>
      <c r="B51" s="535">
        <f>E43</f>
        <v>1</v>
      </c>
      <c r="C51" s="537">
        <v>0.1</v>
      </c>
      <c r="D51" s="538">
        <f t="shared" si="2"/>
        <v>0.1</v>
      </c>
      <c r="E51" s="92"/>
    </row>
    <row r="52" spans="1:5" ht="18.600000000000001" thickBot="1">
      <c r="A52" s="578" t="s">
        <v>123</v>
      </c>
      <c r="B52" s="579"/>
      <c r="C52" s="579"/>
      <c r="D52" s="540">
        <f>IFERROR(SUM(D46:D51),"N/A")</f>
        <v>3.058333333333334</v>
      </c>
      <c r="E52" s="92"/>
    </row>
    <row r="53" spans="1:5" ht="21.6" thickBot="1">
      <c r="A53" s="580" t="s">
        <v>124</v>
      </c>
      <c r="B53" s="581"/>
      <c r="C53" s="581"/>
      <c r="D53" s="539" t="str">
        <f>IFERROR(IF(D52&gt;=4.5,"A",IF(D52&gt;=3.5,"B",IF(D52&gt;=2.5,"C",IF(D52&gt;=1.5,"D","F")))),"N/A")</f>
        <v>C</v>
      </c>
      <c r="E53" s="92"/>
    </row>
  </sheetData>
  <mergeCells count="8">
    <mergeCell ref="A52:C52"/>
    <mergeCell ref="A53:C53"/>
    <mergeCell ref="A12:E12"/>
    <mergeCell ref="A18:E18"/>
    <mergeCell ref="A24:E24"/>
    <mergeCell ref="A29:E29"/>
    <mergeCell ref="A35:E35"/>
    <mergeCell ref="A43:D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488A-3571-4B7C-85E7-BDA662EBB59B}">
  <dimension ref="A1:AM1179"/>
  <sheetViews>
    <sheetView topLeftCell="A213" zoomScaleNormal="100" workbookViewId="0">
      <selection activeCell="B177" sqref="B177"/>
    </sheetView>
  </sheetViews>
  <sheetFormatPr defaultColWidth="8.7109375" defaultRowHeight="14.45"/>
  <cols>
    <col min="1" max="1" width="32" style="177" bestFit="1" customWidth="1"/>
    <col min="2" max="2" width="36.85546875" style="177" customWidth="1"/>
    <col min="3" max="3" width="15.7109375" style="177" bestFit="1" customWidth="1"/>
    <col min="4" max="4" width="15.28515625" style="177" customWidth="1"/>
    <col min="5" max="5" width="15.7109375" style="177" bestFit="1" customWidth="1"/>
    <col min="6" max="6" width="18" style="177" bestFit="1" customWidth="1"/>
    <col min="7" max="7" width="14.42578125" style="177" bestFit="1" customWidth="1"/>
    <col min="8" max="8" width="22" style="177" bestFit="1" customWidth="1"/>
    <col min="9" max="10" width="14" style="177" bestFit="1" customWidth="1"/>
    <col min="11" max="11" width="25.28515625" style="177" customWidth="1"/>
    <col min="12" max="12" width="16.7109375" style="177" bestFit="1" customWidth="1"/>
    <col min="13" max="13" width="17.28515625" style="177" bestFit="1" customWidth="1"/>
    <col min="14" max="14" width="14.28515625" style="177" customWidth="1"/>
    <col min="15" max="15" width="15" style="177" customWidth="1"/>
    <col min="16" max="16" width="13.28515625" style="177" bestFit="1" customWidth="1"/>
    <col min="17" max="17" width="34.7109375" style="177" customWidth="1"/>
    <col min="18" max="18" width="18.28515625" style="177" customWidth="1"/>
    <col min="19" max="19" width="10.85546875" style="177" bestFit="1" customWidth="1"/>
    <col min="20" max="22" width="12.28515625" style="177" bestFit="1" customWidth="1"/>
    <col min="23" max="23" width="14.85546875" style="177" bestFit="1" customWidth="1"/>
    <col min="24" max="24" width="12.7109375" style="177" bestFit="1" customWidth="1"/>
    <col min="25" max="25" width="12.28515625" style="177" bestFit="1" customWidth="1"/>
    <col min="26" max="28" width="12.7109375" style="177" bestFit="1" customWidth="1"/>
    <col min="29" max="39" width="12.28515625" style="177" bestFit="1" customWidth="1"/>
    <col min="40" max="16384" width="8.7109375" style="177"/>
  </cols>
  <sheetData>
    <row r="1" spans="1:39" ht="18.600000000000001" thickBot="1">
      <c r="A1" s="605" t="s">
        <v>125</v>
      </c>
      <c r="B1" s="659"/>
      <c r="C1" s="659"/>
      <c r="D1" s="659"/>
      <c r="E1" s="659"/>
      <c r="F1" s="660"/>
      <c r="H1" s="393" t="s">
        <v>126</v>
      </c>
      <c r="I1" s="289" t="s">
        <v>127</v>
      </c>
      <c r="J1" s="342" t="s">
        <v>128</v>
      </c>
      <c r="K1" s="341" t="s">
        <v>129</v>
      </c>
      <c r="L1" s="288" t="s">
        <v>130</v>
      </c>
      <c r="M1" s="288">
        <f>Calculations!D1</f>
        <v>2026</v>
      </c>
      <c r="N1" s="288">
        <f>Calculations!E1</f>
        <v>2025</v>
      </c>
      <c r="O1" s="288">
        <f>Calculations!F1</f>
        <v>2024</v>
      </c>
      <c r="P1" s="287">
        <f>Calculations!G1</f>
        <v>2023</v>
      </c>
      <c r="Q1"/>
      <c r="R1" s="599" t="s">
        <v>131</v>
      </c>
      <c r="S1" s="600"/>
      <c r="T1" s="600"/>
      <c r="U1" s="600"/>
      <c r="V1" s="600"/>
      <c r="W1" s="600"/>
      <c r="X1" s="600"/>
      <c r="Y1" s="600"/>
      <c r="Z1" s="600"/>
      <c r="AA1" s="600"/>
      <c r="AB1" s="600"/>
      <c r="AC1" s="600"/>
      <c r="AD1" s="600"/>
      <c r="AE1" s="600"/>
      <c r="AF1" s="600"/>
      <c r="AG1" s="600"/>
      <c r="AH1" s="600"/>
      <c r="AI1" s="600"/>
      <c r="AJ1" s="600"/>
      <c r="AK1" s="600"/>
      <c r="AL1" s="600"/>
      <c r="AM1" s="601"/>
    </row>
    <row r="2" spans="1:39" ht="28.9" customHeight="1">
      <c r="A2" s="291" t="s">
        <v>132</v>
      </c>
      <c r="B2" s="289">
        <f>'Data Schema'!$C$1+1</f>
        <v>2027</v>
      </c>
      <c r="C2" s="289">
        <f>'Data Schema'!$C$1+2</f>
        <v>2028</v>
      </c>
      <c r="D2" s="289">
        <f>'Data Schema'!$C$1+3</f>
        <v>2029</v>
      </c>
      <c r="E2" s="289">
        <f>'Data Schema'!$C$1+4</f>
        <v>2030</v>
      </c>
      <c r="F2" s="290">
        <f>'Data Schema'!$C$1+5</f>
        <v>2031</v>
      </c>
      <c r="H2" s="272" t="s">
        <v>133</v>
      </c>
      <c r="I2" s="350">
        <f t="array" ref="I2">_xlfn.SWITCH(J2,"Manual",K2,"Average",L2,"Manual +2.5%",K2*1.025, "Manual +5%",K2*1.05, "Manual +10%",K2*1.1, "Manual -2.5%",K2*0.975,"Manual -5%",K2*0.95, "Manual -10%",K2*0.9)</f>
        <v>0.1</v>
      </c>
      <c r="J2" s="394" t="s">
        <v>134</v>
      </c>
      <c r="K2" s="395">
        <v>0.1</v>
      </c>
      <c r="L2" s="396">
        <f>Calculations!H54</f>
        <v>5.2737262817203888E-2</v>
      </c>
      <c r="M2" s="397">
        <f>Calculations!D54</f>
        <v>4.7252142117667706E-2</v>
      </c>
      <c r="N2" s="397">
        <f>Calculations!E54</f>
        <v>5.0700096432015451E-2</v>
      </c>
      <c r="O2" s="397">
        <f>Calculations!F54</f>
        <v>6.02595499019285E-2</v>
      </c>
      <c r="P2" s="286" t="str">
        <f>Calculations!G54</f>
        <v>N/A</v>
      </c>
      <c r="Q2"/>
      <c r="R2" s="211"/>
      <c r="AM2" s="200"/>
    </row>
    <row r="3" spans="1:39">
      <c r="A3" s="374" t="s">
        <v>135</v>
      </c>
      <c r="B3" s="375">
        <f>'Data Schema'!C3*(1+I2)</f>
        <v>784479300.00000012</v>
      </c>
      <c r="C3" s="375">
        <f>B3*(1+$I$2)</f>
        <v>862927230.00000024</v>
      </c>
      <c r="D3" s="375">
        <f>C3*(1+$I$2)</f>
        <v>949219953.00000036</v>
      </c>
      <c r="E3" s="375">
        <f>D3*(1+$I$2)</f>
        <v>1044141948.3000004</v>
      </c>
      <c r="F3" s="376">
        <f>E3*(1+$I$2)</f>
        <v>1148556143.1300006</v>
      </c>
      <c r="H3" s="277" t="s">
        <v>136</v>
      </c>
      <c r="I3" s="275"/>
      <c r="J3" s="276"/>
      <c r="K3" s="275"/>
      <c r="L3" s="275"/>
      <c r="M3" s="276"/>
      <c r="N3" s="276"/>
      <c r="O3" s="276"/>
      <c r="P3" s="285"/>
      <c r="Q3"/>
      <c r="R3" s="284" t="s">
        <v>137</v>
      </c>
      <c r="S3" s="282"/>
      <c r="T3" s="282"/>
      <c r="U3" s="283"/>
      <c r="V3" s="282"/>
      <c r="W3" s="281">
        <f>F29*F27+F25-F24</f>
        <v>1048127860</v>
      </c>
      <c r="AM3" s="200"/>
    </row>
    <row r="4" spans="1:39" ht="15" customHeight="1" thickBot="1">
      <c r="A4" s="278" t="s">
        <v>138</v>
      </c>
      <c r="B4" s="254">
        <f>B3*$I$4</f>
        <v>588359475.00000012</v>
      </c>
      <c r="C4" s="254">
        <f>C3*$I$4</f>
        <v>647195422.50000024</v>
      </c>
      <c r="D4" s="254">
        <f>D3*$I$4</f>
        <v>711914964.75000024</v>
      </c>
      <c r="E4" s="254">
        <f>E3*$I$4</f>
        <v>783106461.22500038</v>
      </c>
      <c r="F4" s="253">
        <f>F3*$I$4</f>
        <v>861417107.34750044</v>
      </c>
      <c r="H4" s="272" t="s">
        <v>139</v>
      </c>
      <c r="I4" s="350">
        <f t="array" ref="I4">_xlfn.SWITCH(J4,"Manual",K4,"Average",L4,"Manual +2.5%",K4*1.025, "Manual +5%",K4*1.05, "Manual +10%",K4*1.1, "Manual -2.5%",K4*0.975,"Manual -5%",K4*0.95, "Manual -10%",K4*0.9)</f>
        <v>0.75</v>
      </c>
      <c r="J4" s="394" t="s">
        <v>134</v>
      </c>
      <c r="K4" s="395">
        <v>0.75</v>
      </c>
      <c r="L4" s="396">
        <f>Calculations!H9</f>
        <v>0.75426596123451961</v>
      </c>
      <c r="M4" s="396">
        <f>Calculations!D9</f>
        <v>0.75073300213275229</v>
      </c>
      <c r="N4" s="396">
        <f>Calculations!E9</f>
        <v>0.75148938669721066</v>
      </c>
      <c r="O4" s="396">
        <f>Calculations!F9</f>
        <v>0.7562460945033751</v>
      </c>
      <c r="P4" s="267">
        <f>Calculations!G9</f>
        <v>0.75859536160474017</v>
      </c>
      <c r="Q4"/>
      <c r="R4" s="211"/>
      <c r="AM4" s="200"/>
    </row>
    <row r="5" spans="1:39" ht="15" customHeight="1" thickTop="1">
      <c r="A5" s="377" t="s">
        <v>140</v>
      </c>
      <c r="B5" s="378">
        <f>B3-B4</f>
        <v>196119825</v>
      </c>
      <c r="C5" s="378">
        <f>C3-C4</f>
        <v>215731807.5</v>
      </c>
      <c r="D5" s="378">
        <f>D3-D4</f>
        <v>237304988.25000012</v>
      </c>
      <c r="E5" s="378">
        <f>E3-E4</f>
        <v>261035487.07500005</v>
      </c>
      <c r="F5" s="379">
        <f>F3-F4</f>
        <v>287139035.78250015</v>
      </c>
      <c r="H5" s="264" t="s">
        <v>141</v>
      </c>
      <c r="I5" s="398">
        <f t="array" ref="I5">_xlfn.SWITCH(J5,"Manual",K5,"Average",L5,"Manual +2.5%",K5*1.025, "Manual +5%",K5*1.05, "Manual +10%",K5*1.1, "Manual -2.5%",K5*0.975,"Manual -5%",K5*0.95, "Manual -10%",K5*0.9)</f>
        <v>0.20699999999999999</v>
      </c>
      <c r="J5" s="399" t="s">
        <v>134</v>
      </c>
      <c r="K5" s="395">
        <v>0.20699999999999999</v>
      </c>
      <c r="L5" s="400">
        <f>Calculations!H10</f>
        <v>0.20573099244382739</v>
      </c>
      <c r="M5" s="400">
        <f>Calculations!D10</f>
        <v>0.20744626403781463</v>
      </c>
      <c r="N5" s="400">
        <f>Calculations!E10</f>
        <v>0.20541421617216238</v>
      </c>
      <c r="O5" s="400">
        <f>Calculations!F10</f>
        <v>0.20207675988428159</v>
      </c>
      <c r="P5" s="263">
        <f>Calculations!G10</f>
        <v>0.20798672968105103</v>
      </c>
      <c r="Q5"/>
      <c r="R5" s="602" t="s">
        <v>142</v>
      </c>
      <c r="S5" s="603"/>
      <c r="T5" s="603"/>
      <c r="U5" s="603"/>
      <c r="V5" s="603"/>
      <c r="W5" s="603"/>
      <c r="X5" s="603"/>
      <c r="Y5" s="603"/>
      <c r="Z5" s="603"/>
      <c r="AA5" s="603"/>
      <c r="AB5" s="603"/>
      <c r="AC5" s="603"/>
      <c r="AD5" s="603"/>
      <c r="AE5" s="603"/>
      <c r="AF5" s="603"/>
      <c r="AG5" s="603"/>
      <c r="AH5" s="603"/>
      <c r="AI5" s="603"/>
      <c r="AJ5" s="603"/>
      <c r="AK5" s="603"/>
      <c r="AL5" s="603"/>
      <c r="AM5" s="604"/>
    </row>
    <row r="6" spans="1:39" ht="15" customHeight="1" thickBot="1">
      <c r="A6" s="258" t="s">
        <v>143</v>
      </c>
      <c r="B6" s="254">
        <f>B3*$I$5</f>
        <v>162387215.10000002</v>
      </c>
      <c r="C6" s="254">
        <f>C3*$I$5</f>
        <v>178625936.61000004</v>
      </c>
      <c r="D6" s="254">
        <f>D3*$I$5</f>
        <v>196488530.27100006</v>
      </c>
      <c r="E6" s="254">
        <f>E3*$I$5</f>
        <v>216137383.29810008</v>
      </c>
      <c r="F6" s="253">
        <f>F3*$I$5</f>
        <v>237751121.62791011</v>
      </c>
      <c r="H6" s="280" t="s">
        <v>144</v>
      </c>
      <c r="I6" s="401">
        <f t="array" ref="I6">_xlfn.SWITCH(J6,"Manual",K6,"Average",L6,"Manual +2.5%",K6*1.025, "Manual +5%",K6*1.05, "Manual +10%",K6*1.1, "Manual -2.5%",K6*0.975,"Manual -5%",K6*0.95, "Manual -10%",K6*0.9)</f>
        <v>2.5000000000000001E-2</v>
      </c>
      <c r="J6" s="402" t="s">
        <v>134</v>
      </c>
      <c r="K6" s="403">
        <v>2.5000000000000001E-2</v>
      </c>
      <c r="L6" s="404">
        <f>Calculations!H11</f>
        <v>1.878969407967112E-2</v>
      </c>
      <c r="M6" s="404">
        <f>Calculations!D11</f>
        <v>1.9915503187910757E-2</v>
      </c>
      <c r="N6" s="404">
        <f>Calculations!E11</f>
        <v>1.9050346189710493E-2</v>
      </c>
      <c r="O6" s="404">
        <f>Calculations!F11</f>
        <v>1.8288138862102218E-2</v>
      </c>
      <c r="P6" s="279">
        <f>Calculations!G11</f>
        <v>1.7904788078961016E-2</v>
      </c>
      <c r="R6" s="207" t="s">
        <v>145</v>
      </c>
      <c r="W6" s="235">
        <f>SUM(B17:F17)</f>
        <v>101482784.8614932</v>
      </c>
      <c r="AM6" s="200"/>
    </row>
    <row r="7" spans="1:39" ht="15" customHeight="1" thickTop="1">
      <c r="A7" s="377" t="s">
        <v>146</v>
      </c>
      <c r="B7" s="378">
        <f>B5-B6</f>
        <v>33732609.899999976</v>
      </c>
      <c r="C7" s="378">
        <f>C5-C6</f>
        <v>37105870.889999956</v>
      </c>
      <c r="D7" s="378">
        <f>D5-D6</f>
        <v>40816457.979000062</v>
      </c>
      <c r="E7" s="378">
        <f>E5-E6</f>
        <v>44898103.776899964</v>
      </c>
      <c r="F7" s="379">
        <f>F5-F6</f>
        <v>49387914.15459004</v>
      </c>
      <c r="H7" s="277" t="s">
        <v>147</v>
      </c>
      <c r="I7" s="275"/>
      <c r="J7" s="276"/>
      <c r="K7" s="275"/>
      <c r="L7" s="275"/>
      <c r="M7" s="274"/>
      <c r="N7" s="274"/>
      <c r="O7" s="274"/>
      <c r="P7" s="273"/>
      <c r="R7" s="207" t="s">
        <v>148</v>
      </c>
      <c r="W7" s="235">
        <f>W3-W6</f>
        <v>946645075.13850677</v>
      </c>
      <c r="AM7" s="200"/>
    </row>
    <row r="8" spans="1:39" ht="15" customHeight="1" thickBot="1">
      <c r="A8" s="278" t="s">
        <v>149</v>
      </c>
      <c r="B8" s="254">
        <f>$I$8*$I$9</f>
        <v>2400000</v>
      </c>
      <c r="C8" s="254">
        <f>$I$8*$I$9</f>
        <v>2400000</v>
      </c>
      <c r="D8" s="254">
        <f>$I$8*$I$9</f>
        <v>2400000</v>
      </c>
      <c r="E8" s="254">
        <f>$I$8*$I$9</f>
        <v>2400000</v>
      </c>
      <c r="F8" s="253">
        <f>$I$8*$I$9</f>
        <v>2400000</v>
      </c>
      <c r="H8" s="272" t="s">
        <v>76</v>
      </c>
      <c r="I8" s="405">
        <f t="array" ref="I8">_xlfn.SWITCH(J8,"Manual",K8,"Average",L8,"Manual +2.5%",K8*1.025, "Manual +5%",K8*1.05, "Manual +10%",K8*1.1, "Manual -2.5%",K8*0.975,"Manual -5%",K8*0.95, "Manual -10%",K8*0.9)</f>
        <v>60000000</v>
      </c>
      <c r="J8" s="394" t="s">
        <v>134</v>
      </c>
      <c r="K8" s="406">
        <v>60000000</v>
      </c>
      <c r="L8" s="245">
        <f>AVERAGE('Data Schema'!C31:F31)</f>
        <v>61863250</v>
      </c>
      <c r="M8" s="245">
        <f>'Data Schema'!C31</f>
        <v>67095000</v>
      </c>
      <c r="N8" s="245">
        <f>'Data Schema'!D31</f>
        <v>60114000</v>
      </c>
      <c r="O8" s="245">
        <f>'Data Schema'!E31</f>
        <v>61321000</v>
      </c>
      <c r="P8" s="271">
        <f>'Data Schema'!F31</f>
        <v>58923000</v>
      </c>
      <c r="R8" s="207" t="s">
        <v>150</v>
      </c>
      <c r="W8" s="235">
        <f>W7*(1+I13)^5</f>
        <v>1266824652.459424</v>
      </c>
      <c r="AM8" s="200"/>
    </row>
    <row r="9" spans="1:39" ht="15.4" customHeight="1" thickTop="1" thickBot="1">
      <c r="A9" s="380" t="s">
        <v>151</v>
      </c>
      <c r="B9" s="381">
        <f>B7-B8</f>
        <v>31332609.899999976</v>
      </c>
      <c r="C9" s="381">
        <f>C7-C8</f>
        <v>34705870.889999956</v>
      </c>
      <c r="D9" s="381">
        <f>D7-D8</f>
        <v>38416457.979000062</v>
      </c>
      <c r="E9" s="381">
        <f>E7-E8</f>
        <v>42498103.776899964</v>
      </c>
      <c r="F9" s="382">
        <f>F7-F8</f>
        <v>46987914.15459004</v>
      </c>
      <c r="H9" s="270" t="s">
        <v>152</v>
      </c>
      <c r="I9" s="398">
        <f t="array" ref="I9">_xlfn.SWITCH(J9,"Manual",K9,"Average",L9,"Manual +2.5%",K9*1.025, "Manual +5%",K9*1.05, "Manual +10%",K9*1.1, "Manual -2.5%",K9*0.975,"Manual -5%",K9*0.95, "Manual -10%",K9*0.9)</f>
        <v>0.04</v>
      </c>
      <c r="J9" s="407" t="s">
        <v>134</v>
      </c>
      <c r="K9" s="395">
        <v>0.04</v>
      </c>
      <c r="L9" s="400">
        <f>Calculations!H8</f>
        <v>4.1741426350743467E-2</v>
      </c>
      <c r="M9" s="408">
        <f>Calculations!D8</f>
        <v>4.1716968477531854E-2</v>
      </c>
      <c r="N9" s="408">
        <f>Calculations!E8</f>
        <v>4.53804438234022E-2</v>
      </c>
      <c r="O9" s="408">
        <f>Calculations!F8</f>
        <v>4.375336344808467E-2</v>
      </c>
      <c r="P9" s="269">
        <f>Calculations!G8</f>
        <v>3.6114929653955165E-2</v>
      </c>
      <c r="R9" s="207" t="s">
        <v>153</v>
      </c>
      <c r="W9" s="219">
        <f>(W8*I13-F16)/(W8+F16)</f>
        <v>3.6109846841749477E-2</v>
      </c>
      <c r="AM9" s="200"/>
    </row>
    <row r="10" spans="1:39" ht="15.4" customHeight="1" thickTop="1" thickBot="1">
      <c r="A10" s="258" t="s">
        <v>154</v>
      </c>
      <c r="B10" s="254">
        <f>B9*$I$10</f>
        <v>7833152.474999994</v>
      </c>
      <c r="C10" s="254">
        <f>C9*$I$10</f>
        <v>8676467.722499989</v>
      </c>
      <c r="D10" s="254">
        <f>D9*$I$10</f>
        <v>9604114.4947500154</v>
      </c>
      <c r="E10" s="254">
        <f>E9*$I$10</f>
        <v>10624525.944224991</v>
      </c>
      <c r="F10" s="253">
        <f>F9*$I$10</f>
        <v>11746978.53864751</v>
      </c>
      <c r="H10" s="268" t="s">
        <v>155</v>
      </c>
      <c r="I10" s="350">
        <f t="array" ref="I10">_xlfn.SWITCH(J10,"Manual",K10,"Average",L10,"Manual +2.5%",K10*1.025, "Manual +5%",K10*1.05, "Manual +10%",K10*1.1, "Manual -2.5%",K10*0.975,"Manual -5%",K10*0.95, "Manual -10%",K10*0.9)</f>
        <v>0.25</v>
      </c>
      <c r="J10" s="394" t="s">
        <v>134</v>
      </c>
      <c r="K10" s="395">
        <v>0.25</v>
      </c>
      <c r="L10" s="396">
        <f>Calculations!H3</f>
        <v>0.2674564078486168</v>
      </c>
      <c r="M10" s="396">
        <f>Calculations!D3</f>
        <v>0.24429061047202144</v>
      </c>
      <c r="N10" s="396">
        <f>Calculations!E3</f>
        <v>0.23383632977308144</v>
      </c>
      <c r="O10" s="396">
        <f>Calculations!F3</f>
        <v>0.25530941047235445</v>
      </c>
      <c r="P10" s="267">
        <f>Calculations!G3</f>
        <v>0.33638928067700985</v>
      </c>
      <c r="R10" s="207" t="s">
        <v>156</v>
      </c>
      <c r="W10" s="216">
        <f>I14</f>
        <v>2.5000000000000001E-2</v>
      </c>
      <c r="AM10" s="200"/>
    </row>
    <row r="11" spans="1:39" ht="15" customHeight="1" thickTop="1">
      <c r="A11" s="380" t="s">
        <v>157</v>
      </c>
      <c r="B11" s="378">
        <f>B9-B10</f>
        <v>23499457.424999982</v>
      </c>
      <c r="C11" s="378">
        <f>C9-C10</f>
        <v>26029403.167499967</v>
      </c>
      <c r="D11" s="378">
        <f>D9-D10</f>
        <v>28812343.484250046</v>
      </c>
      <c r="E11" s="378">
        <f>E9-E10</f>
        <v>31873577.832674973</v>
      </c>
      <c r="F11" s="379">
        <f>F9-F10</f>
        <v>35240935.61594253</v>
      </c>
      <c r="H11" s="264" t="s">
        <v>158</v>
      </c>
      <c r="I11" s="409">
        <f t="array" ref="I11">_xlfn.SWITCH(J11,"Manual",K11,"Average",L11,"Manual +2.5%",K11*1.025, "Manual +5%",K11*1.05, "Manual +10%",K11*1.1, "Manual -2.5%",K11*0.975,"Manual -5%",K11*0.95, "Manual -10%",K11*0.9)</f>
        <v>0.03</v>
      </c>
      <c r="J11" s="399" t="s">
        <v>134</v>
      </c>
      <c r="K11" s="395">
        <v>0.03</v>
      </c>
      <c r="L11" s="400">
        <f>Calculations!H12</f>
        <v>3.2912833480089845E-2</v>
      </c>
      <c r="M11" s="400">
        <f>Calculations!D12</f>
        <v>3.73575185476532E-2</v>
      </c>
      <c r="N11" s="400">
        <f>Calculations!E12</f>
        <v>3.4924410963530765E-2</v>
      </c>
      <c r="O11" s="400">
        <f>Calculations!F12</f>
        <v>3.1793249758919964E-2</v>
      </c>
      <c r="P11" s="263">
        <f>Calculations!G12</f>
        <v>2.7576154650255445E-2</v>
      </c>
      <c r="R11" s="203" t="s">
        <v>159</v>
      </c>
      <c r="S11" s="202"/>
      <c r="T11" s="202"/>
      <c r="U11" s="202"/>
      <c r="V11" s="202"/>
      <c r="W11" s="214">
        <f>W9-W10</f>
        <v>1.1109846841749475E-2</v>
      </c>
      <c r="X11" s="213">
        <f>(W9/(W10))-1</f>
        <v>0.44439387366997907</v>
      </c>
      <c r="Y11" s="202"/>
      <c r="Z11" s="202"/>
      <c r="AA11" s="202"/>
      <c r="AB11" s="202"/>
      <c r="AC11" s="202"/>
      <c r="AD11" s="202"/>
      <c r="AE11" s="202"/>
      <c r="AF11" s="202"/>
      <c r="AG11" s="202"/>
      <c r="AH11" s="202"/>
      <c r="AI11" s="202"/>
      <c r="AJ11" s="202"/>
      <c r="AK11" s="202"/>
      <c r="AL11" s="202"/>
      <c r="AM11" s="212"/>
    </row>
    <row r="12" spans="1:39">
      <c r="A12" s="262" t="s">
        <v>160</v>
      </c>
      <c r="B12" s="266">
        <f>B8*(1-$I$10)</f>
        <v>1800000</v>
      </c>
      <c r="C12" s="266">
        <f>C8*(1-$I$10)</f>
        <v>1800000</v>
      </c>
      <c r="D12" s="266">
        <f>D8*(1-$I$10)</f>
        <v>1800000</v>
      </c>
      <c r="E12" s="266">
        <f>E8*(1-$I$10)</f>
        <v>1800000</v>
      </c>
      <c r="F12" s="265">
        <f>F8*(1-$I$10)</f>
        <v>1800000</v>
      </c>
      <c r="H12" s="259" t="s">
        <v>161</v>
      </c>
      <c r="I12" s="350">
        <f t="array" ref="I12">_xlfn.SWITCH(J12,"Manual",K12,"Average",L12,"Manual +2.5%",K12*1.025, "Manual +5%",K12*1.05, "Manual +10%",K12*1.1, "Manual -2.5%",K12*0.975,"Manual -5%",K12*0.95, "Manual -10%",K12*0.9)</f>
        <v>0.02</v>
      </c>
      <c r="J12" s="394" t="s">
        <v>134</v>
      </c>
      <c r="K12" s="395">
        <v>0.02</v>
      </c>
      <c r="L12" s="343" t="s">
        <v>162</v>
      </c>
      <c r="P12" s="200"/>
      <c r="R12" s="211"/>
      <c r="AM12" s="200"/>
    </row>
    <row r="13" spans="1:39">
      <c r="A13" s="262" t="s">
        <v>163</v>
      </c>
      <c r="B13" s="261">
        <f>B3*$I$6</f>
        <v>19611982.500000004</v>
      </c>
      <c r="C13" s="261">
        <f>C3*$I$6</f>
        <v>21573180.750000007</v>
      </c>
      <c r="D13" s="261">
        <f>D3*$I$6</f>
        <v>23730498.82500001</v>
      </c>
      <c r="E13" s="261">
        <f>E3*$I$6</f>
        <v>26103548.707500011</v>
      </c>
      <c r="F13" s="260">
        <f>F3*$I$6</f>
        <v>28713903.578250017</v>
      </c>
      <c r="H13" s="257" t="s">
        <v>58</v>
      </c>
      <c r="I13" s="398">
        <f t="array" ref="I13">_xlfn.SWITCH(J13,"Manual",K13,"Calculated",N13,"Manual +2.5%",K13*1.025, "Manual +5%",K13*1.05, "Manual +10%",K13*1.1, "Manual -2.5%",K13*0.975,"Manual -5%",K13*0.95, "Manual -10%",K13*0.9)</f>
        <v>0.06</v>
      </c>
      <c r="J13" s="407" t="s">
        <v>134</v>
      </c>
      <c r="K13" s="395">
        <v>0.06</v>
      </c>
      <c r="L13" s="410" t="s">
        <v>164</v>
      </c>
      <c r="M13" s="411"/>
      <c r="N13" s="412">
        <f>Calculations!C23</f>
        <v>9.6068136584787495E-2</v>
      </c>
      <c r="O13" s="410"/>
      <c r="P13" s="256"/>
      <c r="R13" s="602" t="s">
        <v>165</v>
      </c>
      <c r="S13" s="603"/>
      <c r="T13" s="603"/>
      <c r="U13" s="603"/>
      <c r="V13" s="603"/>
      <c r="W13" s="603"/>
      <c r="X13" s="603"/>
      <c r="Y13" s="603"/>
      <c r="Z13" s="603"/>
      <c r="AA13" s="603"/>
      <c r="AB13" s="603"/>
      <c r="AC13" s="603"/>
      <c r="AD13" s="603"/>
      <c r="AE13" s="603"/>
      <c r="AF13" s="603"/>
      <c r="AG13" s="603"/>
      <c r="AH13" s="603"/>
      <c r="AI13" s="603"/>
      <c r="AJ13" s="603"/>
      <c r="AK13" s="603"/>
      <c r="AL13" s="603"/>
      <c r="AM13" s="604"/>
    </row>
    <row r="14" spans="1:39" ht="15" customHeight="1" thickBot="1">
      <c r="A14" s="258" t="s">
        <v>166</v>
      </c>
      <c r="B14" s="254">
        <f>(B3-'Data Schema'!C3)*$I$12</f>
        <v>1426326.0000000023</v>
      </c>
      <c r="C14" s="254">
        <f>(C3-B3)*$I$12</f>
        <v>1568958.6000000024</v>
      </c>
      <c r="D14" s="254">
        <f>(D3-C3)*$I$12</f>
        <v>1725854.4600000025</v>
      </c>
      <c r="E14" s="254">
        <f>(E3-D3)*$I$12</f>
        <v>1898439.9060000014</v>
      </c>
      <c r="F14" s="253">
        <f>(F3-E3)*$I$12</f>
        <v>2088283.8966000034</v>
      </c>
      <c r="H14" s="231" t="s">
        <v>56</v>
      </c>
      <c r="I14" s="340">
        <f t="array" ref="I14">_xlfn.SWITCH(J14,"Manual",K14,"Calculated",N14,"Manual +2.5%",K14*1.025, "Manual +5%",K14*1.05, "Manual +10%",K14*1.1, "Manual -2.5%",K14*0.975,"Manual -5%",K14*0.95, "Manual -10%",K14*0.9)</f>
        <v>2.5000000000000001E-2</v>
      </c>
      <c r="J14" s="339" t="s">
        <v>167</v>
      </c>
      <c r="K14" s="338">
        <v>0.03</v>
      </c>
      <c r="L14" s="230" t="s">
        <v>164</v>
      </c>
      <c r="M14" s="252"/>
      <c r="N14" s="251">
        <f>Calculations!C28</f>
        <v>2.5000000000000001E-2</v>
      </c>
      <c r="O14" s="230"/>
      <c r="P14" s="250"/>
      <c r="R14" s="227" t="s">
        <v>168</v>
      </c>
      <c r="S14" s="226" t="s">
        <v>169</v>
      </c>
      <c r="T14" s="225">
        <v>1</v>
      </c>
      <c r="U14" s="225">
        <v>2</v>
      </c>
      <c r="V14" s="225">
        <v>3</v>
      </c>
      <c r="W14" s="225">
        <v>4</v>
      </c>
      <c r="X14" s="225">
        <v>5</v>
      </c>
      <c r="Y14" s="225">
        <v>6</v>
      </c>
      <c r="Z14" s="225">
        <v>7</v>
      </c>
      <c r="AA14" s="225">
        <v>8</v>
      </c>
      <c r="AB14" s="225">
        <v>9</v>
      </c>
      <c r="AC14" s="225">
        <v>10</v>
      </c>
      <c r="AD14" s="225">
        <v>11</v>
      </c>
      <c r="AE14" s="225">
        <v>12</v>
      </c>
      <c r="AF14" s="225">
        <v>13</v>
      </c>
      <c r="AG14" s="225">
        <v>14</v>
      </c>
      <c r="AH14" s="225">
        <v>15</v>
      </c>
      <c r="AI14" s="225">
        <v>16</v>
      </c>
      <c r="AJ14" s="225">
        <v>17</v>
      </c>
      <c r="AK14" s="225">
        <v>18</v>
      </c>
      <c r="AL14" s="225">
        <v>19</v>
      </c>
      <c r="AM14" s="224">
        <v>20</v>
      </c>
    </row>
    <row r="15" spans="1:39" ht="15.4" customHeight="1" thickTop="1" thickBot="1">
      <c r="A15" s="255" t="s">
        <v>170</v>
      </c>
      <c r="B15" s="254">
        <f>B3*$I$11</f>
        <v>23534379.000000004</v>
      </c>
      <c r="C15" s="254">
        <f>C3*$I$11</f>
        <v>25887816.900000006</v>
      </c>
      <c r="D15" s="254">
        <f>D3*$I$11</f>
        <v>28476598.590000011</v>
      </c>
      <c r="E15" s="254">
        <f>E3*$I$11</f>
        <v>31324258.449000012</v>
      </c>
      <c r="F15" s="253">
        <f>F3*$I$11</f>
        <v>34456684.293900013</v>
      </c>
      <c r="H15" s="277" t="s">
        <v>147</v>
      </c>
      <c r="I15" s="275"/>
      <c r="J15" s="276"/>
      <c r="K15" s="275"/>
      <c r="L15" s="275"/>
      <c r="M15" s="274"/>
      <c r="N15" s="274"/>
      <c r="O15" s="274"/>
      <c r="P15" s="273"/>
      <c r="R15" s="207" t="s">
        <v>171</v>
      </c>
      <c r="S15" s="223">
        <v>0.01</v>
      </c>
      <c r="T15" s="223">
        <f t="shared" ref="T15:AM15" si="0">IF(S18&gt;$W$3,S17,S15)</f>
        <v>0.01</v>
      </c>
      <c r="U15" s="223">
        <f t="shared" si="0"/>
        <v>0.01</v>
      </c>
      <c r="V15" s="223">
        <f t="shared" si="0"/>
        <v>4.6249999999999999E-2</v>
      </c>
      <c r="W15" s="223">
        <f t="shared" si="0"/>
        <v>4.6249999999999999E-2</v>
      </c>
      <c r="X15" s="223">
        <f t="shared" si="0"/>
        <v>4.6249999999999999E-2</v>
      </c>
      <c r="Y15" s="223">
        <f t="shared" si="0"/>
        <v>4.6249999999999999E-2</v>
      </c>
      <c r="Z15" s="223">
        <f t="shared" si="0"/>
        <v>4.8515625E-2</v>
      </c>
      <c r="AA15" s="223">
        <f t="shared" si="0"/>
        <v>4.9648437500000003E-2</v>
      </c>
      <c r="AB15" s="223">
        <f t="shared" si="0"/>
        <v>4.9648437500000003E-2</v>
      </c>
      <c r="AC15" s="223">
        <f t="shared" si="0"/>
        <v>4.9648437500000003E-2</v>
      </c>
      <c r="AD15" s="223">
        <f t="shared" si="0"/>
        <v>4.9790039062499999E-2</v>
      </c>
      <c r="AE15" s="223">
        <f t="shared" si="0"/>
        <v>4.9860839843750004E-2</v>
      </c>
      <c r="AF15" s="223">
        <f t="shared" si="0"/>
        <v>4.9860839843750004E-2</v>
      </c>
      <c r="AG15" s="223">
        <f t="shared" si="0"/>
        <v>4.9860839843750004E-2</v>
      </c>
      <c r="AH15" s="223">
        <f t="shared" si="0"/>
        <v>4.9869689941406253E-2</v>
      </c>
      <c r="AI15" s="223">
        <f t="shared" si="0"/>
        <v>4.9874114990234378E-2</v>
      </c>
      <c r="AJ15" s="223">
        <f t="shared" si="0"/>
        <v>4.9874114990234378E-2</v>
      </c>
      <c r="AK15" s="223">
        <f t="shared" si="0"/>
        <v>4.9875221252441412E-2</v>
      </c>
      <c r="AL15" s="223">
        <f t="shared" si="0"/>
        <v>4.987577438354493E-2</v>
      </c>
      <c r="AM15" s="222">
        <f t="shared" si="0"/>
        <v>4.987577438354493E-2</v>
      </c>
    </row>
    <row r="16" spans="1:39" ht="15" customHeight="1" thickTop="1" thickBot="1">
      <c r="A16" s="383" t="s">
        <v>172</v>
      </c>
      <c r="B16" s="371">
        <f>B11+B12+B13-B14-B15</f>
        <v>19950734.924999978</v>
      </c>
      <c r="C16" s="371">
        <f>C11+C12+C13-C14-C15</f>
        <v>21945808.417499967</v>
      </c>
      <c r="D16" s="371">
        <f>D11+D12+D13-D14-D15</f>
        <v>24140389.259250045</v>
      </c>
      <c r="E16" s="371">
        <f>E11+E12+E13-E14-E15</f>
        <v>26554428.185174968</v>
      </c>
      <c r="F16" s="372">
        <f>F11+F12+F13-F14-F15</f>
        <v>29209871.00369253</v>
      </c>
      <c r="H16" s="413" t="s">
        <v>22</v>
      </c>
      <c r="I16" s="414" cm="1">
        <f t="array" ref="I16">_xlfn.SWITCH(J16,"Forecasted",F18,"Manual",K16,"Average",L16,"Manual +2.5%",K16*1.025, "Manual +5%",K16*1.05, "Manual +10%",K16*1.1, "Manual -2.5%",K16*0.975,"Manual -5%",K16*0.95, "Manual -10%",K16*0.9)</f>
        <v>4.300000000000001E-2</v>
      </c>
      <c r="J16" s="415" t="s">
        <v>173</v>
      </c>
      <c r="K16" s="338">
        <v>0.03</v>
      </c>
      <c r="L16" s="416">
        <f>Calculations!H13</f>
        <v>2.556968487160376E-2</v>
      </c>
      <c r="M16" s="416">
        <f>Calculations!D13</f>
        <v>3.0698451826581021E-2</v>
      </c>
      <c r="N16" s="416">
        <f>Calculations!E13</f>
        <v>2.8541010448100913E-2</v>
      </c>
      <c r="O16" s="416">
        <f>Calculations!F13</f>
        <v>2.3932111861137896E-2</v>
      </c>
      <c r="P16" s="417">
        <f>Calculations!G13</f>
        <v>1.9107165350595218E-2</v>
      </c>
      <c r="R16" s="207" t="s">
        <v>174</v>
      </c>
      <c r="S16" s="223">
        <v>0.3</v>
      </c>
      <c r="T16" s="223">
        <f t="shared" ref="T16:AM16" si="1">IF(S18&gt;$W$3,S16,S17)</f>
        <v>0.155</v>
      </c>
      <c r="U16" s="223">
        <f t="shared" si="1"/>
        <v>8.2500000000000004E-2</v>
      </c>
      <c r="V16" s="223">
        <f t="shared" si="1"/>
        <v>8.2500000000000004E-2</v>
      </c>
      <c r="W16" s="223">
        <f t="shared" si="1"/>
        <v>6.4375000000000002E-2</v>
      </c>
      <c r="X16" s="223">
        <f t="shared" si="1"/>
        <v>5.5312500000000001E-2</v>
      </c>
      <c r="Y16" s="223">
        <f t="shared" si="1"/>
        <v>5.078125E-2</v>
      </c>
      <c r="Z16" s="223">
        <f t="shared" si="1"/>
        <v>5.078125E-2</v>
      </c>
      <c r="AA16" s="223">
        <f t="shared" si="1"/>
        <v>5.078125E-2</v>
      </c>
      <c r="AB16" s="223">
        <f t="shared" si="1"/>
        <v>5.0214843750000002E-2</v>
      </c>
      <c r="AC16" s="223">
        <f t="shared" si="1"/>
        <v>4.9931640625000002E-2</v>
      </c>
      <c r="AD16" s="223">
        <f t="shared" si="1"/>
        <v>4.9931640625000002E-2</v>
      </c>
      <c r="AE16" s="223">
        <f t="shared" si="1"/>
        <v>4.9931640625000002E-2</v>
      </c>
      <c r="AF16" s="223">
        <f t="shared" si="1"/>
        <v>4.9896240234375E-2</v>
      </c>
      <c r="AG16" s="223">
        <f t="shared" si="1"/>
        <v>4.9878540039062502E-2</v>
      </c>
      <c r="AH16" s="223">
        <f t="shared" si="1"/>
        <v>4.9878540039062502E-2</v>
      </c>
      <c r="AI16" s="223">
        <f t="shared" si="1"/>
        <v>4.9878540039062502E-2</v>
      </c>
      <c r="AJ16" s="223">
        <f t="shared" si="1"/>
        <v>4.987632751464844E-2</v>
      </c>
      <c r="AK16" s="223">
        <f t="shared" si="1"/>
        <v>4.987632751464844E-2</v>
      </c>
      <c r="AL16" s="223">
        <f t="shared" si="1"/>
        <v>4.987632751464844E-2</v>
      </c>
      <c r="AM16" s="222">
        <f t="shared" si="1"/>
        <v>4.9876050949096681E-2</v>
      </c>
    </row>
    <row r="17" spans="1:39" ht="16.899999999999999" customHeight="1" thickBot="1">
      <c r="A17" s="249" t="s">
        <v>175</v>
      </c>
      <c r="B17" s="384">
        <f>B16/(1+$I$13)^1</f>
        <v>18821448.042452808</v>
      </c>
      <c r="C17" s="384">
        <f>C16/(1+$I$13)^2</f>
        <v>19531691.364809509</v>
      </c>
      <c r="D17" s="384">
        <f>D16/(1+$I$13)^3</f>
        <v>20268736.321972199</v>
      </c>
      <c r="E17" s="384">
        <f>E16/(1+$I$13)^4</f>
        <v>21033594.296386179</v>
      </c>
      <c r="F17" s="385">
        <f>F16/(1+$I$13)^5</f>
        <v>21827314.835872494</v>
      </c>
      <c r="I17" s="248"/>
      <c r="R17" s="207" t="s">
        <v>176</v>
      </c>
      <c r="S17" s="223">
        <f t="shared" ref="S17:AM17" si="2">(S15+S16)/2</f>
        <v>0.155</v>
      </c>
      <c r="T17" s="223">
        <f t="shared" si="2"/>
        <v>8.2500000000000004E-2</v>
      </c>
      <c r="U17" s="223">
        <f t="shared" si="2"/>
        <v>4.6249999999999999E-2</v>
      </c>
      <c r="V17" s="223">
        <f t="shared" si="2"/>
        <v>6.4375000000000002E-2</v>
      </c>
      <c r="W17" s="223">
        <f t="shared" si="2"/>
        <v>5.5312500000000001E-2</v>
      </c>
      <c r="X17" s="223">
        <f t="shared" si="2"/>
        <v>5.078125E-2</v>
      </c>
      <c r="Y17" s="223">
        <f t="shared" si="2"/>
        <v>4.8515625E-2</v>
      </c>
      <c r="Z17" s="223">
        <f t="shared" si="2"/>
        <v>4.9648437500000003E-2</v>
      </c>
      <c r="AA17" s="223">
        <f t="shared" si="2"/>
        <v>5.0214843750000002E-2</v>
      </c>
      <c r="AB17" s="223">
        <f t="shared" si="2"/>
        <v>4.9931640625000002E-2</v>
      </c>
      <c r="AC17" s="223">
        <f t="shared" si="2"/>
        <v>4.9790039062499999E-2</v>
      </c>
      <c r="AD17" s="223">
        <f t="shared" si="2"/>
        <v>4.9860839843750004E-2</v>
      </c>
      <c r="AE17" s="223">
        <f t="shared" si="2"/>
        <v>4.9896240234375E-2</v>
      </c>
      <c r="AF17" s="223">
        <f t="shared" si="2"/>
        <v>4.9878540039062502E-2</v>
      </c>
      <c r="AG17" s="223">
        <f t="shared" si="2"/>
        <v>4.9869689941406253E-2</v>
      </c>
      <c r="AH17" s="223">
        <f t="shared" si="2"/>
        <v>4.9874114990234378E-2</v>
      </c>
      <c r="AI17" s="223">
        <f t="shared" si="2"/>
        <v>4.987632751464844E-2</v>
      </c>
      <c r="AJ17" s="223">
        <f t="shared" si="2"/>
        <v>4.9875221252441412E-2</v>
      </c>
      <c r="AK17" s="223">
        <f t="shared" si="2"/>
        <v>4.987577438354493E-2</v>
      </c>
      <c r="AL17" s="223">
        <f t="shared" si="2"/>
        <v>4.9876050949096681E-2</v>
      </c>
      <c r="AM17" s="222">
        <f t="shared" si="2"/>
        <v>4.9875912666320805E-2</v>
      </c>
    </row>
    <row r="18" spans="1:39">
      <c r="B18" s="337"/>
      <c r="C18" s="337"/>
      <c r="D18" s="337"/>
      <c r="E18" s="421" t="s">
        <v>22</v>
      </c>
      <c r="F18" s="422">
        <f>(F7/F3)</f>
        <v>4.300000000000001E-2</v>
      </c>
      <c r="R18" s="207" t="s">
        <v>177</v>
      </c>
      <c r="S18" s="221">
        <f t="shared" ref="S18:AM18" si="3">$B$16/(1+S17)^1+$C$16/(1+S17)^2+$D$16/(1+S17)^3+$E$16/(1+S17)^4+$F$16/(1+S17)^5+$F$16*(1+$I$14)/((S17-$I$14)*(1+S17)^5)</f>
        <v>190570855.31418541</v>
      </c>
      <c r="T18" s="221">
        <f t="shared" si="3"/>
        <v>445484080.34624141</v>
      </c>
      <c r="U18" s="221">
        <f t="shared" si="3"/>
        <v>1229529693.4185617</v>
      </c>
      <c r="V18" s="221">
        <f t="shared" si="3"/>
        <v>656828683.95174503</v>
      </c>
      <c r="W18" s="221">
        <f t="shared" si="3"/>
        <v>857493440.57952166</v>
      </c>
      <c r="X18" s="221">
        <f t="shared" si="3"/>
        <v>1010794681.6097238</v>
      </c>
      <c r="Y18" s="221">
        <f t="shared" si="3"/>
        <v>1109618800.8567441</v>
      </c>
      <c r="Z18" s="221">
        <f t="shared" si="3"/>
        <v>1057934324.1753963</v>
      </c>
      <c r="AA18" s="221">
        <f t="shared" si="3"/>
        <v>1033834684.002434</v>
      </c>
      <c r="AB18" s="221">
        <f t="shared" si="3"/>
        <v>1045747535.5015404</v>
      </c>
      <c r="AC18" s="221">
        <f t="shared" si="3"/>
        <v>1051806100.8980614</v>
      </c>
      <c r="AD18" s="221">
        <f t="shared" si="3"/>
        <v>1048768185.3583457</v>
      </c>
      <c r="AE18" s="221">
        <f t="shared" si="3"/>
        <v>1047255711.4262263</v>
      </c>
      <c r="AF18" s="221">
        <f t="shared" si="3"/>
        <v>1048011409.99462</v>
      </c>
      <c r="AG18" s="221">
        <f t="shared" si="3"/>
        <v>1048389662.9333673</v>
      </c>
      <c r="AH18" s="221">
        <f t="shared" si="3"/>
        <v>1048200502.7961925</v>
      </c>
      <c r="AI18" s="221">
        <f t="shared" si="3"/>
        <v>1048105947.9807014</v>
      </c>
      <c r="AJ18" s="221">
        <f t="shared" si="3"/>
        <v>1048153223.2844905</v>
      </c>
      <c r="AK18" s="221">
        <f t="shared" si="3"/>
        <v>1048129585.1066419</v>
      </c>
      <c r="AL18" s="221">
        <f t="shared" si="3"/>
        <v>1048117766.4121875</v>
      </c>
      <c r="AM18" s="220">
        <f t="shared" si="3"/>
        <v>1048123675.7265429</v>
      </c>
    </row>
    <row r="19" spans="1:39" ht="15" customHeight="1" thickBot="1">
      <c r="R19" s="211"/>
      <c r="AM19" s="200"/>
    </row>
    <row r="20" spans="1:39" ht="15" customHeight="1" thickBot="1">
      <c r="A20" s="336" t="s">
        <v>125</v>
      </c>
      <c r="B20" s="608" t="s">
        <v>178</v>
      </c>
      <c r="C20" s="661"/>
      <c r="D20" s="661"/>
      <c r="E20" s="661"/>
      <c r="F20" s="335" t="s">
        <v>127</v>
      </c>
      <c r="H20" s="418" t="s">
        <v>179</v>
      </c>
      <c r="I20" s="247"/>
      <c r="J20" s="247"/>
      <c r="K20" s="247"/>
      <c r="L20" s="247"/>
      <c r="M20" s="241" t="s">
        <v>180</v>
      </c>
      <c r="N20" s="241" t="s">
        <v>181</v>
      </c>
      <c r="O20" s="241" t="s">
        <v>182</v>
      </c>
      <c r="P20" s="240" t="s">
        <v>183</v>
      </c>
      <c r="R20" s="205" t="s">
        <v>184</v>
      </c>
      <c r="W20" s="219">
        <f>AM17</f>
        <v>4.9875912666320805E-2</v>
      </c>
      <c r="AM20" s="200"/>
    </row>
    <row r="21" spans="1:39" ht="16.5" customHeight="1">
      <c r="A21" s="239" t="s">
        <v>185</v>
      </c>
      <c r="B21" s="584" t="s">
        <v>186</v>
      </c>
      <c r="C21" s="662"/>
      <c r="D21" s="662"/>
      <c r="E21" s="662"/>
      <c r="F21" s="246">
        <f>F16*(1+I14)/(I13-I14)</f>
        <v>855431936.53670979</v>
      </c>
      <c r="H21" s="598" t="s">
        <v>187</v>
      </c>
      <c r="I21" s="662"/>
      <c r="J21" s="662"/>
      <c r="K21" s="662"/>
      <c r="L21" s="662"/>
      <c r="M21" s="423">
        <f>W3</f>
        <v>1048127860</v>
      </c>
      <c r="N21" s="245">
        <f>F23</f>
        <v>740711290.76918769</v>
      </c>
      <c r="O21" s="426">
        <f>M21-N21</f>
        <v>307416569.23081231</v>
      </c>
      <c r="P21" s="232">
        <f>(M21-N21)/N21</f>
        <v>0.41502886895591562</v>
      </c>
      <c r="R21" s="207" t="s">
        <v>188</v>
      </c>
      <c r="W21" s="216">
        <f>I13</f>
        <v>0.06</v>
      </c>
      <c r="AM21" s="200"/>
    </row>
    <row r="22" spans="1:39" ht="16.5" customHeight="1">
      <c r="A22" s="244" t="s">
        <v>189</v>
      </c>
      <c r="B22" s="585" t="s">
        <v>190</v>
      </c>
      <c r="C22" s="662"/>
      <c r="D22" s="662"/>
      <c r="E22" s="662"/>
      <c r="F22" s="242">
        <f>F21/(1+I13)^5</f>
        <v>639228505.90769446</v>
      </c>
      <c r="H22" s="586" t="s">
        <v>191</v>
      </c>
      <c r="I22" s="662"/>
      <c r="J22" s="662"/>
      <c r="K22" s="662"/>
      <c r="L22" s="662"/>
      <c r="M22" s="424">
        <f>W9</f>
        <v>3.6109846841749477E-2</v>
      </c>
      <c r="N22" s="236">
        <f>I14</f>
        <v>2.5000000000000001E-2</v>
      </c>
      <c r="O22" s="427">
        <f>M22-N22</f>
        <v>1.1109846841749475E-2</v>
      </c>
      <c r="P22" s="232">
        <f>(M22-N22)/N22</f>
        <v>0.44439387366997901</v>
      </c>
      <c r="R22" s="215" t="s">
        <v>192</v>
      </c>
      <c r="S22" s="202"/>
      <c r="T22" s="202"/>
      <c r="U22" s="202"/>
      <c r="V22" s="202"/>
      <c r="W22" s="214">
        <f>W20-W21</f>
        <v>-1.0124087333679192E-2</v>
      </c>
      <c r="X22" s="213">
        <f>(W20/(W21))-1</f>
        <v>-0.16873478889465321</v>
      </c>
      <c r="Y22" s="202"/>
      <c r="Z22" s="202"/>
      <c r="AA22" s="202"/>
      <c r="AB22" s="202"/>
      <c r="AC22" s="202"/>
      <c r="AD22" s="202"/>
      <c r="AE22" s="202"/>
      <c r="AF22" s="202"/>
      <c r="AG22" s="202"/>
      <c r="AH22" s="202"/>
      <c r="AI22" s="202"/>
      <c r="AJ22" s="202"/>
      <c r="AK22" s="202"/>
      <c r="AL22" s="202"/>
      <c r="AM22" s="212"/>
    </row>
    <row r="23" spans="1:39">
      <c r="A23" s="239" t="s">
        <v>193</v>
      </c>
      <c r="B23" s="584" t="s">
        <v>194</v>
      </c>
      <c r="C23" s="662"/>
      <c r="D23" s="662"/>
      <c r="E23" s="662"/>
      <c r="F23" s="238">
        <f>SUM(B17:F17)+F22</f>
        <v>740711290.76918769</v>
      </c>
      <c r="H23" s="586" t="s">
        <v>195</v>
      </c>
      <c r="I23" s="662"/>
      <c r="J23" s="662"/>
      <c r="K23" s="662"/>
      <c r="L23" s="662"/>
      <c r="M23" s="424">
        <f>W20</f>
        <v>4.9875912666320805E-2</v>
      </c>
      <c r="N23" s="236">
        <f>I13</f>
        <v>0.06</v>
      </c>
      <c r="O23" s="427">
        <f>M23-N23</f>
        <v>-1.0124087333679192E-2</v>
      </c>
      <c r="P23" s="232">
        <f>(M23-N23)/N23</f>
        <v>-0.16873478889465321</v>
      </c>
      <c r="R23" s="211"/>
      <c r="AM23" s="200"/>
    </row>
    <row r="24" spans="1:39" ht="15" customHeight="1" thickBot="1">
      <c r="A24" s="234" t="s">
        <v>196</v>
      </c>
      <c r="B24" s="585"/>
      <c r="C24" s="662"/>
      <c r="D24" s="662"/>
      <c r="E24" s="662"/>
      <c r="F24" s="242">
        <f>'Data Schema'!C21</f>
        <v>10727000</v>
      </c>
      <c r="H24" s="586" t="s">
        <v>197</v>
      </c>
      <c r="I24" s="662"/>
      <c r="J24" s="662"/>
      <c r="K24" s="662"/>
      <c r="L24" s="662"/>
      <c r="M24" s="424">
        <f>W36</f>
        <v>0.19823985099792482</v>
      </c>
      <c r="N24" s="236">
        <f>W37</f>
        <v>0.1</v>
      </c>
      <c r="O24" s="427">
        <f>M24-N24</f>
        <v>9.8239850997924816E-2</v>
      </c>
      <c r="P24" s="232">
        <f>(M24-N24)/N24</f>
        <v>0.98239850997924816</v>
      </c>
      <c r="R24" s="602" t="s">
        <v>198</v>
      </c>
      <c r="S24" s="603"/>
      <c r="T24" s="603"/>
      <c r="U24" s="603"/>
      <c r="V24" s="603"/>
      <c r="W24" s="603"/>
      <c r="X24" s="603"/>
      <c r="Y24" s="603"/>
      <c r="Z24" s="603"/>
      <c r="AA24" s="603"/>
      <c r="AB24" s="603"/>
      <c r="AC24" s="603"/>
      <c r="AD24" s="603"/>
      <c r="AE24" s="603"/>
      <c r="AF24" s="603"/>
      <c r="AG24" s="603"/>
      <c r="AH24" s="603"/>
      <c r="AI24" s="603"/>
      <c r="AJ24" s="603"/>
      <c r="AK24" s="603"/>
      <c r="AL24" s="603"/>
      <c r="AM24" s="604"/>
    </row>
    <row r="25" spans="1:39" ht="15" customHeight="1" thickBot="1">
      <c r="A25" s="234" t="s">
        <v>199</v>
      </c>
      <c r="B25" s="243"/>
      <c r="C25" s="243"/>
      <c r="D25" s="243"/>
      <c r="E25" s="243"/>
      <c r="F25" s="242">
        <f>'Data Schema'!C31</f>
        <v>67095000</v>
      </c>
      <c r="H25" s="607" t="s">
        <v>200</v>
      </c>
      <c r="I25" s="663"/>
      <c r="J25" s="663"/>
      <c r="K25" s="663"/>
      <c r="L25" s="663"/>
      <c r="M25" s="241" t="s">
        <v>180</v>
      </c>
      <c r="N25" s="241" t="s">
        <v>181</v>
      </c>
      <c r="O25" s="241" t="s">
        <v>182</v>
      </c>
      <c r="P25" s="240" t="s">
        <v>183</v>
      </c>
      <c r="R25" s="211"/>
      <c r="AM25" s="200"/>
    </row>
    <row r="26" spans="1:39">
      <c r="A26" s="239" t="s">
        <v>201</v>
      </c>
      <c r="B26" s="584" t="s">
        <v>202</v>
      </c>
      <c r="C26" s="662"/>
      <c r="D26" s="662"/>
      <c r="E26" s="662"/>
      <c r="F26" s="238">
        <f>F23-F25+F24</f>
        <v>684343290.76918769</v>
      </c>
      <c r="H26" s="591" t="s">
        <v>203</v>
      </c>
      <c r="I26" s="662"/>
      <c r="J26" s="662"/>
      <c r="K26" s="662"/>
      <c r="L26" s="662"/>
      <c r="M26" s="424">
        <f>W41</f>
        <v>2.8703282280583161E-2</v>
      </c>
      <c r="N26" s="236">
        <f>I14</f>
        <v>2.5000000000000001E-2</v>
      </c>
      <c r="O26" s="427">
        <f>M26-N26</f>
        <v>3.7032822805831596E-3</v>
      </c>
      <c r="P26" s="232">
        <f>(M26-N26)/N26</f>
        <v>0.14813129122332638</v>
      </c>
      <c r="R26" s="207" t="s">
        <v>204</v>
      </c>
      <c r="U26" s="210"/>
      <c r="W26" s="216">
        <f>(1-I4-I5)*(1-I10)+I6-I11</f>
        <v>2.725000000000001E-2</v>
      </c>
      <c r="AM26" s="200"/>
    </row>
    <row r="27" spans="1:39">
      <c r="A27" s="234" t="s">
        <v>205</v>
      </c>
      <c r="B27" s="585"/>
      <c r="C27" s="662"/>
      <c r="D27" s="662"/>
      <c r="E27" s="662"/>
      <c r="F27" s="237">
        <f>'Data Schema'!B17</f>
        <v>8022000</v>
      </c>
      <c r="H27" s="639" t="s">
        <v>58</v>
      </c>
      <c r="I27" s="662"/>
      <c r="J27" s="662"/>
      <c r="K27" s="662"/>
      <c r="L27" s="662"/>
      <c r="M27" s="424">
        <f>W42</f>
        <v>5.6625304222106931E-2</v>
      </c>
      <c r="N27" s="236">
        <f>I13</f>
        <v>0.06</v>
      </c>
      <c r="O27" s="427">
        <f>M27-N27</f>
        <v>-3.3746957778930664E-3</v>
      </c>
      <c r="P27" s="232">
        <f>(M27-N27)/N27</f>
        <v>-5.6244929631551109E-2</v>
      </c>
      <c r="R27" s="207" t="s">
        <v>206</v>
      </c>
      <c r="U27" s="210"/>
      <c r="W27" s="235">
        <f>B3/(1+I2)</f>
        <v>713163000</v>
      </c>
      <c r="AM27" s="200"/>
    </row>
    <row r="28" spans="1:39">
      <c r="A28" s="239" t="s">
        <v>207</v>
      </c>
      <c r="B28" s="584" t="s">
        <v>208</v>
      </c>
      <c r="C28" s="662"/>
      <c r="D28" s="662"/>
      <c r="E28" s="662"/>
      <c r="F28" s="373">
        <f>F26/F27</f>
        <v>85.30831348406727</v>
      </c>
      <c r="H28" s="591" t="s">
        <v>60</v>
      </c>
      <c r="I28" s="662"/>
      <c r="J28" s="662"/>
      <c r="K28" s="662"/>
      <c r="L28" s="662"/>
      <c r="M28" s="424">
        <f>W43</f>
        <v>0.13274661699930829</v>
      </c>
      <c r="N28" s="236">
        <f>I2</f>
        <v>0.1</v>
      </c>
      <c r="O28" s="427">
        <f>M28-N28</f>
        <v>3.2746616999308281E-2</v>
      </c>
      <c r="P28" s="232">
        <f>(M28-N28)/N28</f>
        <v>0.32746616999308281</v>
      </c>
      <c r="R28" s="211"/>
      <c r="AM28" s="200"/>
    </row>
    <row r="29" spans="1:39">
      <c r="A29" s="234" t="s">
        <v>209</v>
      </c>
      <c r="B29" s="585"/>
      <c r="C29" s="662"/>
      <c r="D29" s="662"/>
      <c r="E29" s="662"/>
      <c r="F29" s="334">
        <f>Calculations!B77</f>
        <v>123.63</v>
      </c>
      <c r="H29" s="591" t="s">
        <v>210</v>
      </c>
      <c r="I29" s="662"/>
      <c r="J29" s="662"/>
      <c r="K29" s="662"/>
      <c r="L29" s="662"/>
      <c r="M29" s="423">
        <f>W45</f>
        <v>1036564405.9806056</v>
      </c>
      <c r="N29" s="233">
        <f>F23</f>
        <v>740711290.76918769</v>
      </c>
      <c r="O29" s="428">
        <f>M29-N29</f>
        <v>295853115.21141791</v>
      </c>
      <c r="P29" s="232">
        <f>(M29-N29)/N29</f>
        <v>0.39941758536472532</v>
      </c>
      <c r="R29" s="227" t="s">
        <v>168</v>
      </c>
      <c r="S29" s="226" t="s">
        <v>169</v>
      </c>
      <c r="T29" s="225">
        <v>1</v>
      </c>
      <c r="U29" s="225">
        <v>2</v>
      </c>
      <c r="V29" s="225">
        <v>3</v>
      </c>
      <c r="W29" s="225">
        <v>4</v>
      </c>
      <c r="X29" s="225">
        <v>5</v>
      </c>
      <c r="Y29" s="225">
        <v>6</v>
      </c>
      <c r="Z29" s="225">
        <v>7</v>
      </c>
      <c r="AA29" s="225">
        <v>8</v>
      </c>
      <c r="AB29" s="225">
        <v>9</v>
      </c>
      <c r="AC29" s="225">
        <v>10</v>
      </c>
      <c r="AD29" s="225">
        <v>11</v>
      </c>
      <c r="AE29" s="225">
        <v>12</v>
      </c>
      <c r="AF29" s="225">
        <v>13</v>
      </c>
      <c r="AG29" s="225">
        <v>14</v>
      </c>
      <c r="AH29" s="225">
        <v>15</v>
      </c>
      <c r="AI29" s="225">
        <v>16</v>
      </c>
      <c r="AJ29" s="225">
        <v>17</v>
      </c>
      <c r="AK29" s="225">
        <v>18</v>
      </c>
      <c r="AL29" s="225">
        <v>19</v>
      </c>
      <c r="AM29" s="224">
        <v>20</v>
      </c>
    </row>
    <row r="30" spans="1:39" ht="15" customHeight="1" thickBot="1">
      <c r="A30" s="234" t="s">
        <v>211</v>
      </c>
      <c r="B30" s="585" t="s">
        <v>212</v>
      </c>
      <c r="C30" s="662"/>
      <c r="D30" s="662"/>
      <c r="E30" s="662"/>
      <c r="F30" s="333">
        <f>(F28-F29)/F29</f>
        <v>-0.309970771786239</v>
      </c>
      <c r="H30" s="231" t="s">
        <v>62</v>
      </c>
      <c r="I30" s="230"/>
      <c r="J30" s="597" t="s">
        <v>213</v>
      </c>
      <c r="K30" s="664"/>
      <c r="L30" s="332">
        <f>W48</f>
        <v>-1.1659530180415167E-2</v>
      </c>
      <c r="M30" s="425">
        <f>W47</f>
        <v>122.18853228379527</v>
      </c>
      <c r="N30" s="229">
        <f>F28</f>
        <v>85.30831348406727</v>
      </c>
      <c r="O30" s="429">
        <f>M30-N30</f>
        <v>36.880218799727999</v>
      </c>
      <c r="P30" s="228">
        <f>(M30-N30)/N30</f>
        <v>0.43231681993825827</v>
      </c>
      <c r="R30" s="207" t="s">
        <v>171</v>
      </c>
      <c r="S30" s="223">
        <v>0</v>
      </c>
      <c r="T30" s="223">
        <f t="shared" ref="T30:AM30" si="4">IF(S34&gt;$W$3,S30,S32)</f>
        <v>0.15</v>
      </c>
      <c r="U30" s="223">
        <f t="shared" si="4"/>
        <v>0.15</v>
      </c>
      <c r="V30" s="223">
        <f t="shared" si="4"/>
        <v>0.1875</v>
      </c>
      <c r="W30" s="223">
        <f t="shared" si="4"/>
        <v>0.1875</v>
      </c>
      <c r="X30" s="223">
        <f t="shared" si="4"/>
        <v>0.19687499999999999</v>
      </c>
      <c r="Y30" s="223">
        <f t="shared" si="4"/>
        <v>0.19687499999999999</v>
      </c>
      <c r="Z30" s="223">
        <f t="shared" si="4"/>
        <v>0.19687499999999999</v>
      </c>
      <c r="AA30" s="223">
        <f t="shared" si="4"/>
        <v>0.19804687500000001</v>
      </c>
      <c r="AB30" s="223">
        <f t="shared" si="4"/>
        <v>0.19804687500000001</v>
      </c>
      <c r="AC30" s="223">
        <f t="shared" si="4"/>
        <v>0.19804687500000001</v>
      </c>
      <c r="AD30" s="223">
        <f t="shared" si="4"/>
        <v>0.19819335937500002</v>
      </c>
      <c r="AE30" s="223">
        <f t="shared" si="4"/>
        <v>0.19819335937500002</v>
      </c>
      <c r="AF30" s="223">
        <f t="shared" si="4"/>
        <v>0.19822998046875001</v>
      </c>
      <c r="AG30" s="223">
        <f t="shared" si="4"/>
        <v>0.19822998046875001</v>
      </c>
      <c r="AH30" s="223">
        <f t="shared" si="4"/>
        <v>0.19823913574218752</v>
      </c>
      <c r="AI30" s="223">
        <f t="shared" si="4"/>
        <v>0.19823913574218752</v>
      </c>
      <c r="AJ30" s="223">
        <f t="shared" si="4"/>
        <v>0.19823913574218752</v>
      </c>
      <c r="AK30" s="223">
        <f t="shared" si="4"/>
        <v>0.19823913574218752</v>
      </c>
      <c r="AL30" s="223">
        <f t="shared" si="4"/>
        <v>0.19823970794677737</v>
      </c>
      <c r="AM30" s="222">
        <f t="shared" si="4"/>
        <v>0.19823970794677737</v>
      </c>
    </row>
    <row r="31" spans="1:39">
      <c r="A31" s="205" t="s">
        <v>10</v>
      </c>
      <c r="B31" s="665" t="s">
        <v>214</v>
      </c>
      <c r="C31" s="666"/>
      <c r="D31" s="666"/>
      <c r="E31" s="666"/>
      <c r="F31" s="331">
        <f>IFERROR((F28/F29)^(1/5)-1,0)</f>
        <v>-7.1517981456046487E-2</v>
      </c>
      <c r="R31" s="207" t="s">
        <v>174</v>
      </c>
      <c r="S31" s="223">
        <v>0.3</v>
      </c>
      <c r="T31" s="223">
        <f t="shared" ref="T31:AM31" si="5">IF(S34&gt;$W$3,S32,S31)</f>
        <v>0.3</v>
      </c>
      <c r="U31" s="223">
        <f t="shared" si="5"/>
        <v>0.22499999999999998</v>
      </c>
      <c r="V31" s="223">
        <f t="shared" si="5"/>
        <v>0.22499999999999998</v>
      </c>
      <c r="W31" s="223">
        <f t="shared" si="5"/>
        <v>0.20624999999999999</v>
      </c>
      <c r="X31" s="223">
        <f t="shared" si="5"/>
        <v>0.20624999999999999</v>
      </c>
      <c r="Y31" s="223">
        <f t="shared" si="5"/>
        <v>0.20156249999999998</v>
      </c>
      <c r="Z31" s="223">
        <f t="shared" si="5"/>
        <v>0.19921875</v>
      </c>
      <c r="AA31" s="223">
        <f t="shared" si="5"/>
        <v>0.19921875</v>
      </c>
      <c r="AB31" s="223">
        <f t="shared" si="5"/>
        <v>0.19863281250000001</v>
      </c>
      <c r="AC31" s="223">
        <f t="shared" si="5"/>
        <v>0.19833984375000002</v>
      </c>
      <c r="AD31" s="223">
        <f t="shared" si="5"/>
        <v>0.19833984375000002</v>
      </c>
      <c r="AE31" s="223">
        <f t="shared" si="5"/>
        <v>0.19826660156250003</v>
      </c>
      <c r="AF31" s="223">
        <f t="shared" si="5"/>
        <v>0.19826660156250003</v>
      </c>
      <c r="AG31" s="223">
        <f t="shared" si="5"/>
        <v>0.19824829101562502</v>
      </c>
      <c r="AH31" s="223">
        <f t="shared" si="5"/>
        <v>0.19824829101562502</v>
      </c>
      <c r="AI31" s="223">
        <f t="shared" si="5"/>
        <v>0.19824371337890628</v>
      </c>
      <c r="AJ31" s="223">
        <f t="shared" si="5"/>
        <v>0.19824142456054689</v>
      </c>
      <c r="AK31" s="223">
        <f t="shared" si="5"/>
        <v>0.19824028015136719</v>
      </c>
      <c r="AL31" s="223">
        <f t="shared" si="5"/>
        <v>0.19824028015136719</v>
      </c>
      <c r="AM31" s="222">
        <f t="shared" si="5"/>
        <v>0.19823999404907228</v>
      </c>
    </row>
    <row r="32" spans="1:39" ht="15" thickBot="1">
      <c r="A32" s="330" t="s">
        <v>215</v>
      </c>
      <c r="B32" s="667" t="s">
        <v>216</v>
      </c>
      <c r="C32" s="668"/>
      <c r="D32" s="668"/>
      <c r="E32" s="668"/>
      <c r="F32" s="329">
        <f>F28/F29-1</f>
        <v>-0.309970771786239</v>
      </c>
      <c r="R32" s="207" t="s">
        <v>217</v>
      </c>
      <c r="S32" s="223">
        <f t="shared" ref="S32:AM32" si="6">(S30+S31)/2</f>
        <v>0.15</v>
      </c>
      <c r="T32" s="223">
        <f t="shared" si="6"/>
        <v>0.22499999999999998</v>
      </c>
      <c r="U32" s="223">
        <f t="shared" si="6"/>
        <v>0.1875</v>
      </c>
      <c r="V32" s="223">
        <f t="shared" si="6"/>
        <v>0.20624999999999999</v>
      </c>
      <c r="W32" s="223">
        <f t="shared" si="6"/>
        <v>0.19687499999999999</v>
      </c>
      <c r="X32" s="223">
        <f t="shared" si="6"/>
        <v>0.20156249999999998</v>
      </c>
      <c r="Y32" s="223">
        <f t="shared" si="6"/>
        <v>0.19921875</v>
      </c>
      <c r="Z32" s="223">
        <f t="shared" si="6"/>
        <v>0.19804687500000001</v>
      </c>
      <c r="AA32" s="223">
        <f t="shared" si="6"/>
        <v>0.19863281250000001</v>
      </c>
      <c r="AB32" s="223">
        <f t="shared" si="6"/>
        <v>0.19833984375000002</v>
      </c>
      <c r="AC32" s="223">
        <f t="shared" si="6"/>
        <v>0.19819335937500002</v>
      </c>
      <c r="AD32" s="223">
        <f t="shared" si="6"/>
        <v>0.19826660156250003</v>
      </c>
      <c r="AE32" s="223">
        <f t="shared" si="6"/>
        <v>0.19822998046875001</v>
      </c>
      <c r="AF32" s="223">
        <f t="shared" si="6"/>
        <v>0.19824829101562502</v>
      </c>
      <c r="AG32" s="223">
        <f t="shared" si="6"/>
        <v>0.19823913574218752</v>
      </c>
      <c r="AH32" s="223">
        <f t="shared" si="6"/>
        <v>0.19824371337890628</v>
      </c>
      <c r="AI32" s="223">
        <f t="shared" si="6"/>
        <v>0.19824142456054689</v>
      </c>
      <c r="AJ32" s="223">
        <f t="shared" si="6"/>
        <v>0.19824028015136719</v>
      </c>
      <c r="AK32" s="223">
        <f t="shared" si="6"/>
        <v>0.19823970794677737</v>
      </c>
      <c r="AL32" s="223">
        <f t="shared" si="6"/>
        <v>0.19823999404907228</v>
      </c>
      <c r="AM32" s="222">
        <f t="shared" si="6"/>
        <v>0.19823985099792482</v>
      </c>
    </row>
    <row r="33" spans="1:39" ht="15" thickBot="1">
      <c r="R33" s="207" t="s">
        <v>218</v>
      </c>
      <c r="S33" s="223">
        <f t="shared" ref="S33:AM33" si="7">(1+S32)*$W$26-S32*$I$12</f>
        <v>2.8337500000000012E-2</v>
      </c>
      <c r="T33" s="223">
        <f t="shared" si="7"/>
        <v>2.8881250000000015E-2</v>
      </c>
      <c r="U33" s="223">
        <f t="shared" si="7"/>
        <v>2.860937500000001E-2</v>
      </c>
      <c r="V33" s="223">
        <f t="shared" si="7"/>
        <v>2.8745312500000012E-2</v>
      </c>
      <c r="W33" s="223">
        <f t="shared" si="7"/>
        <v>2.8677343750000011E-2</v>
      </c>
      <c r="X33" s="223">
        <f t="shared" si="7"/>
        <v>2.8711328125000012E-2</v>
      </c>
      <c r="Y33" s="223">
        <f t="shared" si="7"/>
        <v>2.8694335937500016E-2</v>
      </c>
      <c r="Z33" s="223">
        <f t="shared" si="7"/>
        <v>2.8685839843750009E-2</v>
      </c>
      <c r="AA33" s="223">
        <f t="shared" si="7"/>
        <v>2.8690087890625011E-2</v>
      </c>
      <c r="AB33" s="223">
        <f t="shared" si="7"/>
        <v>2.868796386718751E-2</v>
      </c>
      <c r="AC33" s="223">
        <f t="shared" si="7"/>
        <v>2.8686901855468763E-2</v>
      </c>
      <c r="AD33" s="223">
        <f t="shared" si="7"/>
        <v>2.8687432861328136E-2</v>
      </c>
      <c r="AE33" s="223">
        <f t="shared" si="7"/>
        <v>2.8687167358398449E-2</v>
      </c>
      <c r="AF33" s="223">
        <f t="shared" si="7"/>
        <v>2.8687300109863291E-2</v>
      </c>
      <c r="AG33" s="223">
        <f t="shared" si="7"/>
        <v>2.868723373413087E-2</v>
      </c>
      <c r="AH33" s="223">
        <f t="shared" si="7"/>
        <v>2.8687266921997086E-2</v>
      </c>
      <c r="AI33" s="223">
        <f t="shared" si="7"/>
        <v>2.8687250328063976E-2</v>
      </c>
      <c r="AJ33" s="223">
        <f t="shared" si="7"/>
        <v>2.8687242031097425E-2</v>
      </c>
      <c r="AK33" s="223">
        <f t="shared" si="7"/>
        <v>2.8687237882614146E-2</v>
      </c>
      <c r="AL33" s="223">
        <f t="shared" si="7"/>
        <v>2.8687239956855785E-2</v>
      </c>
      <c r="AM33" s="222">
        <f t="shared" si="7"/>
        <v>2.8687238919734969E-2</v>
      </c>
    </row>
    <row r="34" spans="1:39" ht="18">
      <c r="A34" s="590" t="s">
        <v>219</v>
      </c>
      <c r="B34" s="669"/>
      <c r="C34" s="669"/>
      <c r="D34" s="669"/>
      <c r="E34" s="669"/>
      <c r="F34" s="670"/>
      <c r="G34" s="186"/>
      <c r="H34" s="606" t="s">
        <v>220</v>
      </c>
      <c r="I34" s="669"/>
      <c r="J34" s="669"/>
      <c r="K34" s="670"/>
      <c r="L34" s="186"/>
      <c r="M34" s="186"/>
      <c r="N34" s="186"/>
      <c r="O34" s="186"/>
      <c r="P34" s="186"/>
      <c r="Q34" s="186"/>
      <c r="R34" s="207" t="s">
        <v>221</v>
      </c>
      <c r="S34" s="221">
        <f t="shared" ref="S34:AM34" si="8">$W$27*S33*(1/(1+$I$13)+(1+S32)/(1+$I$13)^2+(1+S32)^2/(1+$I$13)^3+(1+S32)^3/(1+$I$13)^4+(1+S32)^4/(1+$I$13)^5+(1+S32)^4*(1+$I$14)/(($I$13-$I$14)*(1+$I$13)^5))</f>
        <v>886462009.4903965</v>
      </c>
      <c r="T34" s="221">
        <f t="shared" si="8"/>
        <v>1147510952.8052115</v>
      </c>
      <c r="U34" s="221">
        <f t="shared" si="8"/>
        <v>1010237901.5326763</v>
      </c>
      <c r="V34" s="221">
        <f t="shared" si="8"/>
        <v>1077123253.4478087</v>
      </c>
      <c r="W34" s="221">
        <f t="shared" si="8"/>
        <v>1043250906.4243668</v>
      </c>
      <c r="X34" s="221">
        <f t="shared" si="8"/>
        <v>1060078654.3404024</v>
      </c>
      <c r="Y34" s="221">
        <f t="shared" si="8"/>
        <v>1051637800.4273959</v>
      </c>
      <c r="Z34" s="221">
        <f t="shared" si="8"/>
        <v>1047437624.2018644</v>
      </c>
      <c r="AA34" s="221">
        <f t="shared" si="8"/>
        <v>1049536028.0398531</v>
      </c>
      <c r="AB34" s="221">
        <f t="shared" si="8"/>
        <v>1048486405.2983743</v>
      </c>
      <c r="AC34" s="221">
        <f t="shared" si="8"/>
        <v>1047961909.5752655</v>
      </c>
      <c r="AD34" s="221">
        <f t="shared" si="8"/>
        <v>1048224131.139261</v>
      </c>
      <c r="AE34" s="221">
        <f t="shared" si="8"/>
        <v>1048093013.7833537</v>
      </c>
      <c r="AF34" s="221">
        <f t="shared" si="8"/>
        <v>1048158570.8177698</v>
      </c>
      <c r="AG34" s="221">
        <f t="shared" si="8"/>
        <v>1048125791.889685</v>
      </c>
      <c r="AH34" s="221">
        <f t="shared" si="8"/>
        <v>1048142181.2510079</v>
      </c>
      <c r="AI34" s="221">
        <f t="shared" si="8"/>
        <v>1048133986.5446662</v>
      </c>
      <c r="AJ34" s="221">
        <f t="shared" si="8"/>
        <v>1048129889.2107558</v>
      </c>
      <c r="AK34" s="221">
        <f t="shared" si="8"/>
        <v>1048127840.5486151</v>
      </c>
      <c r="AL34" s="221">
        <f t="shared" si="8"/>
        <v>1048128864.8792845</v>
      </c>
      <c r="AM34" s="220">
        <f t="shared" si="8"/>
        <v>1048128352.7138501</v>
      </c>
    </row>
    <row r="35" spans="1:39">
      <c r="A35" s="368" t="s">
        <v>222</v>
      </c>
      <c r="B35" s="369">
        <f>B2+0</f>
        <v>2027</v>
      </c>
      <c r="C35" s="369">
        <f>B2+1</f>
        <v>2028</v>
      </c>
      <c r="D35" s="369">
        <f>B2+2</f>
        <v>2029</v>
      </c>
      <c r="E35" s="369">
        <f>B2+3</f>
        <v>2030</v>
      </c>
      <c r="F35" s="370">
        <f>B2+4</f>
        <v>2031</v>
      </c>
      <c r="G35" s="186"/>
      <c r="H35" s="295" t="s">
        <v>223</v>
      </c>
      <c r="I35" s="199" t="s">
        <v>224</v>
      </c>
      <c r="J35" s="199" t="s">
        <v>225</v>
      </c>
      <c r="K35" s="294" t="s">
        <v>226</v>
      </c>
      <c r="L35" s="186"/>
      <c r="M35" s="186"/>
      <c r="N35" s="186"/>
      <c r="O35" s="186"/>
      <c r="P35" s="186"/>
      <c r="Q35" s="186"/>
      <c r="R35" s="211"/>
      <c r="AM35" s="200"/>
    </row>
    <row r="36" spans="1:39">
      <c r="A36" s="374" t="s">
        <v>227</v>
      </c>
      <c r="B36" s="375">
        <f>'Data Schema'!C3*(1+$I$41)</f>
        <v>805874189.99999988</v>
      </c>
      <c r="C36" s="375">
        <f>B36*(1+$I$41)</f>
        <v>910637834.69999981</v>
      </c>
      <c r="D36" s="375">
        <f>C36*(1+$I$41)</f>
        <v>1029020753.2109997</v>
      </c>
      <c r="E36" s="375">
        <f>D36*(1+$I$41)</f>
        <v>1162793451.1284297</v>
      </c>
      <c r="F36" s="376">
        <f>E36*(1+$I$41)</f>
        <v>1313956599.7751253</v>
      </c>
      <c r="G36" s="186"/>
      <c r="H36" s="293" t="s">
        <v>228</v>
      </c>
      <c r="I36" s="328">
        <v>0.3</v>
      </c>
      <c r="J36" s="328">
        <v>-0.7</v>
      </c>
      <c r="K36" s="327" t="s">
        <v>229</v>
      </c>
      <c r="L36" s="186"/>
      <c r="M36" s="186"/>
      <c r="N36" s="186"/>
      <c r="O36" s="186"/>
      <c r="P36" s="186"/>
      <c r="Q36" s="186"/>
      <c r="R36" s="205" t="s">
        <v>230</v>
      </c>
      <c r="W36" s="219">
        <f>AM32</f>
        <v>0.19823985099792482</v>
      </c>
      <c r="AM36" s="200"/>
    </row>
    <row r="37" spans="1:39" ht="15" thickBot="1">
      <c r="A37" s="278" t="s">
        <v>231</v>
      </c>
      <c r="B37" s="254">
        <f>B36*$I$4</f>
        <v>604405642.49999988</v>
      </c>
      <c r="C37" s="254">
        <f>C36*$I$4</f>
        <v>682978376.02499986</v>
      </c>
      <c r="D37" s="254">
        <f>D36*$I$4</f>
        <v>771765564.90824986</v>
      </c>
      <c r="E37" s="254">
        <f>E36*$I$4</f>
        <v>872095088.3463223</v>
      </c>
      <c r="F37" s="253">
        <f>F36*$I$4</f>
        <v>985467449.83134389</v>
      </c>
      <c r="G37" s="186"/>
      <c r="H37" s="293" t="s">
        <v>232</v>
      </c>
      <c r="I37" s="328">
        <v>-0.15</v>
      </c>
      <c r="J37" s="328">
        <v>0.4</v>
      </c>
      <c r="K37" s="327" t="s">
        <v>233</v>
      </c>
      <c r="L37" s="186"/>
      <c r="M37" s="186"/>
      <c r="N37" s="186"/>
      <c r="O37" s="186"/>
      <c r="P37" s="186"/>
      <c r="Q37" s="186"/>
      <c r="R37" s="207" t="s">
        <v>234</v>
      </c>
      <c r="W37" s="216">
        <f>I2</f>
        <v>0.1</v>
      </c>
      <c r="AM37" s="200"/>
    </row>
    <row r="38" spans="1:39" ht="15" thickTop="1">
      <c r="A38" s="377" t="s">
        <v>140</v>
      </c>
      <c r="B38" s="378">
        <f>B36-B37</f>
        <v>201468547.5</v>
      </c>
      <c r="C38" s="378">
        <f>C36-C37</f>
        <v>227659458.67499995</v>
      </c>
      <c r="D38" s="378">
        <f>D36-D37</f>
        <v>257255188.30274987</v>
      </c>
      <c r="E38" s="378">
        <f>E36-E37</f>
        <v>290698362.78210735</v>
      </c>
      <c r="F38" s="379">
        <f>F36-F37</f>
        <v>328489149.94378138</v>
      </c>
      <c r="G38" s="186"/>
      <c r="H38" s="293" t="s">
        <v>235</v>
      </c>
      <c r="I38" s="328">
        <v>0.2</v>
      </c>
      <c r="J38" s="328">
        <v>-0.4</v>
      </c>
      <c r="K38" s="327" t="s">
        <v>236</v>
      </c>
      <c r="L38" s="186"/>
      <c r="M38" s="186"/>
      <c r="N38" s="186"/>
      <c r="O38" s="186"/>
      <c r="P38" s="186"/>
      <c r="Q38" s="186"/>
      <c r="R38" s="215" t="s">
        <v>237</v>
      </c>
      <c r="S38" s="202"/>
      <c r="T38" s="202"/>
      <c r="U38" s="202"/>
      <c r="V38" s="202"/>
      <c r="W38" s="214">
        <f>W36-W37</f>
        <v>9.8239850997924816E-2</v>
      </c>
      <c r="X38" s="213">
        <f>(W36/(W37))-1</f>
        <v>0.98239850997924805</v>
      </c>
      <c r="Y38" s="202"/>
      <c r="Z38" s="202"/>
      <c r="AA38" s="202"/>
      <c r="AB38" s="202"/>
      <c r="AC38" s="202"/>
      <c r="AD38" s="202"/>
      <c r="AE38" s="202"/>
      <c r="AF38" s="202"/>
      <c r="AG38" s="202"/>
      <c r="AH38" s="202"/>
      <c r="AI38" s="202"/>
      <c r="AJ38" s="202"/>
      <c r="AK38" s="202"/>
      <c r="AL38" s="202"/>
      <c r="AM38" s="212"/>
    </row>
    <row r="39" spans="1:39" ht="15" thickBot="1">
      <c r="A39" s="258" t="s">
        <v>143</v>
      </c>
      <c r="B39" s="254">
        <f>B36*($I$5-$I$39)</f>
        <v>150698473.52999997</v>
      </c>
      <c r="C39" s="254">
        <f>C36*($I$5-$I$39)</f>
        <v>170289275.08889997</v>
      </c>
      <c r="D39" s="254">
        <f>D36*($I$5-$I$39)</f>
        <v>192426880.85045695</v>
      </c>
      <c r="E39" s="254">
        <f>E36*($I$5-$I$39)</f>
        <v>217442375.36101633</v>
      </c>
      <c r="F39" s="253">
        <f>F36*($I$5-$I$39)</f>
        <v>245709884.15794843</v>
      </c>
      <c r="G39" s="186"/>
      <c r="H39" s="293" t="s">
        <v>238</v>
      </c>
      <c r="I39" s="328">
        <v>0.02</v>
      </c>
      <c r="J39" s="328">
        <v>-0.02</v>
      </c>
      <c r="K39" s="327" t="s">
        <v>239</v>
      </c>
      <c r="L39" s="186"/>
      <c r="M39" s="186"/>
      <c r="N39" s="186"/>
      <c r="O39" s="186"/>
      <c r="P39" s="186"/>
      <c r="Q39" s="186"/>
      <c r="R39" s="211"/>
      <c r="AM39" s="200"/>
    </row>
    <row r="40" spans="1:39" ht="15" thickTop="1">
      <c r="A40" s="377" t="s">
        <v>146</v>
      </c>
      <c r="B40" s="378">
        <f>B38-B39</f>
        <v>50770073.970000029</v>
      </c>
      <c r="C40" s="378">
        <f>C38-C39</f>
        <v>57370183.586099982</v>
      </c>
      <c r="D40" s="378">
        <f>D38-D39</f>
        <v>64828307.452292919</v>
      </c>
      <c r="E40" s="378">
        <f>E38-E39</f>
        <v>73255987.42109102</v>
      </c>
      <c r="F40" s="379">
        <f>F38-F39</f>
        <v>82779265.785832942</v>
      </c>
      <c r="G40" s="186"/>
      <c r="H40" s="295" t="s">
        <v>240</v>
      </c>
      <c r="I40" s="218" t="s">
        <v>17</v>
      </c>
      <c r="J40" s="217" t="s">
        <v>13</v>
      </c>
      <c r="K40" s="326" t="s">
        <v>241</v>
      </c>
      <c r="L40" s="186"/>
      <c r="M40" s="186"/>
      <c r="N40" s="186"/>
      <c r="O40" s="186"/>
      <c r="P40" s="186"/>
      <c r="Q40" s="186"/>
      <c r="R40" s="602" t="s">
        <v>242</v>
      </c>
      <c r="S40" s="603"/>
      <c r="T40" s="603"/>
      <c r="U40" s="603"/>
      <c r="V40" s="603"/>
      <c r="W40" s="637"/>
      <c r="Y40"/>
      <c r="Z40"/>
      <c r="AA40"/>
      <c r="AB40"/>
      <c r="AC40"/>
      <c r="AD40"/>
      <c r="AE40"/>
      <c r="AF40"/>
      <c r="AG40"/>
      <c r="AH40"/>
      <c r="AI40"/>
      <c r="AJ40"/>
      <c r="AK40"/>
      <c r="AL40"/>
      <c r="AM40" s="200"/>
    </row>
    <row r="41" spans="1:39" ht="15" thickBot="1">
      <c r="A41" s="278" t="s">
        <v>149</v>
      </c>
      <c r="B41" s="254">
        <f>$I$8*$I$9</f>
        <v>2400000</v>
      </c>
      <c r="C41" s="254">
        <f>$I$8*$I$9</f>
        <v>2400000</v>
      </c>
      <c r="D41" s="254">
        <f>$I$8*$I$9</f>
        <v>2400000</v>
      </c>
      <c r="E41" s="254">
        <f>$I$8*$I$9</f>
        <v>2400000</v>
      </c>
      <c r="F41" s="253">
        <f>$I$8*$I$9</f>
        <v>2400000</v>
      </c>
      <c r="G41" s="186"/>
      <c r="H41" s="293" t="s">
        <v>60</v>
      </c>
      <c r="I41" s="315">
        <f>K41*(1+I36)</f>
        <v>0.13</v>
      </c>
      <c r="J41" s="325">
        <f>K41*(1+J36)</f>
        <v>3.0000000000000006E-2</v>
      </c>
      <c r="K41" s="324">
        <f>I2</f>
        <v>0.1</v>
      </c>
      <c r="L41" s="186"/>
      <c r="M41" s="186"/>
      <c r="N41" s="186"/>
      <c r="O41" s="186"/>
      <c r="P41" s="186"/>
      <c r="Q41" s="186"/>
      <c r="R41" s="207" t="s">
        <v>243</v>
      </c>
      <c r="U41" s="210"/>
      <c r="W41" s="209">
        <f>I14+(W9-I14)/3</f>
        <v>2.8703282280583161E-2</v>
      </c>
      <c r="Y41"/>
      <c r="Z41"/>
      <c r="AA41"/>
      <c r="AB41"/>
      <c r="AC41"/>
      <c r="AD41"/>
      <c r="AE41"/>
      <c r="AF41"/>
      <c r="AG41"/>
      <c r="AH41"/>
      <c r="AI41"/>
      <c r="AJ41"/>
      <c r="AK41"/>
      <c r="AL41"/>
      <c r="AM41" s="200"/>
    </row>
    <row r="42" spans="1:39" ht="15.6" thickTop="1" thickBot="1">
      <c r="A42" s="380" t="s">
        <v>151</v>
      </c>
      <c r="B42" s="381">
        <f>B40-B41</f>
        <v>48370073.970000029</v>
      </c>
      <c r="C42" s="381">
        <f>C40-C41</f>
        <v>54970183.586099982</v>
      </c>
      <c r="D42" s="381">
        <f>D40-D41</f>
        <v>62428307.452292919</v>
      </c>
      <c r="E42" s="381">
        <f>E40-E41</f>
        <v>70855987.42109102</v>
      </c>
      <c r="F42" s="382">
        <f>F40-F41</f>
        <v>80379265.785832942</v>
      </c>
      <c r="G42" s="186"/>
      <c r="H42" s="293" t="s">
        <v>58</v>
      </c>
      <c r="I42" s="315">
        <f>K42*(1+I37)</f>
        <v>5.0999999999999997E-2</v>
      </c>
      <c r="J42" s="325">
        <f>K42*(1+J37)</f>
        <v>8.3999999999999991E-2</v>
      </c>
      <c r="K42" s="324">
        <f>I13</f>
        <v>0.06</v>
      </c>
      <c r="L42" s="186"/>
      <c r="M42" s="186"/>
      <c r="N42" s="186"/>
      <c r="O42" s="186"/>
      <c r="P42" s="186"/>
      <c r="Q42" s="186"/>
      <c r="R42" s="207" t="s">
        <v>244</v>
      </c>
      <c r="U42" s="210"/>
      <c r="W42" s="209">
        <f>I13+(W20-I13)/3</f>
        <v>5.6625304222106931E-2</v>
      </c>
      <c r="Y42"/>
      <c r="Z42"/>
      <c r="AA42"/>
      <c r="AB42"/>
      <c r="AC42"/>
      <c r="AD42"/>
      <c r="AE42"/>
      <c r="AF42"/>
      <c r="AG42"/>
      <c r="AH42"/>
      <c r="AI42"/>
      <c r="AJ42"/>
      <c r="AK42"/>
      <c r="AL42"/>
      <c r="AM42" s="200"/>
    </row>
    <row r="43" spans="1:39" ht="15.6" thickTop="1" thickBot="1">
      <c r="A43" s="258" t="s">
        <v>154</v>
      </c>
      <c r="B43" s="254">
        <f>B42*$I$10</f>
        <v>12092518.492500007</v>
      </c>
      <c r="C43" s="254">
        <f>C42*$I$10</f>
        <v>13742545.896524996</v>
      </c>
      <c r="D43" s="254">
        <f>D42*$I$10</f>
        <v>15607076.86307323</v>
      </c>
      <c r="E43" s="254">
        <f>E42*$I$10</f>
        <v>17713996.855272755</v>
      </c>
      <c r="F43" s="253">
        <f>F42*$I$10</f>
        <v>20094816.446458235</v>
      </c>
      <c r="G43" s="186"/>
      <c r="H43" s="293" t="s">
        <v>245</v>
      </c>
      <c r="I43" s="315">
        <f>K43*(1+I38)</f>
        <v>0.03</v>
      </c>
      <c r="J43" s="325">
        <f>K43*(1+J38)</f>
        <v>1.4999999999999999E-2</v>
      </c>
      <c r="K43" s="324">
        <f>I14</f>
        <v>2.5000000000000001E-2</v>
      </c>
      <c r="L43" s="186"/>
      <c r="M43" s="186"/>
      <c r="N43" s="186"/>
      <c r="O43" s="186"/>
      <c r="P43" s="186"/>
      <c r="Q43" s="186"/>
      <c r="R43" s="207" t="s">
        <v>246</v>
      </c>
      <c r="U43" s="210"/>
      <c r="W43" s="209">
        <f>I2+(W36-I2)/3</f>
        <v>0.13274661699930829</v>
      </c>
      <c r="Y43"/>
      <c r="Z43"/>
      <c r="AA43"/>
      <c r="AB43"/>
      <c r="AC43"/>
      <c r="AD43"/>
      <c r="AE43"/>
      <c r="AF43"/>
      <c r="AG43"/>
      <c r="AH43"/>
      <c r="AI43"/>
      <c r="AJ43"/>
      <c r="AK43"/>
      <c r="AL43"/>
      <c r="AM43" s="200"/>
    </row>
    <row r="44" spans="1:39" ht="15.6" thickTop="1" thickBot="1">
      <c r="A44" s="380" t="s">
        <v>247</v>
      </c>
      <c r="B44" s="378">
        <f>B42-B43</f>
        <v>36277555.477500021</v>
      </c>
      <c r="C44" s="378">
        <f>C42-C43</f>
        <v>41227637.689574987</v>
      </c>
      <c r="D44" s="378">
        <f>D42-D43</f>
        <v>46821230.589219689</v>
      </c>
      <c r="E44" s="378">
        <f>E42-E43</f>
        <v>53141990.565818265</v>
      </c>
      <c r="F44" s="379">
        <f>F42-F43</f>
        <v>60284449.339374706</v>
      </c>
      <c r="G44" s="186"/>
      <c r="H44" s="292" t="s">
        <v>248</v>
      </c>
      <c r="I44" s="312">
        <f>K44+I39</f>
        <v>6.3000000000000014E-2</v>
      </c>
      <c r="J44" s="323">
        <f>K44+J39</f>
        <v>2.300000000000001E-2</v>
      </c>
      <c r="K44" s="322">
        <f>I16</f>
        <v>4.300000000000001E-2</v>
      </c>
      <c r="L44" s="186"/>
      <c r="M44" s="186"/>
      <c r="N44" s="186"/>
      <c r="O44" s="186"/>
      <c r="P44" s="186"/>
      <c r="Q44" s="186"/>
      <c r="R44" s="207" t="s">
        <v>249</v>
      </c>
      <c r="W44" s="209">
        <f>(1+W43)*W26-W43*I12</f>
        <v>2.8212412973244998E-2</v>
      </c>
      <c r="Y44"/>
      <c r="Z44"/>
      <c r="AA44"/>
      <c r="AB44"/>
      <c r="AC44"/>
      <c r="AD44"/>
      <c r="AE44"/>
      <c r="AF44"/>
      <c r="AG44"/>
      <c r="AH44"/>
      <c r="AI44"/>
      <c r="AJ44"/>
      <c r="AK44"/>
      <c r="AL44"/>
      <c r="AM44" s="200"/>
    </row>
    <row r="45" spans="1:39">
      <c r="A45" s="262" t="s">
        <v>160</v>
      </c>
      <c r="B45" s="266">
        <f>B41*(1-$I$10)</f>
        <v>1800000</v>
      </c>
      <c r="C45" s="266">
        <f>C41*(1-$I$10)</f>
        <v>1800000</v>
      </c>
      <c r="D45" s="266">
        <f>D41*(1-$I$10)</f>
        <v>1800000</v>
      </c>
      <c r="E45" s="266">
        <f>E41*(1-$I$10)</f>
        <v>1800000</v>
      </c>
      <c r="F45" s="265">
        <f>F41*(1-$I$10)</f>
        <v>1800000</v>
      </c>
      <c r="G45" s="186"/>
      <c r="H45" s="186"/>
      <c r="I45" s="186"/>
      <c r="J45" s="186"/>
      <c r="K45" s="186"/>
      <c r="L45" s="186"/>
      <c r="M45" s="186"/>
      <c r="N45" s="186"/>
      <c r="O45" s="186"/>
      <c r="P45" s="186"/>
      <c r="Q45" s="186"/>
      <c r="R45" s="205" t="s">
        <v>250</v>
      </c>
      <c r="W45" s="208">
        <f>W27*W44*(1/(1+W42)+(1+W43)/(1+W42)^2+(1+W43)^2/(1+W42)^3+(1+W43)^3/(1+W42)^4+(1+W43)^4/(1+W42)^5+(1+W43)^4*(1+W41)/((W42-W41)*(1+W42)^5))</f>
        <v>1036564405.9806056</v>
      </c>
      <c r="Y45"/>
      <c r="Z45"/>
      <c r="AA45"/>
      <c r="AB45"/>
      <c r="AC45"/>
      <c r="AD45"/>
      <c r="AE45"/>
      <c r="AF45"/>
      <c r="AG45"/>
      <c r="AH45"/>
      <c r="AI45"/>
      <c r="AJ45"/>
      <c r="AK45"/>
      <c r="AL45"/>
      <c r="AM45" s="200"/>
    </row>
    <row r="46" spans="1:39" ht="15" thickBot="1">
      <c r="A46" s="262" t="s">
        <v>163</v>
      </c>
      <c r="B46" s="261">
        <f>B36*$I$6</f>
        <v>20146854.75</v>
      </c>
      <c r="C46" s="261">
        <f>C36*$I$6</f>
        <v>22765945.867499996</v>
      </c>
      <c r="D46" s="261">
        <f>D36*$I$6</f>
        <v>25725518.830274995</v>
      </c>
      <c r="E46" s="261">
        <f>E36*$I$6</f>
        <v>29069836.278210744</v>
      </c>
      <c r="F46" s="260">
        <f>F36*$I$6</f>
        <v>32848914.994378135</v>
      </c>
      <c r="G46" s="186"/>
      <c r="H46" s="186"/>
      <c r="I46" s="186"/>
      <c r="J46" s="186"/>
      <c r="K46" s="186"/>
      <c r="L46" s="186"/>
      <c r="M46" s="186"/>
      <c r="N46" s="186"/>
      <c r="O46" s="186"/>
      <c r="P46" s="186"/>
      <c r="Q46" s="186"/>
      <c r="R46" s="207" t="s">
        <v>251</v>
      </c>
      <c r="W46" s="206">
        <f>W45-F25+F24</f>
        <v>980196405.9806056</v>
      </c>
      <c r="Y46"/>
      <c r="Z46"/>
      <c r="AA46"/>
      <c r="AB46"/>
      <c r="AC46"/>
      <c r="AD46"/>
      <c r="AE46"/>
      <c r="AF46"/>
      <c r="AG46"/>
      <c r="AH46"/>
      <c r="AI46"/>
      <c r="AJ46"/>
      <c r="AK46"/>
      <c r="AL46"/>
      <c r="AM46" s="200"/>
    </row>
    <row r="47" spans="1:39" ht="15" thickBot="1">
      <c r="A47" s="258" t="s">
        <v>166</v>
      </c>
      <c r="B47" s="254">
        <f>(B36-'Data Schema'!C3)*$I$12</f>
        <v>1854223.7999999977</v>
      </c>
      <c r="C47" s="254">
        <f>(C36-B36)*$I$12</f>
        <v>2095272.8939999987</v>
      </c>
      <c r="D47" s="254">
        <f>(D36-C36)*$I$12</f>
        <v>2367658.3702199985</v>
      </c>
      <c r="E47" s="254">
        <f>(E36-D36)*$I$12</f>
        <v>2675453.9583485983</v>
      </c>
      <c r="F47" s="253">
        <f>(F36-E36)*$I$12</f>
        <v>3023262.9729339122</v>
      </c>
      <c r="G47" s="186"/>
      <c r="H47" s="296" t="s">
        <v>252</v>
      </c>
      <c r="I47" s="321" t="s">
        <v>17</v>
      </c>
      <c r="J47" s="320" t="s">
        <v>15</v>
      </c>
      <c r="K47" s="319" t="s">
        <v>13</v>
      </c>
      <c r="L47" s="186"/>
      <c r="M47" s="186"/>
      <c r="N47" s="186"/>
      <c r="O47" s="186"/>
      <c r="P47" s="186"/>
      <c r="Q47" s="186"/>
      <c r="R47" s="205" t="s">
        <v>253</v>
      </c>
      <c r="W47" s="204">
        <f>W46/F27</f>
        <v>122.18853228379527</v>
      </c>
      <c r="Y47"/>
      <c r="Z47"/>
      <c r="AA47"/>
      <c r="AB47"/>
      <c r="AC47"/>
      <c r="AD47"/>
      <c r="AE47"/>
      <c r="AF47"/>
      <c r="AG47"/>
      <c r="AH47"/>
      <c r="AI47"/>
      <c r="AJ47"/>
      <c r="AK47"/>
      <c r="AL47"/>
      <c r="AM47" s="200"/>
    </row>
    <row r="48" spans="1:39" ht="15.6" thickTop="1" thickBot="1">
      <c r="A48" s="255" t="s">
        <v>254</v>
      </c>
      <c r="B48" s="254">
        <f>B36*$I$11</f>
        <v>24176225.699999996</v>
      </c>
      <c r="C48" s="254">
        <f>C36*$I$11</f>
        <v>27319135.040999994</v>
      </c>
      <c r="D48" s="254">
        <f>D36*$I$11</f>
        <v>30870622.596329991</v>
      </c>
      <c r="E48" s="254">
        <f>E36*$I$11</f>
        <v>34883803.53385289</v>
      </c>
      <c r="F48" s="253">
        <f>F36*$I$11</f>
        <v>39418697.99325376</v>
      </c>
      <c r="G48" s="186"/>
      <c r="H48" s="308" t="s">
        <v>8</v>
      </c>
      <c r="I48" s="318">
        <f>F60</f>
        <v>265.43046394032945</v>
      </c>
      <c r="J48" s="317">
        <f>F28</f>
        <v>85.30831348406727</v>
      </c>
      <c r="K48" s="316">
        <f>F92</f>
        <v>9.251981332464295</v>
      </c>
      <c r="L48" s="186"/>
      <c r="M48" s="186"/>
      <c r="N48" s="186"/>
      <c r="O48" s="186"/>
      <c r="P48" s="186"/>
      <c r="Q48" s="186"/>
      <c r="R48" s="203" t="s">
        <v>255</v>
      </c>
      <c r="S48" s="202"/>
      <c r="T48" s="202"/>
      <c r="U48" s="202"/>
      <c r="V48" s="202"/>
      <c r="W48" s="201">
        <f>(W47-F29)/F29</f>
        <v>-1.1659530180415167E-2</v>
      </c>
      <c r="Y48"/>
      <c r="Z48"/>
      <c r="AA48"/>
      <c r="AB48"/>
      <c r="AC48"/>
      <c r="AD48"/>
      <c r="AE48"/>
      <c r="AF48"/>
      <c r="AG48"/>
      <c r="AH48"/>
      <c r="AI48"/>
      <c r="AJ48"/>
      <c r="AK48"/>
      <c r="AL48"/>
      <c r="AM48" s="200"/>
    </row>
    <row r="49" spans="1:11" ht="15.6" thickTop="1" thickBot="1">
      <c r="A49" s="383" t="s">
        <v>172</v>
      </c>
      <c r="B49" s="371">
        <f>B44+B45+B46-B47-B48</f>
        <v>32193960.727500029</v>
      </c>
      <c r="C49" s="371">
        <f>C44+C45+C46-C47-C48</f>
        <v>36379175.622074984</v>
      </c>
      <c r="D49" s="371">
        <f>D44+D45+D46-D47-D48</f>
        <v>41108468.452944696</v>
      </c>
      <c r="E49" s="371">
        <f>E44+E45+E46-E47-E48</f>
        <v>46452569.351827517</v>
      </c>
      <c r="F49" s="372">
        <f>F44+F45+F46-F47-F48</f>
        <v>52491403.367565162</v>
      </c>
      <c r="G49" s="186"/>
      <c r="H49" s="308" t="s">
        <v>211</v>
      </c>
      <c r="I49" s="315">
        <f>F62</f>
        <v>1.1469745526193436</v>
      </c>
      <c r="J49" s="314">
        <f>F30</f>
        <v>-0.309970771786239</v>
      </c>
      <c r="K49" s="313">
        <f>F94</f>
        <v>-0.92516394619053388</v>
      </c>
    </row>
    <row r="50" spans="1:11" ht="15" customHeight="1" thickBot="1">
      <c r="A50" s="249" t="s">
        <v>256</v>
      </c>
      <c r="B50" s="384">
        <f>B49/(1+$I$42)^1</f>
        <v>30631741.891056165</v>
      </c>
      <c r="C50" s="384">
        <f>C49/(1+$I$42)^2</f>
        <v>32934222.9656455</v>
      </c>
      <c r="D50" s="384">
        <f>D49/(1+$I$42)^3</f>
        <v>35409773.502549365</v>
      </c>
      <c r="E50" s="384">
        <f>E49/(1+$I$42)^4</f>
        <v>38071402.528906554</v>
      </c>
      <c r="F50" s="385">
        <f>F49/(1+$I$42)^5</f>
        <v>40933096.914999492</v>
      </c>
      <c r="G50" s="186"/>
      <c r="H50" s="308" t="s">
        <v>10</v>
      </c>
      <c r="I50" s="315">
        <f>F63</f>
        <v>0.16510584067916056</v>
      </c>
      <c r="J50" s="314">
        <f>IFERROR((F28/F29)^(1/5)-1,0)</f>
        <v>-7.1517981456046487E-2</v>
      </c>
      <c r="K50" s="313">
        <f>F95</f>
        <v>-0.40458170371100011</v>
      </c>
    </row>
    <row r="51" spans="1:11" ht="15" thickBot="1">
      <c r="A51" s="207"/>
      <c r="B51" s="186"/>
      <c r="C51" s="186"/>
      <c r="D51" s="186"/>
      <c r="E51" s="186"/>
      <c r="F51" s="186"/>
      <c r="G51" s="186"/>
      <c r="H51" s="307" t="s">
        <v>11</v>
      </c>
      <c r="I51" s="312">
        <f>F64</f>
        <v>1.1469745526193438</v>
      </c>
      <c r="J51" s="311">
        <f>F28/F29-1</f>
        <v>-0.309970771786239</v>
      </c>
      <c r="K51" s="310">
        <f>F96</f>
        <v>-0.92516394619053388</v>
      </c>
    </row>
    <row r="52" spans="1:11">
      <c r="A52" s="386" t="s">
        <v>219</v>
      </c>
      <c r="B52" s="587" t="s">
        <v>178</v>
      </c>
      <c r="C52" s="588"/>
      <c r="D52" s="588"/>
      <c r="E52" s="589"/>
      <c r="F52" s="387" t="s">
        <v>127</v>
      </c>
      <c r="G52" s="186"/>
    </row>
    <row r="53" spans="1:11">
      <c r="A53" s="239" t="s">
        <v>185</v>
      </c>
      <c r="B53" s="584" t="s">
        <v>257</v>
      </c>
      <c r="C53" s="662"/>
      <c r="D53" s="662"/>
      <c r="E53" s="662"/>
      <c r="F53" s="246">
        <f>F49*(1+$I$43)/($I$42-$I$43)</f>
        <v>2574578355.647244</v>
      </c>
      <c r="G53" s="186"/>
      <c r="H53" s="186"/>
      <c r="I53" s="186"/>
      <c r="J53" s="186"/>
      <c r="K53" s="186"/>
    </row>
    <row r="54" spans="1:11">
      <c r="A54" s="244" t="s">
        <v>189</v>
      </c>
      <c r="B54" s="585" t="s">
        <v>258</v>
      </c>
      <c r="C54" s="662"/>
      <c r="D54" s="662"/>
      <c r="E54" s="662"/>
      <c r="F54" s="242">
        <f>F53/(1+$I$42)^5</f>
        <v>2007670943.9261658</v>
      </c>
      <c r="G54" s="186"/>
      <c r="H54" s="186"/>
      <c r="I54" s="186"/>
      <c r="J54" s="186"/>
      <c r="K54" s="186"/>
    </row>
    <row r="55" spans="1:11">
      <c r="A55" s="239" t="s">
        <v>193</v>
      </c>
      <c r="B55" s="584" t="s">
        <v>194</v>
      </c>
      <c r="C55" s="662"/>
      <c r="D55" s="662"/>
      <c r="E55" s="662"/>
      <c r="F55" s="238">
        <f>SUM(B50:F50)+F54</f>
        <v>2185651181.7293229</v>
      </c>
      <c r="G55" s="186"/>
      <c r="H55" s="186"/>
      <c r="I55" s="186"/>
      <c r="J55" s="186"/>
      <c r="K55" s="186"/>
    </row>
    <row r="56" spans="1:11">
      <c r="A56" s="234" t="s">
        <v>259</v>
      </c>
      <c r="B56" s="585" t="s">
        <v>260</v>
      </c>
      <c r="C56" s="662"/>
      <c r="D56" s="662"/>
      <c r="E56" s="662"/>
      <c r="F56" s="242">
        <f>'Data Schema'!C21</f>
        <v>10727000</v>
      </c>
      <c r="G56" s="186"/>
      <c r="H56" s="186"/>
      <c r="I56" s="186"/>
      <c r="J56" s="186"/>
      <c r="K56" s="186"/>
    </row>
    <row r="57" spans="1:11">
      <c r="A57" s="234" t="s">
        <v>76</v>
      </c>
      <c r="B57" s="243" t="s">
        <v>260</v>
      </c>
      <c r="C57" s="243"/>
      <c r="D57" s="243"/>
      <c r="E57" s="243"/>
      <c r="F57" s="242">
        <f>'Data Schema'!C31</f>
        <v>67095000</v>
      </c>
      <c r="G57" s="186"/>
      <c r="H57" s="186"/>
      <c r="I57" s="186"/>
      <c r="J57" s="186"/>
      <c r="K57" s="186"/>
    </row>
    <row r="58" spans="1:11">
      <c r="A58" s="239" t="s">
        <v>261</v>
      </c>
      <c r="B58" s="584" t="s">
        <v>262</v>
      </c>
      <c r="C58" s="662"/>
      <c r="D58" s="662"/>
      <c r="E58" s="662"/>
      <c r="F58" s="238">
        <f>F55-F57+F56</f>
        <v>2129283181.7293229</v>
      </c>
      <c r="G58" s="186"/>
      <c r="H58" s="186"/>
      <c r="I58" s="186"/>
      <c r="J58" s="186"/>
      <c r="K58" s="186"/>
    </row>
    <row r="59" spans="1:11">
      <c r="A59" s="234" t="s">
        <v>205</v>
      </c>
      <c r="B59" s="585"/>
      <c r="C59" s="662"/>
      <c r="D59" s="662"/>
      <c r="E59" s="662"/>
      <c r="F59" s="237">
        <f>'Data Schema'!B17</f>
        <v>8022000</v>
      </c>
      <c r="G59" s="186"/>
      <c r="H59" s="186"/>
      <c r="I59" s="186"/>
      <c r="J59" s="186"/>
      <c r="K59" s="186"/>
    </row>
    <row r="60" spans="1:11">
      <c r="A60" s="239" t="s">
        <v>207</v>
      </c>
      <c r="B60" s="584" t="s">
        <v>263</v>
      </c>
      <c r="C60" s="662"/>
      <c r="D60" s="662"/>
      <c r="E60" s="662"/>
      <c r="F60" s="373">
        <f>F58/F59</f>
        <v>265.43046394032945</v>
      </c>
      <c r="G60" s="186"/>
      <c r="H60" s="186"/>
      <c r="I60" s="186"/>
      <c r="J60" s="186"/>
      <c r="K60" s="186"/>
    </row>
    <row r="61" spans="1:11">
      <c r="A61" s="234" t="s">
        <v>209</v>
      </c>
      <c r="B61" s="585"/>
      <c r="C61" s="662"/>
      <c r="D61" s="662"/>
      <c r="E61" s="662"/>
      <c r="F61" s="334">
        <f>F29</f>
        <v>123.63</v>
      </c>
      <c r="G61" s="186"/>
      <c r="H61" s="186"/>
      <c r="I61" s="186"/>
      <c r="J61" s="186"/>
      <c r="K61" s="186"/>
    </row>
    <row r="62" spans="1:11">
      <c r="A62" s="234" t="s">
        <v>211</v>
      </c>
      <c r="B62" s="585" t="s">
        <v>264</v>
      </c>
      <c r="C62" s="662"/>
      <c r="D62" s="662"/>
      <c r="E62" s="662"/>
      <c r="F62" s="333">
        <f>(F60-F61)/F61</f>
        <v>1.1469745526193436</v>
      </c>
      <c r="G62" s="186"/>
      <c r="H62" s="186"/>
      <c r="I62" s="186"/>
      <c r="J62" s="186"/>
      <c r="K62" s="186"/>
    </row>
    <row r="63" spans="1:11">
      <c r="A63" s="205" t="s">
        <v>10</v>
      </c>
      <c r="B63" s="665" t="s">
        <v>214</v>
      </c>
      <c r="C63" s="666"/>
      <c r="D63" s="666"/>
      <c r="E63" s="666"/>
      <c r="F63" s="331">
        <f>IFERROR((F60/F61)^(1/5)-1,0)</f>
        <v>0.16510584067916056</v>
      </c>
    </row>
    <row r="64" spans="1:11" ht="15" thickBot="1">
      <c r="A64" s="330" t="s">
        <v>215</v>
      </c>
      <c r="B64" s="667" t="s">
        <v>216</v>
      </c>
      <c r="C64" s="668"/>
      <c r="D64" s="668"/>
      <c r="E64" s="668"/>
      <c r="F64" s="329">
        <f>F60/F61-1</f>
        <v>1.1469745526193438</v>
      </c>
    </row>
    <row r="66" spans="1:6" ht="18">
      <c r="A66" s="638" t="s">
        <v>265</v>
      </c>
      <c r="B66" s="669"/>
      <c r="C66" s="669"/>
      <c r="D66" s="669"/>
      <c r="E66" s="669"/>
      <c r="F66" s="670"/>
    </row>
    <row r="67" spans="1:6">
      <c r="A67" s="295" t="s">
        <v>266</v>
      </c>
      <c r="B67" s="198">
        <f>B2+0</f>
        <v>2027</v>
      </c>
      <c r="C67" s="198">
        <f>B2+1</f>
        <v>2028</v>
      </c>
      <c r="D67" s="198">
        <f>B2+2</f>
        <v>2029</v>
      </c>
      <c r="E67" s="198">
        <f>B2+3</f>
        <v>2030</v>
      </c>
      <c r="F67" s="309">
        <f>B2+4</f>
        <v>2031</v>
      </c>
    </row>
    <row r="68" spans="1:6">
      <c r="A68" s="374" t="s">
        <v>227</v>
      </c>
      <c r="B68" s="375">
        <f>'Data Schema'!C3*(1+$J$41)</f>
        <v>734557890</v>
      </c>
      <c r="C68" s="375">
        <f>B68*(1+$J$41)</f>
        <v>756594626.70000005</v>
      </c>
      <c r="D68" s="375">
        <f>C68*(1+$J$41)</f>
        <v>779292465.50100005</v>
      </c>
      <c r="E68" s="375">
        <f>D68*(1+$J$41)</f>
        <v>802671239.46603012</v>
      </c>
      <c r="F68" s="376">
        <f>E68*(1+$J$41)</f>
        <v>826751376.65001106</v>
      </c>
    </row>
    <row r="69" spans="1:6" ht="15" thickBot="1">
      <c r="A69" s="278" t="s">
        <v>231</v>
      </c>
      <c r="B69" s="254">
        <f>B68*$I$4</f>
        <v>550918417.5</v>
      </c>
      <c r="C69" s="254">
        <f>C68*$I$4</f>
        <v>567445970.0250001</v>
      </c>
      <c r="D69" s="254">
        <f>D68*$I$4</f>
        <v>584469349.12575006</v>
      </c>
      <c r="E69" s="254">
        <f>E68*$I$4</f>
        <v>602003429.59952259</v>
      </c>
      <c r="F69" s="253">
        <f>F68*$I$4</f>
        <v>620063532.4875083</v>
      </c>
    </row>
    <row r="70" spans="1:6" ht="15" thickTop="1">
      <c r="A70" s="377" t="s">
        <v>140</v>
      </c>
      <c r="B70" s="378">
        <f>B68-B69</f>
        <v>183639472.5</v>
      </c>
      <c r="C70" s="378">
        <f>C68-C69</f>
        <v>189148656.67499995</v>
      </c>
      <c r="D70" s="378">
        <f>D68-D69</f>
        <v>194823116.37524998</v>
      </c>
      <c r="E70" s="378">
        <f>E68-E69</f>
        <v>200667809.86650753</v>
      </c>
      <c r="F70" s="379">
        <f>F68-F69</f>
        <v>206687844.16250277</v>
      </c>
    </row>
    <row r="71" spans="1:6" ht="15" thickBot="1">
      <c r="A71" s="258" t="s">
        <v>143</v>
      </c>
      <c r="B71" s="254">
        <f>B68*($I$5-$J$39)</f>
        <v>166744641.02999997</v>
      </c>
      <c r="C71" s="254">
        <f>C68*($I$5-$J$39)</f>
        <v>171746980.26089999</v>
      </c>
      <c r="D71" s="254">
        <f>D68*($I$5-$J$39)</f>
        <v>176899389.66872698</v>
      </c>
      <c r="E71" s="254">
        <f>E68*($I$5-$J$39)</f>
        <v>182206371.35878882</v>
      </c>
      <c r="F71" s="253">
        <f>F68*($I$5-$J$39)</f>
        <v>187672562.49955249</v>
      </c>
    </row>
    <row r="72" spans="1:6" ht="15" thickTop="1">
      <c r="A72" s="377" t="s">
        <v>146</v>
      </c>
      <c r="B72" s="378">
        <f>B70-B71</f>
        <v>16894831.470000029</v>
      </c>
      <c r="C72" s="378">
        <f>C70-C71</f>
        <v>17401676.414099962</v>
      </c>
      <c r="D72" s="378">
        <f>D70-D71</f>
        <v>17923726.706523001</v>
      </c>
      <c r="E72" s="378">
        <f>E70-E71</f>
        <v>18461438.507718712</v>
      </c>
      <c r="F72" s="379">
        <f>F70-F71</f>
        <v>19015281.662950277</v>
      </c>
    </row>
    <row r="73" spans="1:6" ht="15" thickBot="1">
      <c r="A73" s="278" t="s">
        <v>149</v>
      </c>
      <c r="B73" s="254">
        <f>$I$8*$I$9</f>
        <v>2400000</v>
      </c>
      <c r="C73" s="254">
        <f>$I$8*$I$9</f>
        <v>2400000</v>
      </c>
      <c r="D73" s="254">
        <f>$I$8*$I$9</f>
        <v>2400000</v>
      </c>
      <c r="E73" s="254">
        <f>$I$8*$I$9</f>
        <v>2400000</v>
      </c>
      <c r="F73" s="253">
        <f>$I$8*$I$9</f>
        <v>2400000</v>
      </c>
    </row>
    <row r="74" spans="1:6" ht="15.6" thickTop="1" thickBot="1">
      <c r="A74" s="380" t="s">
        <v>151</v>
      </c>
      <c r="B74" s="381">
        <f>B72-B73</f>
        <v>14494831.470000029</v>
      </c>
      <c r="C74" s="381">
        <f>C72-C73</f>
        <v>15001676.414099962</v>
      </c>
      <c r="D74" s="381">
        <f>D72-D73</f>
        <v>15523726.706523001</v>
      </c>
      <c r="E74" s="381">
        <f>E72-E73</f>
        <v>16061438.507718712</v>
      </c>
      <c r="F74" s="382">
        <f>F72-F73</f>
        <v>16615281.662950277</v>
      </c>
    </row>
    <row r="75" spans="1:6" ht="15.6" thickTop="1" thickBot="1">
      <c r="A75" s="258" t="s">
        <v>154</v>
      </c>
      <c r="B75" s="254">
        <f>B74*$I$10</f>
        <v>3623707.8675000072</v>
      </c>
      <c r="C75" s="254">
        <f>C74*$I$10</f>
        <v>3750419.1035249904</v>
      </c>
      <c r="D75" s="254">
        <f>D74*$I$10</f>
        <v>3880931.6766307503</v>
      </c>
      <c r="E75" s="254">
        <f>E74*$I$10</f>
        <v>4015359.626929678</v>
      </c>
      <c r="F75" s="253">
        <f>F74*$I$10</f>
        <v>4153820.4157375693</v>
      </c>
    </row>
    <row r="76" spans="1:6" ht="15" thickTop="1">
      <c r="A76" s="380" t="s">
        <v>247</v>
      </c>
      <c r="B76" s="378">
        <f>B74-B75</f>
        <v>10871123.602500021</v>
      </c>
      <c r="C76" s="378">
        <f>C74-C75</f>
        <v>11251257.310574971</v>
      </c>
      <c r="D76" s="378">
        <f>D74-D75</f>
        <v>11642795.029892251</v>
      </c>
      <c r="E76" s="378">
        <f>E74-E75</f>
        <v>12046078.880789034</v>
      </c>
      <c r="F76" s="379">
        <f>F74-F75</f>
        <v>12461461.247212708</v>
      </c>
    </row>
    <row r="77" spans="1:6">
      <c r="A77" s="262" t="s">
        <v>160</v>
      </c>
      <c r="B77" s="266">
        <f>B73*(1-$I$10)</f>
        <v>1800000</v>
      </c>
      <c r="C77" s="266">
        <f>C73*(1-$I$10)</f>
        <v>1800000</v>
      </c>
      <c r="D77" s="266">
        <f>D73*(1-$I$10)</f>
        <v>1800000</v>
      </c>
      <c r="E77" s="266">
        <f>E73*(1-$I$10)</f>
        <v>1800000</v>
      </c>
      <c r="F77" s="265">
        <f>F73*(1-$I$10)</f>
        <v>1800000</v>
      </c>
    </row>
    <row r="78" spans="1:6">
      <c r="A78" s="262" t="s">
        <v>163</v>
      </c>
      <c r="B78" s="261">
        <f>B68*$I$6</f>
        <v>18363947.25</v>
      </c>
      <c r="C78" s="261">
        <f>C68*$I$6</f>
        <v>18914865.6675</v>
      </c>
      <c r="D78" s="261">
        <f>D68*$I$6</f>
        <v>19482311.637525003</v>
      </c>
      <c r="E78" s="261">
        <f>E68*$I$6</f>
        <v>20066780.986650754</v>
      </c>
      <c r="F78" s="260">
        <f>F68*$I$6</f>
        <v>20668784.416250277</v>
      </c>
    </row>
    <row r="79" spans="1:6" ht="15" thickBot="1">
      <c r="A79" s="258" t="s">
        <v>166</v>
      </c>
      <c r="B79" s="254">
        <f>(B68-'Data Schema'!C3)*$I$12</f>
        <v>427897.8</v>
      </c>
      <c r="C79" s="254">
        <f>(C68-B68)*$I$12</f>
        <v>440734.73400000099</v>
      </c>
      <c r="D79" s="254">
        <f>(D68-C68)*$I$12</f>
        <v>453956.77601999999</v>
      </c>
      <c r="E79" s="254">
        <f>(E68-D68)*$I$12</f>
        <v>467575.47930060147</v>
      </c>
      <c r="F79" s="253">
        <f>(F68-E68)*$I$12</f>
        <v>481602.74367961887</v>
      </c>
    </row>
    <row r="80" spans="1:6" ht="15.6" thickTop="1" thickBot="1">
      <c r="A80" s="255" t="s">
        <v>254</v>
      </c>
      <c r="B80" s="254">
        <f>B68*$I$11</f>
        <v>22036736.699999999</v>
      </c>
      <c r="C80" s="254">
        <f>C68*$I$11</f>
        <v>22697838.800999999</v>
      </c>
      <c r="D80" s="254">
        <f>D68*$I$11</f>
        <v>23378773.96503</v>
      </c>
      <c r="E80" s="254">
        <f>E68*$I$11</f>
        <v>24080137.183980905</v>
      </c>
      <c r="F80" s="253">
        <f>F68*$I$11</f>
        <v>24802541.299500331</v>
      </c>
    </row>
    <row r="81" spans="1:6" ht="15" thickTop="1">
      <c r="A81" s="383" t="s">
        <v>172</v>
      </c>
      <c r="B81" s="371">
        <f>B76+B77+B78-B79-B80</f>
        <v>8570436.3525000215</v>
      </c>
      <c r="C81" s="371">
        <f>C76+C77+C78-C79-C80</f>
        <v>8827549.4430749714</v>
      </c>
      <c r="D81" s="371">
        <f>D76+D77+D78-D79-D80</f>
        <v>9092375.9263672531</v>
      </c>
      <c r="E81" s="371">
        <f>E76+E77+E78-E79-E80</f>
        <v>9365147.2041582838</v>
      </c>
      <c r="F81" s="372">
        <f>F76+F77+F78-F79-F80</f>
        <v>9646101.62028303</v>
      </c>
    </row>
    <row r="82" spans="1:6" ht="15" thickBot="1">
      <c r="A82" s="249" t="s">
        <v>256</v>
      </c>
      <c r="B82" s="384">
        <f>B81/(1+$J$42)^1</f>
        <v>7906306.5982472515</v>
      </c>
      <c r="C82" s="384">
        <f>C81/(1+$J$42)^2</f>
        <v>7512449.9964895044</v>
      </c>
      <c r="D82" s="384">
        <f>D81/(1+$J$42)^3</f>
        <v>7138213.557550014</v>
      </c>
      <c r="E82" s="384">
        <f>E81/(1+$J$42)^4</f>
        <v>6782619.8932440281</v>
      </c>
      <c r="F82" s="385">
        <f>F81/(1+$J$42)^5</f>
        <v>6444740.304466187</v>
      </c>
    </row>
    <row r="83" spans="1:6" ht="15" thickBot="1">
      <c r="A83" s="211"/>
    </row>
    <row r="84" spans="1:6">
      <c r="A84" s="388" t="s">
        <v>265</v>
      </c>
      <c r="B84" s="640" t="s">
        <v>178</v>
      </c>
      <c r="C84" s="588"/>
      <c r="D84" s="588"/>
      <c r="E84" s="589"/>
      <c r="F84" s="389" t="s">
        <v>127</v>
      </c>
    </row>
    <row r="85" spans="1:6">
      <c r="A85" s="239" t="s">
        <v>185</v>
      </c>
      <c r="B85" s="584" t="s">
        <v>257</v>
      </c>
      <c r="C85" s="662"/>
      <c r="D85" s="662"/>
      <c r="E85" s="662"/>
      <c r="F85" s="246">
        <f>F81*(1+$J$43)/($J$42-$J$43)</f>
        <v>141895552.82010543</v>
      </c>
    </row>
    <row r="86" spans="1:6">
      <c r="A86" s="244" t="s">
        <v>189</v>
      </c>
      <c r="B86" s="585" t="s">
        <v>258</v>
      </c>
      <c r="C86" s="662"/>
      <c r="D86" s="662"/>
      <c r="E86" s="662"/>
      <c r="F86" s="242">
        <f>F85/(1+$J$42)^5</f>
        <v>94803063.899031594</v>
      </c>
    </row>
    <row r="87" spans="1:6">
      <c r="A87" s="239" t="s">
        <v>193</v>
      </c>
      <c r="B87" s="584" t="s">
        <v>194</v>
      </c>
      <c r="C87" s="662"/>
      <c r="D87" s="662"/>
      <c r="E87" s="662"/>
      <c r="F87" s="238">
        <f>SUM(B82:F82)+F86</f>
        <v>130587394.24902858</v>
      </c>
    </row>
    <row r="88" spans="1:6">
      <c r="A88" s="234" t="s">
        <v>259</v>
      </c>
      <c r="B88" s="585" t="s">
        <v>260</v>
      </c>
      <c r="C88" s="662"/>
      <c r="D88" s="662"/>
      <c r="E88" s="662"/>
      <c r="F88" s="242">
        <f>'Data Schema'!C21</f>
        <v>10727000</v>
      </c>
    </row>
    <row r="89" spans="1:6">
      <c r="A89" s="234" t="s">
        <v>76</v>
      </c>
      <c r="B89" s="243" t="s">
        <v>260</v>
      </c>
      <c r="C89" s="243"/>
      <c r="D89" s="243"/>
      <c r="E89" s="243"/>
      <c r="F89" s="242">
        <f>'Data Schema'!C31</f>
        <v>67095000</v>
      </c>
    </row>
    <row r="90" spans="1:6">
      <c r="A90" s="239" t="s">
        <v>261</v>
      </c>
      <c r="B90" s="584" t="s">
        <v>262</v>
      </c>
      <c r="C90" s="662"/>
      <c r="D90" s="662"/>
      <c r="E90" s="662"/>
      <c r="F90" s="238">
        <f>F87-F89+F88</f>
        <v>74219394.249028578</v>
      </c>
    </row>
    <row r="91" spans="1:6">
      <c r="A91" s="234" t="s">
        <v>205</v>
      </c>
      <c r="B91" s="585"/>
      <c r="C91" s="662"/>
      <c r="D91" s="662"/>
      <c r="E91" s="662"/>
      <c r="F91" s="237">
        <f>'Data Schema'!B17</f>
        <v>8022000</v>
      </c>
    </row>
    <row r="92" spans="1:6">
      <c r="A92" s="239" t="s">
        <v>207</v>
      </c>
      <c r="B92" s="584" t="s">
        <v>263</v>
      </c>
      <c r="C92" s="662"/>
      <c r="D92" s="662"/>
      <c r="E92" s="662"/>
      <c r="F92" s="373">
        <f>F90/F91</f>
        <v>9.251981332464295</v>
      </c>
    </row>
    <row r="93" spans="1:6">
      <c r="A93" s="234" t="s">
        <v>209</v>
      </c>
      <c r="B93" s="585"/>
      <c r="C93" s="662"/>
      <c r="D93" s="662"/>
      <c r="E93" s="662"/>
      <c r="F93" s="334">
        <f>F29</f>
        <v>123.63</v>
      </c>
    </row>
    <row r="94" spans="1:6">
      <c r="A94" s="234" t="s">
        <v>211</v>
      </c>
      <c r="B94" s="585" t="s">
        <v>264</v>
      </c>
      <c r="C94" s="662"/>
      <c r="D94" s="662"/>
      <c r="E94" s="662"/>
      <c r="F94" s="333">
        <f>(F92-F93)/F93</f>
        <v>-0.92516394619053388</v>
      </c>
    </row>
    <row r="95" spans="1:6">
      <c r="A95" s="205" t="s">
        <v>10</v>
      </c>
      <c r="B95" s="665" t="s">
        <v>214</v>
      </c>
      <c r="C95" s="666"/>
      <c r="D95" s="666"/>
      <c r="E95" s="666"/>
      <c r="F95" s="331">
        <f>IFERROR((F92/F93)^(1/5)-1,0)</f>
        <v>-0.40458170371100011</v>
      </c>
    </row>
    <row r="96" spans="1:6" ht="15" thickBot="1">
      <c r="A96" s="330" t="s">
        <v>215</v>
      </c>
      <c r="B96" s="667" t="s">
        <v>216</v>
      </c>
      <c r="C96" s="668"/>
      <c r="D96" s="668"/>
      <c r="E96" s="668"/>
      <c r="F96" s="329">
        <f>F92/F93-1</f>
        <v>-0.92516394619053388</v>
      </c>
    </row>
    <row r="99" spans="1:6" ht="18.600000000000001" thickBot="1">
      <c r="A99" s="629" t="s">
        <v>34</v>
      </c>
      <c r="B99" s="630"/>
      <c r="C99" s="630"/>
      <c r="D99" s="631"/>
    </row>
    <row r="100" spans="1:6" ht="24" thickBot="1">
      <c r="A100" s="391" t="s">
        <v>267</v>
      </c>
      <c r="B100" s="390" t="s">
        <v>268</v>
      </c>
      <c r="C100" s="196" t="s">
        <v>269</v>
      </c>
      <c r="D100" s="392" t="s">
        <v>270</v>
      </c>
      <c r="E100" s="302" t="s">
        <v>271</v>
      </c>
      <c r="F100" s="301" t="s">
        <v>272</v>
      </c>
    </row>
    <row r="101" spans="1:6">
      <c r="A101" s="293" t="s">
        <v>273</v>
      </c>
      <c r="B101" s="355" t="s">
        <v>274</v>
      </c>
      <c r="C101" s="195">
        <f>'Data Schema'!F44</f>
        <v>27.556666666666672</v>
      </c>
      <c r="D101" s="305">
        <f>IF($F$100="Off","N/A",IFERROR('Data Schema'!F44*'Data Schema'!C16,"N/A"))</f>
        <v>75.229700000000008</v>
      </c>
      <c r="E101" s="299"/>
    </row>
    <row r="102" spans="1:6">
      <c r="A102" s="293" t="s">
        <v>275</v>
      </c>
      <c r="B102" s="355" t="s">
        <v>276</v>
      </c>
      <c r="C102" s="195">
        <f>'Data Schema'!F47</f>
        <v>6.6099999999999994</v>
      </c>
      <c r="D102" s="305">
        <f>IF($F$100="Off","N/A",IFERROR('Data Schema'!F47*Calculations!D2,"N/A"))</f>
        <v>88.072505960597312</v>
      </c>
      <c r="E102" s="299"/>
    </row>
    <row r="103" spans="1:6">
      <c r="A103" s="293" t="s">
        <v>277</v>
      </c>
      <c r="B103" s="355" t="s">
        <v>278</v>
      </c>
      <c r="C103" s="195">
        <f>'Data Schema'!F48</f>
        <v>0.88</v>
      </c>
      <c r="D103" s="305">
        <f>IF($F$100="Off","N/A",IFERROR('Data Schema'!F48*'Data Schema'!C3/'Data Schema'!B17,"N/A"))</f>
        <v>78.232789827973079</v>
      </c>
      <c r="E103" s="299"/>
    </row>
    <row r="104" spans="1:6">
      <c r="A104" s="293" t="s">
        <v>279</v>
      </c>
      <c r="B104" s="355" t="s">
        <v>280</v>
      </c>
      <c r="C104" s="195">
        <f>'Data Schema'!F49</f>
        <v>16.943333333333332</v>
      </c>
      <c r="D104" s="305">
        <f>IF($F$100="Off","N/A",IFERROR(('Data Schema'!F49*'Data Schema'!C15-'Data Schema'!C31+'Data Schema'!C21)/'Data Schema'!B17,"N/A"))</f>
        <v>91.125111360425493</v>
      </c>
      <c r="E104" s="299"/>
    </row>
    <row r="105" spans="1:6">
      <c r="A105" s="293" t="s">
        <v>281</v>
      </c>
      <c r="B105" s="355" t="s">
        <v>282</v>
      </c>
      <c r="C105" s="195">
        <f>'Data Schema'!F46</f>
        <v>25.733333333333331</v>
      </c>
      <c r="D105" s="305">
        <f>IF($F$100="Off","N/A",IFERROR('Data Schema'!F46*'Data Schema'!C40/'Data Schema'!B17,"N/A"))</f>
        <v>47.870672317792732</v>
      </c>
      <c r="E105" s="299"/>
    </row>
    <row r="106" spans="1:6" ht="15" thickBot="1">
      <c r="A106" s="645" t="s">
        <v>283</v>
      </c>
      <c r="B106" s="643"/>
      <c r="C106" s="644"/>
      <c r="D106" s="303">
        <f>IF($F$100="Off","N/A",IFERROR(AVERAGE(D101:D105),"N/A"))</f>
        <v>76.106155893357737</v>
      </c>
      <c r="E106" s="299"/>
    </row>
    <row r="107" spans="1:6" ht="15" thickBot="1">
      <c r="E107" s="299"/>
    </row>
    <row r="108" spans="1:6" ht="24" thickBot="1">
      <c r="A108" s="634" t="s">
        <v>284</v>
      </c>
      <c r="B108" s="635"/>
      <c r="C108" s="635"/>
      <c r="D108" s="636"/>
      <c r="E108" s="302" t="s">
        <v>271</v>
      </c>
      <c r="F108" s="301" t="s">
        <v>272</v>
      </c>
    </row>
    <row r="109" spans="1:6">
      <c r="A109" s="293" t="s">
        <v>285</v>
      </c>
      <c r="B109" s="632" t="s">
        <v>286</v>
      </c>
      <c r="C109" s="633"/>
      <c r="D109" s="300">
        <f>'Data Schema'!C16</f>
        <v>2.73</v>
      </c>
      <c r="E109" s="299"/>
    </row>
    <row r="110" spans="1:6">
      <c r="A110" s="293" t="s">
        <v>287</v>
      </c>
      <c r="B110" s="632" t="s">
        <v>288</v>
      </c>
      <c r="C110" s="641"/>
      <c r="D110" s="357">
        <f>IF(Calculations!C2 ="N/A",Calculations!D2,Calculations!C2)</f>
        <v>13.324131007654662</v>
      </c>
      <c r="E110" s="299"/>
    </row>
    <row r="111" spans="1:6">
      <c r="A111" s="293" t="s">
        <v>40</v>
      </c>
      <c r="B111" s="632" t="s">
        <v>289</v>
      </c>
      <c r="C111" s="641"/>
      <c r="D111" s="306">
        <f>IF($F$108="Off","N/A",IFERROR(IF(AND(D109&gt;0,D110&gt;0),SQRT(22.5*D109*D110),"N/A"),"N/A"))</f>
        <v>28.608298571309472</v>
      </c>
      <c r="E111" s="358"/>
      <c r="F111" s="359"/>
    </row>
    <row r="112" spans="1:6" ht="15" thickBot="1">
      <c r="A112" s="642" t="s">
        <v>290</v>
      </c>
      <c r="B112" s="643"/>
      <c r="C112" s="644"/>
      <c r="D112" s="303">
        <f>D111</f>
        <v>28.608298571309472</v>
      </c>
      <c r="E112" s="358"/>
    </row>
    <row r="114" spans="1:6" ht="24" thickBot="1">
      <c r="A114" s="634" t="s">
        <v>291</v>
      </c>
      <c r="B114" s="635"/>
      <c r="C114" s="635"/>
      <c r="D114" s="636"/>
      <c r="E114" s="302" t="s">
        <v>271</v>
      </c>
      <c r="F114" s="301" t="s">
        <v>272</v>
      </c>
    </row>
    <row r="115" spans="1:6">
      <c r="A115" s="293" t="s">
        <v>292</v>
      </c>
      <c r="B115" s="632" t="s">
        <v>293</v>
      </c>
      <c r="C115" s="641"/>
      <c r="D115" s="300">
        <f>IFERROR(ABS('Data Schema'!C39)/'Data Schema'!B17,0)</f>
        <v>1.0082273747195214</v>
      </c>
      <c r="E115" s="299"/>
    </row>
    <row r="116" spans="1:6">
      <c r="A116" s="356" t="s">
        <v>294</v>
      </c>
      <c r="B116" s="632" t="s">
        <v>295</v>
      </c>
      <c r="C116" s="641"/>
      <c r="D116" s="298">
        <f>IFERROR(Calculations!H58,0.05)</f>
        <v>0.23233418993713315</v>
      </c>
      <c r="E116" s="299"/>
    </row>
    <row r="117" spans="1:6">
      <c r="A117" s="293" t="s">
        <v>296</v>
      </c>
      <c r="B117" s="632" t="s">
        <v>297</v>
      </c>
      <c r="C117" s="641"/>
      <c r="D117" s="298">
        <f>Calculations!C21</f>
        <v>0.10043457771386032</v>
      </c>
      <c r="E117" s="299"/>
    </row>
    <row r="118" spans="1:6">
      <c r="A118" s="293" t="s">
        <v>298</v>
      </c>
      <c r="B118" s="632" t="s">
        <v>299</v>
      </c>
      <c r="C118" s="641"/>
      <c r="D118" s="305">
        <f>IF($F$114="Off","N/A",IFERROR((D115*(1+D116)/(D117-D116)),"N/A"))</f>
        <v>-9.4198386496711581</v>
      </c>
      <c r="E118" s="299"/>
    </row>
    <row r="119" spans="1:6" ht="15" thickBot="1">
      <c r="A119" s="642" t="s">
        <v>300</v>
      </c>
      <c r="B119" s="643"/>
      <c r="C119" s="644"/>
      <c r="D119" s="303">
        <f>D118</f>
        <v>-9.4198386496711581</v>
      </c>
      <c r="E119" s="299"/>
    </row>
    <row r="120" spans="1:6" ht="15" thickBot="1">
      <c r="E120" s="299"/>
    </row>
    <row r="121" spans="1:6" ht="24" thickBot="1">
      <c r="A121" s="634" t="s">
        <v>301</v>
      </c>
      <c r="B121" s="635"/>
      <c r="C121" s="635"/>
      <c r="D121" s="636"/>
      <c r="E121" s="302" t="s">
        <v>271</v>
      </c>
      <c r="F121" s="301" t="s">
        <v>272</v>
      </c>
    </row>
    <row r="122" spans="1:6">
      <c r="A122" s="293" t="s">
        <v>302</v>
      </c>
      <c r="B122" s="632" t="s">
        <v>260</v>
      </c>
      <c r="C122" s="641"/>
      <c r="D122" s="304">
        <f>'Data Schema'!C30</f>
        <v>99617000</v>
      </c>
      <c r="E122" s="299"/>
    </row>
    <row r="123" spans="1:6">
      <c r="A123" s="293" t="s">
        <v>205</v>
      </c>
      <c r="B123" s="632" t="s">
        <v>303</v>
      </c>
      <c r="C123" s="641"/>
      <c r="D123" s="304">
        <f>'Data Schema'!B17</f>
        <v>8022000</v>
      </c>
      <c r="E123" s="299"/>
    </row>
    <row r="124" spans="1:6" ht="15" thickBot="1">
      <c r="A124" s="642" t="s">
        <v>304</v>
      </c>
      <c r="B124" s="643"/>
      <c r="C124" s="644"/>
      <c r="D124" s="303">
        <f>IF($F$121="Off","N/A",IFERROR(D122/D123,"N/A"))</f>
        <v>12.417975567190227</v>
      </c>
      <c r="E124" s="299"/>
    </row>
    <row r="125" spans="1:6" ht="15" thickBot="1">
      <c r="E125" s="299"/>
    </row>
    <row r="126" spans="1:6" ht="24" thickBot="1">
      <c r="A126" s="634" t="s">
        <v>305</v>
      </c>
      <c r="B126" s="635"/>
      <c r="C126" s="635"/>
      <c r="D126" s="636"/>
      <c r="E126" s="302" t="s">
        <v>271</v>
      </c>
      <c r="F126" s="301" t="s">
        <v>272</v>
      </c>
    </row>
    <row r="127" spans="1:6">
      <c r="A127" s="293" t="s">
        <v>306</v>
      </c>
      <c r="B127" s="632" t="s">
        <v>288</v>
      </c>
      <c r="C127" s="633"/>
      <c r="D127" s="300">
        <f>Calculations!D2</f>
        <v>13.324131007654662</v>
      </c>
      <c r="E127" s="299"/>
    </row>
    <row r="128" spans="1:6">
      <c r="A128" s="293" t="s">
        <v>21</v>
      </c>
      <c r="B128" s="632" t="s">
        <v>288</v>
      </c>
      <c r="C128" s="641"/>
      <c r="D128" s="298">
        <f>IF(Calculations!C41 ="N/A",Calculations!D41,Calculations!C41)</f>
        <v>0.20618760595215671</v>
      </c>
    </row>
    <row r="129" spans="1:13" ht="15" thickBot="1">
      <c r="A129" s="292" t="s">
        <v>296</v>
      </c>
      <c r="B129" s="632" t="s">
        <v>297</v>
      </c>
      <c r="C129" s="641"/>
      <c r="D129" s="298">
        <f>Calculations!C21</f>
        <v>0.10043457771386032</v>
      </c>
    </row>
    <row r="130" spans="1:13" ht="15" thickBot="1">
      <c r="A130" s="430" t="s">
        <v>307</v>
      </c>
      <c r="B130" s="431" t="s">
        <v>308</v>
      </c>
      <c r="C130" s="432"/>
      <c r="D130" s="433">
        <f>IF($F$126="Off","N/A",IFERROR(D127+(D128-D129)*D127/(1+D129)+(D128-D129)*D127*(1+$I$14)/(1+D129)^2+(D128-D129)*D127*(1+$I$14)^2/(1+D129)^3+(D128-D129)*D127*(1+$I$14)^3/(1+D129)^4+(D128-D129)*D127*(1+$I$14)^4/(1+D129)^5+((D128-D129)*D127*(1+$I$14)^4/(D129-$I$14))/(1+D129)^5,"N/A"))</f>
        <v>31.68402887826737</v>
      </c>
    </row>
    <row r="133" spans="1:13" ht="15" thickBot="1"/>
    <row r="134" spans="1:13" ht="18.600000000000001" thickBot="1">
      <c r="A134" s="594" t="s">
        <v>309</v>
      </c>
      <c r="B134" s="595"/>
      <c r="C134" s="595"/>
      <c r="D134" s="595"/>
      <c r="E134" s="595"/>
      <c r="F134" s="595"/>
      <c r="G134" s="595"/>
      <c r="H134" s="595"/>
      <c r="I134" s="595"/>
      <c r="J134" s="595"/>
      <c r="K134" s="595"/>
      <c r="L134" s="595"/>
      <c r="M134" s="596"/>
    </row>
    <row r="135" spans="1:13">
      <c r="A135" s="211"/>
      <c r="M135" s="200"/>
    </row>
    <row r="136" spans="1:13" ht="15" thickBot="1">
      <c r="A136" s="211"/>
      <c r="M136" s="200"/>
    </row>
    <row r="137" spans="1:13" ht="15" thickBot="1">
      <c r="A137" s="592" t="s">
        <v>310</v>
      </c>
      <c r="B137" s="593"/>
      <c r="C137" s="297">
        <v>1000</v>
      </c>
      <c r="M137" s="73"/>
    </row>
    <row r="138" spans="1:13">
      <c r="A138" s="295" t="s">
        <v>311</v>
      </c>
      <c r="B138" s="199" t="s">
        <v>42</v>
      </c>
      <c r="C138" s="294" t="s">
        <v>312</v>
      </c>
      <c r="D138" s="360" t="s">
        <v>313</v>
      </c>
      <c r="E138" s="361" t="s">
        <v>314</v>
      </c>
      <c r="F138" s="362" t="s">
        <v>315</v>
      </c>
      <c r="G138" s="363" t="s">
        <v>316</v>
      </c>
      <c r="H138" s="363" t="s">
        <v>317</v>
      </c>
      <c r="I138" s="609" t="s">
        <v>318</v>
      </c>
      <c r="J138" s="609"/>
      <c r="K138" s="610"/>
      <c r="M138" s="73"/>
    </row>
    <row r="139" spans="1:13">
      <c r="A139" s="293" t="s">
        <v>60</v>
      </c>
      <c r="B139" s="197">
        <f>I2</f>
        <v>0.1</v>
      </c>
      <c r="C139" s="346">
        <v>0.02</v>
      </c>
      <c r="D139" s="364" cm="1">
        <f t="array" ref="D139">_xlfn.SWITCH(F139,"Conservative",0%,"Moderate",-5%,"Aggressive",-10%,"Custom",G139)</f>
        <v>-0.05</v>
      </c>
      <c r="E139" s="350" cm="1">
        <f t="array" ref="E139">_xlfn.SWITCH(F139,"Conservative",10%,"Moderate",25%,"Aggressive",40%,"Custom",H139)</f>
        <v>0.25</v>
      </c>
      <c r="F139" s="345" t="s">
        <v>319</v>
      </c>
      <c r="G139" s="176">
        <v>0.05</v>
      </c>
      <c r="H139" s="176">
        <v>0.2</v>
      </c>
      <c r="I139" s="611" t="s">
        <v>320</v>
      </c>
      <c r="J139" s="612"/>
      <c r="K139" s="613"/>
      <c r="M139" s="73"/>
    </row>
    <row r="140" spans="1:13">
      <c r="A140" s="293" t="s">
        <v>58</v>
      </c>
      <c r="B140" s="197">
        <f>I13</f>
        <v>0.06</v>
      </c>
      <c r="C140" s="346">
        <v>0.01</v>
      </c>
      <c r="D140" s="364" cm="1">
        <f t="array" ref="D140">_xlfn.SWITCH(F140,"Conservative",5%,"Moderate",3%,"Aggressive",2%,"Custom",G140)</f>
        <v>0.03</v>
      </c>
      <c r="E140" s="350" cm="1">
        <f t="array" ref="E140">_xlfn.SWITCH(F140,"Conservative",10%,"Moderate",15%,"Aggressive",20%,"Custom",H140)</f>
        <v>0.15</v>
      </c>
      <c r="F140" s="345" t="s">
        <v>319</v>
      </c>
      <c r="G140" s="176">
        <v>0.03</v>
      </c>
      <c r="H140" s="176">
        <v>0.06</v>
      </c>
      <c r="I140" s="611" t="s">
        <v>321</v>
      </c>
      <c r="J140" s="612"/>
      <c r="K140" s="613"/>
      <c r="M140" s="73"/>
    </row>
    <row r="141" spans="1:13">
      <c r="A141" s="293" t="s">
        <v>245</v>
      </c>
      <c r="B141" s="197">
        <f>I14</f>
        <v>2.5000000000000001E-2</v>
      </c>
      <c r="C141" s="346">
        <v>5.0000000000000001E-3</v>
      </c>
      <c r="D141" s="364" cm="1">
        <f t="array" ref="D141">_xlfn.SWITCH(F141,"Conservative",1%,"Moderate",0%,"Aggressive",0%,"Custom",G141)</f>
        <v>0</v>
      </c>
      <c r="E141" s="350" cm="1">
        <f t="array" ref="E141">_xlfn.SWITCH(F141,"Conservative",3%,"Moderate",4%,"Aggressive",5%,"Custom",H141)</f>
        <v>0.04</v>
      </c>
      <c r="F141" s="345" t="s">
        <v>319</v>
      </c>
      <c r="G141" s="176">
        <v>0</v>
      </c>
      <c r="H141" s="176">
        <v>0</v>
      </c>
      <c r="I141" s="611" t="s">
        <v>322</v>
      </c>
      <c r="J141" s="612"/>
      <c r="K141" s="613"/>
      <c r="M141" s="73"/>
    </row>
    <row r="142" spans="1:13" ht="15" thickBot="1">
      <c r="A142" s="292" t="s">
        <v>323</v>
      </c>
      <c r="B142" s="348">
        <v>0</v>
      </c>
      <c r="C142" s="347">
        <v>0.02</v>
      </c>
      <c r="D142" s="365" cm="1">
        <f t="array" ref="D142">_xlfn.SWITCH(F142,"Conservative",-5%,"Moderate",-10%,"Aggressive",-15%,"Custom",G142)</f>
        <v>-0.1</v>
      </c>
      <c r="E142" s="340" cm="1">
        <f t="array" ref="E142">_xlfn.SWITCH(F142,"Conservative",5%,"Moderate",10%,"Aggressive",15%,"Custom",H142)</f>
        <v>0.1</v>
      </c>
      <c r="F142" s="366" t="s">
        <v>319</v>
      </c>
      <c r="G142" s="367">
        <v>1.4999999999999999E-2</v>
      </c>
      <c r="H142" s="367">
        <v>0.06</v>
      </c>
      <c r="I142" s="614" t="s">
        <v>324</v>
      </c>
      <c r="J142" s="615"/>
      <c r="K142" s="616"/>
      <c r="M142" s="73"/>
    </row>
    <row r="143" spans="1:13">
      <c r="A143" s="211"/>
      <c r="M143" s="73"/>
    </row>
    <row r="144" spans="1:13">
      <c r="A144" s="351" t="s">
        <v>325</v>
      </c>
      <c r="B144" s="194">
        <v>1.4999999999999999E-2</v>
      </c>
      <c r="G144" s="92"/>
      <c r="H144" s="92"/>
      <c r="I144" s="92"/>
      <c r="J144" s="92"/>
      <c r="K144" s="92"/>
      <c r="M144" s="73"/>
    </row>
    <row r="145" spans="1:13">
      <c r="A145" s="351" t="s">
        <v>326</v>
      </c>
      <c r="B145" s="193">
        <v>0.1</v>
      </c>
      <c r="G145" s="92"/>
      <c r="H145" s="92"/>
      <c r="M145" s="200"/>
    </row>
    <row r="146" spans="1:13">
      <c r="A146" s="351" t="s">
        <v>327</v>
      </c>
      <c r="B146" s="193">
        <v>10</v>
      </c>
      <c r="C146" s="92"/>
      <c r="D146" s="92"/>
      <c r="E146" s="92"/>
      <c r="G146" s="92"/>
      <c r="H146" s="92"/>
      <c r="M146" s="200"/>
    </row>
    <row r="147" spans="1:13">
      <c r="A147" s="211"/>
      <c r="C147" s="92"/>
      <c r="D147" s="92"/>
      <c r="E147" s="92"/>
      <c r="G147" s="92"/>
      <c r="H147" s="92"/>
      <c r="M147" s="200"/>
    </row>
    <row r="148" spans="1:13" ht="15.6">
      <c r="A148" s="621" t="s">
        <v>328</v>
      </c>
      <c r="B148" s="622"/>
      <c r="C148" s="92"/>
      <c r="D148" s="92"/>
      <c r="E148" s="92"/>
      <c r="M148" s="200"/>
    </row>
    <row r="149" spans="1:13">
      <c r="A149" s="352" t="s">
        <v>329</v>
      </c>
      <c r="B149" s="182">
        <f>C137</f>
        <v>1000</v>
      </c>
      <c r="C149" s="92"/>
      <c r="D149" s="353" t="s">
        <v>330</v>
      </c>
      <c r="E149" s="354">
        <f ca="1">B153</f>
        <v>24.029085338011363</v>
      </c>
      <c r="F149" s="354">
        <f ca="1">B154</f>
        <v>225.64598635316241</v>
      </c>
      <c r="G149" s="354">
        <f ca="1">(F149-E149)/20</f>
        <v>10.080845050757553</v>
      </c>
      <c r="M149" s="200"/>
    </row>
    <row r="150" spans="1:13" ht="15.6">
      <c r="A150" s="352" t="s">
        <v>331</v>
      </c>
      <c r="B150" s="182">
        <f ca="1">COUNTIF(F180:F1179,FALSE)</f>
        <v>33</v>
      </c>
      <c r="C150" s="92"/>
      <c r="D150" s="617" t="s">
        <v>332</v>
      </c>
      <c r="E150" s="618"/>
      <c r="F150" s="618"/>
      <c r="G150" s="618"/>
      <c r="H150" s="619"/>
      <c r="M150" s="200"/>
    </row>
    <row r="151" spans="1:13">
      <c r="A151" s="352" t="s">
        <v>333</v>
      </c>
      <c r="B151" s="182">
        <f ca="1">COUNTIFS(F180:F1179,TRUE,H180:H1179,FALSE)</f>
        <v>82</v>
      </c>
      <c r="C151" s="92"/>
      <c r="D151" s="181" t="s">
        <v>334</v>
      </c>
      <c r="E151" s="181" t="s">
        <v>335</v>
      </c>
      <c r="F151" s="181" t="s">
        <v>336</v>
      </c>
      <c r="G151" s="181" t="s">
        <v>337</v>
      </c>
      <c r="H151" s="181" t="s">
        <v>338</v>
      </c>
      <c r="M151" s="200"/>
    </row>
    <row r="152" spans="1:13">
      <c r="A152" s="352" t="s">
        <v>339</v>
      </c>
      <c r="B152" s="182">
        <f ca="1">B149-B150-B151</f>
        <v>885</v>
      </c>
      <c r="C152" s="92"/>
      <c r="D152" s="178">
        <v>1</v>
      </c>
      <c r="E152" s="180">
        <f ca="1">E149</f>
        <v>24.029085338011363</v>
      </c>
      <c r="F152" s="180">
        <f ca="1">E149+1*G149</f>
        <v>34.109930388768916</v>
      </c>
      <c r="G152" s="179" t="str">
        <f t="shared" ref="G152:G171" ca="1" si="9">TEXT(E152,"$#,##0")&amp;"-"&amp;TEXT(F152,"$#,##0")</f>
        <v>$24-$34</v>
      </c>
      <c r="H152" s="178">
        <f ca="1">COUNTIFS(J180:J1179,"&gt;="&amp;E152,J180:J1179,"&lt;"&amp;F152)</f>
        <v>58</v>
      </c>
      <c r="M152" s="200"/>
    </row>
    <row r="153" spans="1:13">
      <c r="A153" s="352" t="s">
        <v>340</v>
      </c>
      <c r="B153" s="183">
        <f ca="1">_xlfn.PERCENTILE.INC(I180:I1179,0.05)</f>
        <v>24.029085338011363</v>
      </c>
      <c r="C153" s="92"/>
      <c r="D153" s="178">
        <v>2</v>
      </c>
      <c r="E153" s="180">
        <f t="shared" ref="E153:E171" ca="1" si="10">F152</f>
        <v>34.109930388768916</v>
      </c>
      <c r="F153" s="180">
        <f ca="1">E149+2*G149</f>
        <v>44.190775439526469</v>
      </c>
      <c r="G153" s="179" t="str">
        <f t="shared" ca="1" si="9"/>
        <v>$34-$44</v>
      </c>
      <c r="H153" s="178">
        <f t="shared" ref="H153:H171" ca="1" si="11">COUNTIFS(J181:J1180,"&gt;="&amp;E153,J181:J1180,"&lt;"&amp;F153)</f>
        <v>72</v>
      </c>
      <c r="M153" s="200"/>
    </row>
    <row r="154" spans="1:13">
      <c r="A154" s="352" t="s">
        <v>341</v>
      </c>
      <c r="B154" s="183">
        <f ca="1">_xlfn.PERCENTILE.INC(I180:I1179,0.95)</f>
        <v>225.64598635316241</v>
      </c>
      <c r="D154" s="178">
        <v>3</v>
      </c>
      <c r="E154" s="180">
        <f t="shared" ca="1" si="10"/>
        <v>44.190775439526469</v>
      </c>
      <c r="F154" s="180">
        <f ca="1">E149+3*G149</f>
        <v>54.271620490284022</v>
      </c>
      <c r="G154" s="179" t="str">
        <f t="shared" ca="1" si="9"/>
        <v>$44-$54</v>
      </c>
      <c r="H154" s="178">
        <f t="shared" ca="1" si="11"/>
        <v>58</v>
      </c>
      <c r="M154" s="200"/>
    </row>
    <row r="155" spans="1:13">
      <c r="A155" s="352" t="s">
        <v>342</v>
      </c>
      <c r="B155" s="182">
        <f ca="1">COUNTIFS(I180:I1179,"&lt;"&amp;B153,I180:I1179,"&lt;&gt;"&amp;"")+COUNTIFS(I180:I1179,"&gt;"&amp;B154,I180:I1179,"&lt;&gt;"&amp;"")</f>
        <v>90</v>
      </c>
      <c r="D155" s="178">
        <v>4</v>
      </c>
      <c r="E155" s="180">
        <f t="shared" ca="1" si="10"/>
        <v>54.271620490284022</v>
      </c>
      <c r="F155" s="180">
        <f ca="1">E149+4*G149</f>
        <v>64.352465541041568</v>
      </c>
      <c r="G155" s="179" t="str">
        <f t="shared" ca="1" si="9"/>
        <v>$54-$64</v>
      </c>
      <c r="H155" s="178">
        <f t="shared" ca="1" si="11"/>
        <v>67</v>
      </c>
      <c r="M155" s="200"/>
    </row>
    <row r="156" spans="1:13">
      <c r="A156" s="440" t="s">
        <v>343</v>
      </c>
      <c r="B156" s="441">
        <f ca="1">B152-B155</f>
        <v>795</v>
      </c>
      <c r="D156" s="178">
        <v>5</v>
      </c>
      <c r="E156" s="180">
        <f t="shared" ca="1" si="10"/>
        <v>64.352465541041568</v>
      </c>
      <c r="F156" s="180">
        <f ca="1">E149+5*G149</f>
        <v>74.433310591799128</v>
      </c>
      <c r="G156" s="179" t="str">
        <f t="shared" ca="1" si="9"/>
        <v>$64-$74</v>
      </c>
      <c r="H156" s="178">
        <f t="shared" ca="1" si="11"/>
        <v>55</v>
      </c>
      <c r="M156" s="200"/>
    </row>
    <row r="157" spans="1:13">
      <c r="A157" s="211"/>
      <c r="D157" s="178">
        <v>6</v>
      </c>
      <c r="E157" s="180">
        <f t="shared" ca="1" si="10"/>
        <v>74.433310591799128</v>
      </c>
      <c r="F157" s="180">
        <f ca="1">E149+6*G149</f>
        <v>84.514155642556688</v>
      </c>
      <c r="G157" s="179" t="str">
        <f t="shared" ca="1" si="9"/>
        <v>$74-$85</v>
      </c>
      <c r="H157" s="178">
        <f t="shared" ca="1" si="11"/>
        <v>67</v>
      </c>
      <c r="M157" s="200"/>
    </row>
    <row r="158" spans="1:13" ht="15.6">
      <c r="A158" s="620" t="s">
        <v>344</v>
      </c>
      <c r="B158" s="619"/>
      <c r="D158" s="178">
        <v>7</v>
      </c>
      <c r="E158" s="180">
        <f t="shared" ca="1" si="10"/>
        <v>84.514155642556688</v>
      </c>
      <c r="F158" s="180">
        <f ca="1">E149+7*G149</f>
        <v>94.595000693314233</v>
      </c>
      <c r="G158" s="179" t="str">
        <f t="shared" ca="1" si="9"/>
        <v>$85-$95</v>
      </c>
      <c r="H158" s="178">
        <f t="shared" ca="1" si="11"/>
        <v>53</v>
      </c>
      <c r="M158" s="200"/>
    </row>
    <row r="159" spans="1:13">
      <c r="A159" s="437" t="s">
        <v>42</v>
      </c>
      <c r="B159" s="438">
        <f ca="1">AVERAGE(J180:J1179)</f>
        <v>96.290975802638513</v>
      </c>
      <c r="D159" s="178">
        <v>8</v>
      </c>
      <c r="E159" s="180">
        <f t="shared" ca="1" si="10"/>
        <v>94.595000693314233</v>
      </c>
      <c r="F159" s="180">
        <f ca="1">E149+8*G149</f>
        <v>104.67584574407178</v>
      </c>
      <c r="G159" s="179" t="str">
        <f t="shared" ca="1" si="9"/>
        <v>$95-$105</v>
      </c>
      <c r="H159" s="178">
        <f t="shared" ca="1" si="11"/>
        <v>54</v>
      </c>
      <c r="M159" s="200"/>
    </row>
    <row r="160" spans="1:13">
      <c r="A160" s="437" t="s">
        <v>43</v>
      </c>
      <c r="B160" s="438">
        <f ca="1">MEDIAN(J180:J1179)</f>
        <v>87.904046821952221</v>
      </c>
      <c r="D160" s="178">
        <v>9</v>
      </c>
      <c r="E160" s="180">
        <f t="shared" ca="1" si="10"/>
        <v>104.67584574407178</v>
      </c>
      <c r="F160" s="180">
        <f ca="1">E149+9*G149</f>
        <v>114.75669079482932</v>
      </c>
      <c r="G160" s="179" t="str">
        <f t="shared" ca="1" si="9"/>
        <v>$105-$115</v>
      </c>
      <c r="H160" s="178">
        <f t="shared" ca="1" si="11"/>
        <v>48</v>
      </c>
      <c r="M160" s="200"/>
    </row>
    <row r="161" spans="1:13">
      <c r="A161" s="437" t="s">
        <v>345</v>
      </c>
      <c r="B161" s="438">
        <f ca="1">_xlfn.STDEV.S(J180:J1179)</f>
        <v>49.22842510719002</v>
      </c>
      <c r="C161" s="92"/>
      <c r="D161" s="178">
        <v>10</v>
      </c>
      <c r="E161" s="180">
        <f t="shared" ca="1" si="10"/>
        <v>114.75669079482932</v>
      </c>
      <c r="F161" s="180">
        <f ca="1">E149+10*G149</f>
        <v>124.8375358455869</v>
      </c>
      <c r="G161" s="179" t="str">
        <f t="shared" ca="1" si="9"/>
        <v>$115-$125</v>
      </c>
      <c r="H161" s="178">
        <f t="shared" ca="1" si="11"/>
        <v>43</v>
      </c>
      <c r="M161" s="73"/>
    </row>
    <row r="162" spans="1:13">
      <c r="A162" s="437" t="s">
        <v>47</v>
      </c>
      <c r="B162" s="438">
        <f ca="1">_xlfn.PERCENTILE.INC(J180:J1179,0.1)</f>
        <v>36.885696643633509</v>
      </c>
      <c r="D162" s="178">
        <v>11</v>
      </c>
      <c r="E162" s="180">
        <f t="shared" ca="1" si="10"/>
        <v>124.8375358455869</v>
      </c>
      <c r="F162" s="180">
        <f ca="1">E149+11*G149</f>
        <v>134.91838089634444</v>
      </c>
      <c r="G162" s="179" t="str">
        <f t="shared" ca="1" si="9"/>
        <v>$125-$135</v>
      </c>
      <c r="H162" s="178">
        <f t="shared" ca="1" si="11"/>
        <v>38</v>
      </c>
      <c r="M162" s="73"/>
    </row>
    <row r="163" spans="1:13">
      <c r="A163" s="437" t="s">
        <v>48</v>
      </c>
      <c r="B163" s="438">
        <f ca="1">_xlfn.PERCENTILE.INC(J180:J1179,0.25)</f>
        <v>55.645214499122126</v>
      </c>
      <c r="D163" s="178">
        <v>12</v>
      </c>
      <c r="E163" s="180">
        <f t="shared" ca="1" si="10"/>
        <v>134.91838089634444</v>
      </c>
      <c r="F163" s="180">
        <f ca="1">E149+12*G149</f>
        <v>144.99922594710199</v>
      </c>
      <c r="G163" s="179" t="str">
        <f t="shared" ca="1" si="9"/>
        <v>$135-$145</v>
      </c>
      <c r="H163" s="178">
        <f t="shared" ca="1" si="11"/>
        <v>29</v>
      </c>
      <c r="M163" s="73"/>
    </row>
    <row r="164" spans="1:13">
      <c r="A164" s="437" t="s">
        <v>49</v>
      </c>
      <c r="B164" s="438">
        <f ca="1">_xlfn.PERCENTILE.INC(J180:J1179,0.75)</f>
        <v>129.02101078671672</v>
      </c>
      <c r="D164" s="178">
        <v>13</v>
      </c>
      <c r="E164" s="180">
        <f t="shared" ca="1" si="10"/>
        <v>144.99922594710199</v>
      </c>
      <c r="F164" s="180">
        <f ca="1">E149+13*G149</f>
        <v>155.08007099785954</v>
      </c>
      <c r="G164" s="179" t="str">
        <f t="shared" ca="1" si="9"/>
        <v>$145-$155</v>
      </c>
      <c r="H164" s="178">
        <f t="shared" ca="1" si="11"/>
        <v>29</v>
      </c>
      <c r="M164" s="73"/>
    </row>
    <row r="165" spans="1:13">
      <c r="A165" s="437" t="s">
        <v>51</v>
      </c>
      <c r="B165" s="438">
        <f ca="1">_xlfn.PERCENTILE.INC(J180:J1179,0.9)</f>
        <v>167.96063514269179</v>
      </c>
      <c r="D165" s="178">
        <v>14</v>
      </c>
      <c r="E165" s="180">
        <f t="shared" ca="1" si="10"/>
        <v>155.08007099785954</v>
      </c>
      <c r="F165" s="180">
        <f ca="1">E149+14*G149</f>
        <v>165.16091604861711</v>
      </c>
      <c r="G165" s="179" t="str">
        <f t="shared" ca="1" si="9"/>
        <v>$155-$165</v>
      </c>
      <c r="H165" s="178">
        <f t="shared" ca="1" si="11"/>
        <v>29</v>
      </c>
      <c r="M165" s="73"/>
    </row>
    <row r="166" spans="1:13" ht="13.9" customHeight="1">
      <c r="A166" s="437" t="s">
        <v>346</v>
      </c>
      <c r="B166" s="438">
        <f ca="1">MIN(J180:J1179)</f>
        <v>24.364501614937467</v>
      </c>
      <c r="D166" s="178">
        <v>15</v>
      </c>
      <c r="E166" s="180">
        <f t="shared" ca="1" si="10"/>
        <v>165.16091604861711</v>
      </c>
      <c r="F166" s="180">
        <f ca="1">E149+15*G149</f>
        <v>175.24176109937466</v>
      </c>
      <c r="G166" s="179" t="str">
        <f t="shared" ca="1" si="9"/>
        <v>$165-$175</v>
      </c>
      <c r="H166" s="178">
        <f t="shared" ca="1" si="11"/>
        <v>32</v>
      </c>
      <c r="M166" s="73"/>
    </row>
    <row r="167" spans="1:13">
      <c r="A167" s="437" t="s">
        <v>347</v>
      </c>
      <c r="B167" s="438">
        <f ca="1">MAX(J180:J1179)</f>
        <v>223.44850233853901</v>
      </c>
      <c r="D167" s="178">
        <v>16</v>
      </c>
      <c r="E167" s="180">
        <f t="shared" ca="1" si="10"/>
        <v>175.24176109937466</v>
      </c>
      <c r="F167" s="180">
        <f ca="1">E149+16*G149</f>
        <v>185.3226061501322</v>
      </c>
      <c r="G167" s="179" t="str">
        <f t="shared" ca="1" si="9"/>
        <v>$175-$185</v>
      </c>
      <c r="H167" s="178">
        <f t="shared" ca="1" si="11"/>
        <v>14</v>
      </c>
      <c r="M167" s="73"/>
    </row>
    <row r="168" spans="1:13">
      <c r="A168" s="437" t="s">
        <v>209</v>
      </c>
      <c r="B168" s="438">
        <f>F29</f>
        <v>123.63</v>
      </c>
      <c r="D168" s="178">
        <v>17</v>
      </c>
      <c r="E168" s="180">
        <f t="shared" ca="1" si="10"/>
        <v>185.3226061501322</v>
      </c>
      <c r="F168" s="180">
        <f ca="1">E149+17*G149</f>
        <v>195.40345120088975</v>
      </c>
      <c r="G168" s="179" t="str">
        <f t="shared" ca="1" si="9"/>
        <v>$185-$195</v>
      </c>
      <c r="H168" s="178">
        <f t="shared" ca="1" si="11"/>
        <v>12</v>
      </c>
      <c r="M168" s="73"/>
    </row>
    <row r="169" spans="1:13">
      <c r="A169" s="437" t="s">
        <v>348</v>
      </c>
      <c r="B169" s="439">
        <f ca="1">COUNTIF(J180:J1179,"&gt;"&amp;F29)/B156</f>
        <v>0.27672955974842767</v>
      </c>
      <c r="D169" s="178">
        <v>18</v>
      </c>
      <c r="E169" s="180">
        <f t="shared" ca="1" si="10"/>
        <v>195.40345120088975</v>
      </c>
      <c r="F169" s="180">
        <f ca="1">E149+18*G149</f>
        <v>205.48429625164729</v>
      </c>
      <c r="G169" s="179" t="str">
        <f t="shared" ca="1" si="9"/>
        <v>$195-$205</v>
      </c>
      <c r="H169" s="178">
        <f t="shared" ca="1" si="11"/>
        <v>8</v>
      </c>
      <c r="M169" s="73"/>
    </row>
    <row r="170" spans="1:13">
      <c r="A170" s="437" t="s">
        <v>349</v>
      </c>
      <c r="B170" s="438">
        <f ca="1">_xlfn.PERCENTILE.INC(J180:J1179,0.1)</f>
        <v>36.885696643633509</v>
      </c>
      <c r="D170" s="178">
        <v>19</v>
      </c>
      <c r="E170" s="180">
        <f t="shared" ca="1" si="10"/>
        <v>205.48429625164729</v>
      </c>
      <c r="F170" s="180">
        <f ca="1">E149+19*G149</f>
        <v>215.56514130240487</v>
      </c>
      <c r="G170" s="179" t="str">
        <f t="shared" ca="1" si="9"/>
        <v>$205-$216</v>
      </c>
      <c r="H170" s="178">
        <f t="shared" ca="1" si="11"/>
        <v>17</v>
      </c>
      <c r="M170" s="73"/>
    </row>
    <row r="171" spans="1:13">
      <c r="A171" s="437" t="s">
        <v>350</v>
      </c>
      <c r="B171" s="438">
        <f ca="1">_xlfn.PERCENTILE.INC(J180:J1179,0.9)</f>
        <v>167.96063514269179</v>
      </c>
      <c r="D171" s="178">
        <v>20</v>
      </c>
      <c r="E171" s="180">
        <f t="shared" ca="1" si="10"/>
        <v>215.56514130240487</v>
      </c>
      <c r="F171" s="180">
        <f ca="1">E149+20*G149</f>
        <v>225.64598635316241</v>
      </c>
      <c r="G171" s="179" t="str">
        <f t="shared" ca="1" si="9"/>
        <v>$216-$226</v>
      </c>
      <c r="H171" s="178">
        <f t="shared" ca="1" si="11"/>
        <v>7</v>
      </c>
      <c r="M171" s="73"/>
    </row>
    <row r="172" spans="1:13" ht="15" thickBot="1">
      <c r="A172" s="211"/>
      <c r="M172" s="73"/>
    </row>
    <row r="173" spans="1:13" ht="21.6" thickBot="1">
      <c r="A173" s="626" t="s">
        <v>351</v>
      </c>
      <c r="B173" s="627"/>
      <c r="C173" s="627"/>
      <c r="D173" s="627"/>
      <c r="E173" s="627"/>
      <c r="F173" s="627"/>
      <c r="G173" s="627"/>
      <c r="H173" s="627"/>
      <c r="I173" s="627"/>
      <c r="J173" s="627"/>
      <c r="K173" s="627"/>
      <c r="L173" s="627"/>
      <c r="M173" s="628"/>
    </row>
    <row r="174" spans="1:13" ht="58.5" customHeight="1" thickBot="1">
      <c r="A174" s="623" t="str">
        <f ca="1">"Based on 1000 simulations with constraints, "&amp;TEXT(B156,"#,##0")&amp;" valid scenarios were analyzed. There is a "&amp;TEXT(B169,"0.0%")&amp;" chance that the intrinsic value exceeds the current market price of "&amp;TEXT(F29,"$#,##0.00")&amp;". The 80% confidence interval is "&amp;TEXT(B170,"$#,##0.00")&amp;" to "&amp;TEXT(B171,"$#,##0.00")&amp;"."</f>
        <v>Based on 1000 simulations with constraints, 795 valid scenarios were analyzed. There is a 27.7% chance that the intrinsic value exceeds the current market price of $123.63. The 80% confidence interval is $36.89 to $167.96.</v>
      </c>
      <c r="B174" s="624"/>
      <c r="C174" s="624"/>
      <c r="D174" s="624"/>
      <c r="E174" s="624"/>
      <c r="F174" s="624"/>
      <c r="G174" s="624"/>
      <c r="H174" s="624"/>
      <c r="I174" s="624"/>
      <c r="J174" s="624"/>
      <c r="K174" s="624"/>
      <c r="L174" s="624"/>
      <c r="M174" s="625"/>
    </row>
    <row r="179" spans="1:10">
      <c r="A179" s="192" t="s">
        <v>352</v>
      </c>
      <c r="B179" s="192" t="s">
        <v>353</v>
      </c>
      <c r="C179" s="192" t="s">
        <v>58</v>
      </c>
      <c r="D179" s="192" t="s">
        <v>354</v>
      </c>
      <c r="E179" s="192" t="s">
        <v>355</v>
      </c>
      <c r="F179" s="192" t="s">
        <v>356</v>
      </c>
      <c r="G179" s="192" t="s">
        <v>8</v>
      </c>
      <c r="H179" s="192" t="s">
        <v>357</v>
      </c>
      <c r="I179" s="192" t="s">
        <v>358</v>
      </c>
      <c r="J179" s="192" t="s">
        <v>359</v>
      </c>
    </row>
    <row r="180" spans="1:10">
      <c r="A180" s="191">
        <v>1</v>
      </c>
      <c r="B180" s="190">
        <f ca="1">MAX($D$139,MIN($E$139,NORMINV(RAND(),$B$139,$C$139)))</f>
        <v>0.13082915726962888</v>
      </c>
      <c r="C180" s="190">
        <f ca="1">MAX($D$140,MIN($E$140,NORMINV(RAND(),$B$140,$C$140)))</f>
        <v>5.0249757136673581E-2</v>
      </c>
      <c r="D180" s="190">
        <f ca="1">MAX($D$141,MIN($E$141,NORMINV(RAND(),$B$141,$C$141)))</f>
        <v>2.0114615984340084E-2</v>
      </c>
      <c r="E180" s="190">
        <f ca="1">MAX($D$142,MIN($E$142,NORMINV(RAND(),$B$142,$C$142)))</f>
        <v>1.0326993409486505E-2</v>
      </c>
      <c r="F180" s="189" t="b">
        <f ca="1">C180&gt;D180+$B$144</f>
        <v>1</v>
      </c>
      <c r="G180" s="188">
        <f ca="1">IF(F180,IFERROR(((('Data Schema'!$C$3*(1+B180)^1)*((1-$I$4-$I$5+E180)*(1-$I$10)+$I$6-$I$11)-('Data Schema'!$C$3*(1+B180)^1-'Data Schema'!$C$3)*$I$12)/(1+C180)^1+(('Data Schema'!$C$3*(1+B180)^2)*((1-$I$4-$I$5+E180)*(1-$I$10)+$I$6-$I$11)-('Data Schema'!$C$3*(1+B180)^2-'Data Schema'!$C$3*(1+B180)^1)*$I$12)/(1+C180)^2+(('Data Schema'!$C$3*(1+B180)^3)*((1-$I$4-$I$5+E180)*(1-$I$10)+$I$6-$I$11)-('Data Schema'!$C$3*(1+B180)^3-'Data Schema'!$C$3*(1+B180)^2)*$I$12)/(1+C180)^3+(('Data Schema'!$C$3*(1+B180)^4)*((1-$I$4-$I$5+E180)*(1-$I$10)+$I$6-$I$11)-('Data Schema'!$C$3*(1+B180)^4-'Data Schema'!$C$3*(1+B180)^3)*$I$12)/(1+C180)^4+(('Data Schema'!$C$3*(1+B180)^5)*((1-$I$4-$I$5+E180)*(1-$I$10)+$I$6-$I$11)-('Data Schema'!$C$3*(1+B180)^5-'Data Schema'!$C$3*(1+B180)^4)*$I$12)/(1+C180)^5+((('Data Schema'!$C$3*(1+B180)^5)*((1-$I$4-$I$5+E180)*(1-$I$10)+$I$6-$I$11)-('Data Schema'!$C$3*(1+B180)^5-'Data Schema'!$C$3*(1+B180)^4)*$I$12)*(1+D180)/(C180-D180))/(1+C180)^5-'Data Schema'!$C$31+'Data Schema'!$C$21)/'Data Schema'!$B$17,0),"INVALID")</f>
        <v>153.53900050168221</v>
      </c>
      <c r="H180" s="189" t="b">
        <f ca="1">AND(ISNUMBER(G180),G180&gt;$F$29*$B$145,G180&lt;$F$29*$B$146)</f>
        <v>1</v>
      </c>
      <c r="I180" s="188">
        <f ca="1">IF(AND(F180=TRUE,H180=TRUE),G180,"")</f>
        <v>153.53900050168221</v>
      </c>
      <c r="J180" s="349">
        <f t="shared" ref="J180:J243" ca="1" si="12">IF(AND(F180=TRUE,H180=TRUE,ISNUMBER(G180),G180&gt;=$B$153,G180&lt;=$B$154),G180,"")</f>
        <v>153.53900050168221</v>
      </c>
    </row>
    <row r="181" spans="1:10">
      <c r="A181" s="187">
        <v>2</v>
      </c>
      <c r="B181" s="190">
        <f ca="1">MAX($D$139,MIN($E$139,NORMINV(RAND(),$B$139,$C$139)))</f>
        <v>7.2608386488286991E-2</v>
      </c>
      <c r="C181" s="190">
        <f t="shared" ref="C181:C244" ca="1" si="13">MAX($D$140,MIN($E$140,NORMINV(RAND(),$B$140,$C$140)))</f>
        <v>6.7095836292759822E-2</v>
      </c>
      <c r="D181" s="190">
        <f t="shared" ref="D181:D244" ca="1" si="14">MAX($D$141,MIN($E$141,NORMINV(RAND(),$B$141,$C$141)))</f>
        <v>2.4830176178442433E-2</v>
      </c>
      <c r="E181" s="190">
        <f t="shared" ref="E181:E244" ca="1" si="15">MAX($D$142,MIN($E$142,NORMINV(RAND(),$B$142,$C$142)))</f>
        <v>1.4591970457088195E-2</v>
      </c>
      <c r="F181" s="189" t="b">
        <f t="shared" ref="F181:F244" ca="1" si="16">C181&gt;D181+$B$144</f>
        <v>1</v>
      </c>
      <c r="G181" s="188">
        <f ca="1">IF(F181,IFERROR(((('Data Schema'!$C$3*(1+B181)^1)*((1-$I$4-$I$5+E181)*(1-$I$10)+$I$6-$I$11)-('Data Schema'!$C$3*(1+B181)^1-'Data Schema'!$C$3)*$I$12)/(1+C181)^1+(('Data Schema'!$C$3*(1+B181)^2)*((1-$I$4-$I$5+E181)*(1-$I$10)+$I$6-$I$11)-('Data Schema'!$C$3*(1+B181)^2-'Data Schema'!$C$3*(1+B181)^1)*$I$12)/(1+C181)^2+(('Data Schema'!$C$3*(1+B181)^3)*((1-$I$4-$I$5+E181)*(1-$I$10)+$I$6-$I$11)-('Data Schema'!$C$3*(1+B181)^3-'Data Schema'!$C$3*(1+B181)^2)*$I$12)/(1+C181)^3+(('Data Schema'!$C$3*(1+B181)^4)*((1-$I$4-$I$5+E181)*(1-$I$10)+$I$6-$I$11)-('Data Schema'!$C$3*(1+B181)^4-'Data Schema'!$C$3*(1+B181)^3)*$I$12)/(1+C181)^4+(('Data Schema'!$C$3*(1+B181)^5)*((1-$I$4-$I$5+E181)*(1-$I$10)+$I$6-$I$11)-('Data Schema'!$C$3*(1+B181)^5-'Data Schema'!$C$3*(1+B181)^4)*$I$12)/(1+C181)^5+((('Data Schema'!$C$3*(1+B181)^5)*((1-$I$4-$I$5+E181)*(1-$I$10)+$I$6-$I$11)-('Data Schema'!$C$3*(1+B181)^5-'Data Schema'!$C$3*(1+B181)^4)*$I$12)*(1+D181)/(C181-D181))/(1+C181)^5-'Data Schema'!$C$31+'Data Schema'!$C$21)/'Data Schema'!$B$17,0),"INVALID")</f>
        <v>91.089924991524867</v>
      </c>
      <c r="H181" s="189" t="b">
        <f t="shared" ref="H181:H244" ca="1" si="17">AND(ISNUMBER(G181),G181&gt;$F$29*$B$145,G181&lt;$F$29*$B$146)</f>
        <v>1</v>
      </c>
      <c r="I181" s="188">
        <f t="shared" ref="I181:I244" ca="1" si="18">IF(AND(F181=TRUE,H181=TRUE),G181,"")</f>
        <v>91.089924991524867</v>
      </c>
      <c r="J181" s="349">
        <f t="shared" ca="1" si="12"/>
        <v>91.089924991524867</v>
      </c>
    </row>
    <row r="182" spans="1:10">
      <c r="A182" s="191">
        <v>3</v>
      </c>
      <c r="B182" s="190">
        <f ca="1">MAX($D$139,MIN($E$139,NORMINV(RAND(),$B$139,$C$139)))</f>
        <v>9.9257932735546964E-2</v>
      </c>
      <c r="C182" s="190">
        <f t="shared" ca="1" si="13"/>
        <v>6.8147085507623953E-2</v>
      </c>
      <c r="D182" s="190">
        <f t="shared" ca="1" si="14"/>
        <v>1.6353788489469785E-2</v>
      </c>
      <c r="E182" s="190">
        <f t="shared" ca="1" si="15"/>
        <v>-1.424536443365847E-2</v>
      </c>
      <c r="F182" s="189" t="b">
        <f t="shared" ca="1" si="16"/>
        <v>1</v>
      </c>
      <c r="G182" s="188">
        <f ca="1">IF(F182,IFERROR(((('Data Schema'!$C$3*(1+B182)^1)*((1-$I$4-$I$5+E182)*(1-$I$10)+$I$6-$I$11)-('Data Schema'!$C$3*(1+B182)^1-'Data Schema'!$C$3)*$I$12)/(1+C182)^1+(('Data Schema'!$C$3*(1+B182)^2)*((1-$I$4-$I$5+E182)*(1-$I$10)+$I$6-$I$11)-('Data Schema'!$C$3*(1+B182)^2-'Data Schema'!$C$3*(1+B182)^1)*$I$12)/(1+C182)^2+(('Data Schema'!$C$3*(1+B182)^3)*((1-$I$4-$I$5+E182)*(1-$I$10)+$I$6-$I$11)-('Data Schema'!$C$3*(1+B182)^3-'Data Schema'!$C$3*(1+B182)^2)*$I$12)/(1+C182)^3+(('Data Schema'!$C$3*(1+B182)^4)*((1-$I$4-$I$5+E182)*(1-$I$10)+$I$6-$I$11)-('Data Schema'!$C$3*(1+B182)^4-'Data Schema'!$C$3*(1+B182)^3)*$I$12)/(1+C182)^4+(('Data Schema'!$C$3*(1+B182)^5)*((1-$I$4-$I$5+E182)*(1-$I$10)+$I$6-$I$11)-('Data Schema'!$C$3*(1+B182)^5-'Data Schema'!$C$3*(1+B182)^4)*$I$12)/(1+C182)^5+((('Data Schema'!$C$3*(1+B182)^5)*((1-$I$4-$I$5+E182)*(1-$I$10)+$I$6-$I$11)-('Data Schema'!$C$3*(1+B182)^5-'Data Schema'!$C$3*(1+B182)^4)*$I$12)*(1+D182)/(C182-D182))/(1+C182)^5-'Data Schema'!$C$31+'Data Schema'!$C$21)/'Data Schema'!$B$17,0),"INVALID")</f>
        <v>29.854368562567853</v>
      </c>
      <c r="H182" s="189" t="b">
        <f t="shared" ca="1" si="17"/>
        <v>1</v>
      </c>
      <c r="I182" s="188">
        <f t="shared" ca="1" si="18"/>
        <v>29.854368562567853</v>
      </c>
      <c r="J182" s="349">
        <f t="shared" ca="1" si="12"/>
        <v>29.854368562567853</v>
      </c>
    </row>
    <row r="183" spans="1:10">
      <c r="A183" s="187">
        <v>4</v>
      </c>
      <c r="B183" s="190">
        <f t="shared" ref="B183:B244" ca="1" si="19">MAX($D$139,MIN($E$139,NORMINV(RAND(),$B$139,$C$139)))</f>
        <v>9.0138151565473695E-2</v>
      </c>
      <c r="C183" s="190">
        <f t="shared" ca="1" si="13"/>
        <v>5.8790689837271037E-2</v>
      </c>
      <c r="D183" s="190">
        <f t="shared" ca="1" si="14"/>
        <v>1.9032065711367202E-2</v>
      </c>
      <c r="E183" s="190">
        <f t="shared" ca="1" si="15"/>
        <v>-1.7645885637233925E-4</v>
      </c>
      <c r="F183" s="189" t="b">
        <f t="shared" ca="1" si="16"/>
        <v>1</v>
      </c>
      <c r="G183" s="188">
        <f ca="1">IF(F183,IFERROR(((('Data Schema'!$C$3*(1+B183)^1)*((1-$I$4-$I$5+E183)*(1-$I$10)+$I$6-$I$11)-('Data Schema'!$C$3*(1+B183)^1-'Data Schema'!$C$3)*$I$12)/(1+C183)^1+(('Data Schema'!$C$3*(1+B183)^2)*((1-$I$4-$I$5+E183)*(1-$I$10)+$I$6-$I$11)-('Data Schema'!$C$3*(1+B183)^2-'Data Schema'!$C$3*(1+B183)^1)*$I$12)/(1+C183)^2+(('Data Schema'!$C$3*(1+B183)^3)*((1-$I$4-$I$5+E183)*(1-$I$10)+$I$6-$I$11)-('Data Schema'!$C$3*(1+B183)^3-'Data Schema'!$C$3*(1+B183)^2)*$I$12)/(1+C183)^3+(('Data Schema'!$C$3*(1+B183)^4)*((1-$I$4-$I$5+E183)*(1-$I$10)+$I$6-$I$11)-('Data Schema'!$C$3*(1+B183)^4-'Data Schema'!$C$3*(1+B183)^3)*$I$12)/(1+C183)^4+(('Data Schema'!$C$3*(1+B183)^5)*((1-$I$4-$I$5+E183)*(1-$I$10)+$I$6-$I$11)-('Data Schema'!$C$3*(1+B183)^5-'Data Schema'!$C$3*(1+B183)^4)*$I$12)/(1+C183)^5+((('Data Schema'!$C$3*(1+B183)^5)*((1-$I$4-$I$5+E183)*(1-$I$10)+$I$6-$I$11)-('Data Schema'!$C$3*(1+B183)^5-'Data Schema'!$C$3*(1+B183)^4)*$I$12)*(1+D183)/(C183-D183))/(1+C183)^5-'Data Schema'!$C$31+'Data Schema'!$C$21)/'Data Schema'!$B$17,0),"INVALID")</f>
        <v>72.472568805050443</v>
      </c>
      <c r="H183" s="189" t="b">
        <f t="shared" ca="1" si="17"/>
        <v>1</v>
      </c>
      <c r="I183" s="188">
        <f t="shared" ca="1" si="18"/>
        <v>72.472568805050443</v>
      </c>
      <c r="J183" s="349">
        <f t="shared" ca="1" si="12"/>
        <v>72.472568805050443</v>
      </c>
    </row>
    <row r="184" spans="1:10">
      <c r="A184" s="191">
        <v>5</v>
      </c>
      <c r="B184" s="190">
        <f t="shared" ca="1" si="19"/>
        <v>0.12266242014324777</v>
      </c>
      <c r="C184" s="190">
        <f t="shared" ca="1" si="13"/>
        <v>6.3916842850270106E-2</v>
      </c>
      <c r="D184" s="190">
        <f t="shared" ca="1" si="14"/>
        <v>2.5869316106997532E-2</v>
      </c>
      <c r="E184" s="190">
        <f t="shared" ca="1" si="15"/>
        <v>-1.1159371494581578E-2</v>
      </c>
      <c r="F184" s="189" t="b">
        <f t="shared" ca="1" si="16"/>
        <v>1</v>
      </c>
      <c r="G184" s="188">
        <f ca="1">IF(F184,IFERROR(((('Data Schema'!$C$3*(1+B184)^1)*((1-$I$4-$I$5+E184)*(1-$I$10)+$I$6-$I$11)-('Data Schema'!$C$3*(1+B184)^1-'Data Schema'!$C$3)*$I$12)/(1+C184)^1+(('Data Schema'!$C$3*(1+B184)^2)*((1-$I$4-$I$5+E184)*(1-$I$10)+$I$6-$I$11)-('Data Schema'!$C$3*(1+B184)^2-'Data Schema'!$C$3*(1+B184)^1)*$I$12)/(1+C184)^2+(('Data Schema'!$C$3*(1+B184)^3)*((1-$I$4-$I$5+E184)*(1-$I$10)+$I$6-$I$11)-('Data Schema'!$C$3*(1+B184)^3-'Data Schema'!$C$3*(1+B184)^2)*$I$12)/(1+C184)^3+(('Data Schema'!$C$3*(1+B184)^4)*((1-$I$4-$I$5+E184)*(1-$I$10)+$I$6-$I$11)-('Data Schema'!$C$3*(1+B184)^4-'Data Schema'!$C$3*(1+B184)^3)*$I$12)/(1+C184)^4+(('Data Schema'!$C$3*(1+B184)^5)*((1-$I$4-$I$5+E184)*(1-$I$10)+$I$6-$I$11)-('Data Schema'!$C$3*(1+B184)^5-'Data Schema'!$C$3*(1+B184)^4)*$I$12)/(1+C184)^5+((('Data Schema'!$C$3*(1+B184)^5)*((1-$I$4-$I$5+E184)*(1-$I$10)+$I$6-$I$11)-('Data Schema'!$C$3*(1+B184)^5-'Data Schema'!$C$3*(1+B184)^4)*$I$12)*(1+D184)/(C184-D184))/(1+C184)^5-'Data Schema'!$C$31+'Data Schema'!$C$21)/'Data Schema'!$B$17,0),"INVALID")</f>
        <v>54.074819106627693</v>
      </c>
      <c r="H184" s="189" t="b">
        <f t="shared" ca="1" si="17"/>
        <v>1</v>
      </c>
      <c r="I184" s="188">
        <f t="shared" ca="1" si="18"/>
        <v>54.074819106627693</v>
      </c>
      <c r="J184" s="349">
        <f t="shared" ca="1" si="12"/>
        <v>54.074819106627693</v>
      </c>
    </row>
    <row r="185" spans="1:10">
      <c r="A185" s="187">
        <v>6</v>
      </c>
      <c r="B185" s="190">
        <f t="shared" ca="1" si="19"/>
        <v>0.11543071266509936</v>
      </c>
      <c r="C185" s="190">
        <f t="shared" ca="1" si="13"/>
        <v>6.8407181137537743E-2</v>
      </c>
      <c r="D185" s="190">
        <f t="shared" ca="1" si="14"/>
        <v>2.4073042581629307E-2</v>
      </c>
      <c r="E185" s="190">
        <f t="shared" ca="1" si="15"/>
        <v>5.9283462529296426E-3</v>
      </c>
      <c r="F185" s="189" t="b">
        <f t="shared" ca="1" si="16"/>
        <v>1</v>
      </c>
      <c r="G185" s="188">
        <f ca="1">IF(F185,IFERROR(((('Data Schema'!$C$3*(1+B185)^1)*((1-$I$4-$I$5+E185)*(1-$I$10)+$I$6-$I$11)-('Data Schema'!$C$3*(1+B185)^1-'Data Schema'!$C$3)*$I$12)/(1+C185)^1+(('Data Schema'!$C$3*(1+B185)^2)*((1-$I$4-$I$5+E185)*(1-$I$10)+$I$6-$I$11)-('Data Schema'!$C$3*(1+B185)^2-'Data Schema'!$C$3*(1+B185)^1)*$I$12)/(1+C185)^2+(('Data Schema'!$C$3*(1+B185)^3)*((1-$I$4-$I$5+E185)*(1-$I$10)+$I$6-$I$11)-('Data Schema'!$C$3*(1+B185)^3-'Data Schema'!$C$3*(1+B185)^2)*$I$12)/(1+C185)^3+(('Data Schema'!$C$3*(1+B185)^4)*((1-$I$4-$I$5+E185)*(1-$I$10)+$I$6-$I$11)-('Data Schema'!$C$3*(1+B185)^4-'Data Schema'!$C$3*(1+B185)^3)*$I$12)/(1+C185)^4+(('Data Schema'!$C$3*(1+B185)^5)*((1-$I$4-$I$5+E185)*(1-$I$10)+$I$6-$I$11)-('Data Schema'!$C$3*(1+B185)^5-'Data Schema'!$C$3*(1+B185)^4)*$I$12)/(1+C185)^5+((('Data Schema'!$C$3*(1+B185)^5)*((1-$I$4-$I$5+E185)*(1-$I$10)+$I$6-$I$11)-('Data Schema'!$C$3*(1+B185)^5-'Data Schema'!$C$3*(1+B185)^4)*$I$12)*(1+D185)/(C185-D185))/(1+C185)^5-'Data Schema'!$C$31+'Data Schema'!$C$21)/'Data Schema'!$B$17,0),"INVALID")</f>
        <v>83.445390302038575</v>
      </c>
      <c r="H185" s="189" t="b">
        <f t="shared" ca="1" si="17"/>
        <v>1</v>
      </c>
      <c r="I185" s="188">
        <f t="shared" ca="1" si="18"/>
        <v>83.445390302038575</v>
      </c>
      <c r="J185" s="349">
        <f t="shared" ca="1" si="12"/>
        <v>83.445390302038575</v>
      </c>
    </row>
    <row r="186" spans="1:10">
      <c r="A186" s="191">
        <v>7</v>
      </c>
      <c r="B186" s="190">
        <f t="shared" ca="1" si="19"/>
        <v>0.13306989103807665</v>
      </c>
      <c r="C186" s="190">
        <f t="shared" ca="1" si="13"/>
        <v>5.680811445052994E-2</v>
      </c>
      <c r="D186" s="190">
        <f t="shared" ca="1" si="14"/>
        <v>2.4281979342606713E-2</v>
      </c>
      <c r="E186" s="190">
        <f t="shared" ca="1" si="15"/>
        <v>1.4523443830310312E-2</v>
      </c>
      <c r="F186" s="189" t="b">
        <f t="shared" ca="1" si="16"/>
        <v>1</v>
      </c>
      <c r="G186" s="188">
        <f ca="1">IF(F186,IFERROR(((('Data Schema'!$C$3*(1+B186)^1)*((1-$I$4-$I$5+E186)*(1-$I$10)+$I$6-$I$11)-('Data Schema'!$C$3*(1+B186)^1-'Data Schema'!$C$3)*$I$12)/(1+C186)^1+(('Data Schema'!$C$3*(1+B186)^2)*((1-$I$4-$I$5+E186)*(1-$I$10)+$I$6-$I$11)-('Data Schema'!$C$3*(1+B186)^2-'Data Schema'!$C$3*(1+B186)^1)*$I$12)/(1+C186)^2+(('Data Schema'!$C$3*(1+B186)^3)*((1-$I$4-$I$5+E186)*(1-$I$10)+$I$6-$I$11)-('Data Schema'!$C$3*(1+B186)^3-'Data Schema'!$C$3*(1+B186)^2)*$I$12)/(1+C186)^3+(('Data Schema'!$C$3*(1+B186)^4)*((1-$I$4-$I$5+E186)*(1-$I$10)+$I$6-$I$11)-('Data Schema'!$C$3*(1+B186)^4-'Data Schema'!$C$3*(1+B186)^3)*$I$12)/(1+C186)^4+(('Data Schema'!$C$3*(1+B186)^5)*((1-$I$4-$I$5+E186)*(1-$I$10)+$I$6-$I$11)-('Data Schema'!$C$3*(1+B186)^5-'Data Schema'!$C$3*(1+B186)^4)*$I$12)/(1+C186)^5+((('Data Schema'!$C$3*(1+B186)^5)*((1-$I$4-$I$5+E186)*(1-$I$10)+$I$6-$I$11)-('Data Schema'!$C$3*(1+B186)^5-'Data Schema'!$C$3*(1+B186)^4)*$I$12)*(1+D186)/(C186-D186))/(1+C186)^5-'Data Schema'!$C$31+'Data Schema'!$C$21)/'Data Schema'!$B$17,0),"INVALID")</f>
        <v>154.65023475259977</v>
      </c>
      <c r="H186" s="189" t="b">
        <f t="shared" ca="1" si="17"/>
        <v>1</v>
      </c>
      <c r="I186" s="188">
        <f t="shared" ca="1" si="18"/>
        <v>154.65023475259977</v>
      </c>
      <c r="J186" s="349">
        <f t="shared" ca="1" si="12"/>
        <v>154.65023475259977</v>
      </c>
    </row>
    <row r="187" spans="1:10">
      <c r="A187" s="187">
        <v>8</v>
      </c>
      <c r="B187" s="190">
        <f t="shared" ca="1" si="19"/>
        <v>0.11087926448216524</v>
      </c>
      <c r="C187" s="190">
        <f t="shared" ca="1" si="13"/>
        <v>5.5825186217575123E-2</v>
      </c>
      <c r="D187" s="190">
        <f t="shared" ca="1" si="14"/>
        <v>2.2536558473683257E-2</v>
      </c>
      <c r="E187" s="190">
        <f t="shared" ca="1" si="15"/>
        <v>2.7340256380090536E-2</v>
      </c>
      <c r="F187" s="189" t="b">
        <f t="shared" ca="1" si="16"/>
        <v>1</v>
      </c>
      <c r="G187" s="188">
        <f ca="1">IF(F187,IFERROR(((('Data Schema'!$C$3*(1+B187)^1)*((1-$I$4-$I$5+E187)*(1-$I$10)+$I$6-$I$11)-('Data Schema'!$C$3*(1+B187)^1-'Data Schema'!$C$3)*$I$12)/(1+C187)^1+(('Data Schema'!$C$3*(1+B187)^2)*((1-$I$4-$I$5+E187)*(1-$I$10)+$I$6-$I$11)-('Data Schema'!$C$3*(1+B187)^2-'Data Schema'!$C$3*(1+B187)^1)*$I$12)/(1+C187)^2+(('Data Schema'!$C$3*(1+B187)^3)*((1-$I$4-$I$5+E187)*(1-$I$10)+$I$6-$I$11)-('Data Schema'!$C$3*(1+B187)^3-'Data Schema'!$C$3*(1+B187)^2)*$I$12)/(1+C187)^3+(('Data Schema'!$C$3*(1+B187)^4)*((1-$I$4-$I$5+E187)*(1-$I$10)+$I$6-$I$11)-('Data Schema'!$C$3*(1+B187)^4-'Data Schema'!$C$3*(1+B187)^3)*$I$12)/(1+C187)^4+(('Data Schema'!$C$3*(1+B187)^5)*((1-$I$4-$I$5+E187)*(1-$I$10)+$I$6-$I$11)-('Data Schema'!$C$3*(1+B187)^5-'Data Schema'!$C$3*(1+B187)^4)*$I$12)/(1+C187)^5+((('Data Schema'!$C$3*(1+B187)^5)*((1-$I$4-$I$5+E187)*(1-$I$10)+$I$6-$I$11)-('Data Schema'!$C$3*(1+B187)^5-'Data Schema'!$C$3*(1+B187)^4)*$I$12)*(1+D187)/(C187-D187))/(1+C187)^5-'Data Schema'!$C$31+'Data Schema'!$C$21)/'Data Schema'!$B$17,0),"INVALID")</f>
        <v>177.84146375440196</v>
      </c>
      <c r="H187" s="189" t="b">
        <f t="shared" ca="1" si="17"/>
        <v>1</v>
      </c>
      <c r="I187" s="188">
        <f t="shared" ca="1" si="18"/>
        <v>177.84146375440196</v>
      </c>
      <c r="J187" s="349">
        <f t="shared" ca="1" si="12"/>
        <v>177.84146375440196</v>
      </c>
    </row>
    <row r="188" spans="1:10">
      <c r="A188" s="191">
        <v>9</v>
      </c>
      <c r="B188" s="190">
        <f t="shared" ca="1" si="19"/>
        <v>8.2390439441956204E-2</v>
      </c>
      <c r="C188" s="190">
        <f t="shared" ca="1" si="13"/>
        <v>5.6170064937680265E-2</v>
      </c>
      <c r="D188" s="190">
        <f t="shared" ca="1" si="14"/>
        <v>2.001216245037199E-2</v>
      </c>
      <c r="E188" s="190">
        <f t="shared" ca="1" si="15"/>
        <v>-2.5625998965627507E-3</v>
      </c>
      <c r="F188" s="189" t="b">
        <f t="shared" ca="1" si="16"/>
        <v>1</v>
      </c>
      <c r="G188" s="188">
        <f ca="1">IF(F188,IFERROR(((('Data Schema'!$C$3*(1+B188)^1)*((1-$I$4-$I$5+E188)*(1-$I$10)+$I$6-$I$11)-('Data Schema'!$C$3*(1+B188)^1-'Data Schema'!$C$3)*$I$12)/(1+C188)^1+(('Data Schema'!$C$3*(1+B188)^2)*((1-$I$4-$I$5+E188)*(1-$I$10)+$I$6-$I$11)-('Data Schema'!$C$3*(1+B188)^2-'Data Schema'!$C$3*(1+B188)^1)*$I$12)/(1+C188)^2+(('Data Schema'!$C$3*(1+B188)^3)*((1-$I$4-$I$5+E188)*(1-$I$10)+$I$6-$I$11)-('Data Schema'!$C$3*(1+B188)^3-'Data Schema'!$C$3*(1+B188)^2)*$I$12)/(1+C188)^3+(('Data Schema'!$C$3*(1+B188)^4)*((1-$I$4-$I$5+E188)*(1-$I$10)+$I$6-$I$11)-('Data Schema'!$C$3*(1+B188)^4-'Data Schema'!$C$3*(1+B188)^3)*$I$12)/(1+C188)^4+(('Data Schema'!$C$3*(1+B188)^5)*((1-$I$4-$I$5+E188)*(1-$I$10)+$I$6-$I$11)-('Data Schema'!$C$3*(1+B188)^5-'Data Schema'!$C$3*(1+B188)^4)*$I$12)/(1+C188)^5+((('Data Schema'!$C$3*(1+B188)^5)*((1-$I$4-$I$5+E188)*(1-$I$10)+$I$6-$I$11)-('Data Schema'!$C$3*(1+B188)^5-'Data Schema'!$C$3*(1+B188)^4)*$I$12)*(1+D188)/(C188-D188))/(1+C188)^5-'Data Schema'!$C$31+'Data Schema'!$C$21)/'Data Schema'!$B$17,0),"INVALID")</f>
        <v>71.859689275834185</v>
      </c>
      <c r="H188" s="189" t="b">
        <f t="shared" ca="1" si="17"/>
        <v>1</v>
      </c>
      <c r="I188" s="188">
        <f t="shared" ca="1" si="18"/>
        <v>71.859689275834185</v>
      </c>
      <c r="J188" s="349">
        <f t="shared" ca="1" si="12"/>
        <v>71.859689275834185</v>
      </c>
    </row>
    <row r="189" spans="1:10">
      <c r="A189" s="187">
        <v>10</v>
      </c>
      <c r="B189" s="190">
        <f t="shared" ca="1" si="19"/>
        <v>0.11257810384574812</v>
      </c>
      <c r="C189" s="190">
        <f t="shared" ca="1" si="13"/>
        <v>7.4530199055603347E-2</v>
      </c>
      <c r="D189" s="190">
        <f t="shared" ca="1" si="14"/>
        <v>2.7354686483790313E-2</v>
      </c>
      <c r="E189" s="190">
        <f t="shared" ca="1" si="15"/>
        <v>2.6925801140634125E-2</v>
      </c>
      <c r="F189" s="189" t="b">
        <f t="shared" ca="1" si="16"/>
        <v>1</v>
      </c>
      <c r="G189" s="188">
        <f ca="1">IF(F189,IFERROR(((('Data Schema'!$C$3*(1+B189)^1)*((1-$I$4-$I$5+E189)*(1-$I$10)+$I$6-$I$11)-('Data Schema'!$C$3*(1+B189)^1-'Data Schema'!$C$3)*$I$12)/(1+C189)^1+(('Data Schema'!$C$3*(1+B189)^2)*((1-$I$4-$I$5+E189)*(1-$I$10)+$I$6-$I$11)-('Data Schema'!$C$3*(1+B189)^2-'Data Schema'!$C$3*(1+B189)^1)*$I$12)/(1+C189)^2+(('Data Schema'!$C$3*(1+B189)^3)*((1-$I$4-$I$5+E189)*(1-$I$10)+$I$6-$I$11)-('Data Schema'!$C$3*(1+B189)^3-'Data Schema'!$C$3*(1+B189)^2)*$I$12)/(1+C189)^3+(('Data Schema'!$C$3*(1+B189)^4)*((1-$I$4-$I$5+E189)*(1-$I$10)+$I$6-$I$11)-('Data Schema'!$C$3*(1+B189)^4-'Data Schema'!$C$3*(1+B189)^3)*$I$12)/(1+C189)^4+(('Data Schema'!$C$3*(1+B189)^5)*((1-$I$4-$I$5+E189)*(1-$I$10)+$I$6-$I$11)-('Data Schema'!$C$3*(1+B189)^5-'Data Schema'!$C$3*(1+B189)^4)*$I$12)/(1+C189)^5+((('Data Schema'!$C$3*(1+B189)^5)*((1-$I$4-$I$5+E189)*(1-$I$10)+$I$6-$I$11)-('Data Schema'!$C$3*(1+B189)^5-'Data Schema'!$C$3*(1+B189)^4)*$I$12)*(1+D189)/(C189-D189))/(1+C189)^5-'Data Schema'!$C$31+'Data Schema'!$C$21)/'Data Schema'!$B$17,0),"INVALID")</f>
        <v>120.05758942532171</v>
      </c>
      <c r="H189" s="189" t="b">
        <f t="shared" ca="1" si="17"/>
        <v>1</v>
      </c>
      <c r="I189" s="188">
        <f t="shared" ca="1" si="18"/>
        <v>120.05758942532171</v>
      </c>
      <c r="J189" s="349">
        <f t="shared" ca="1" si="12"/>
        <v>120.05758942532171</v>
      </c>
    </row>
    <row r="190" spans="1:10">
      <c r="A190" s="191">
        <v>11</v>
      </c>
      <c r="B190" s="190">
        <f t="shared" ca="1" si="19"/>
        <v>6.182801186873222E-2</v>
      </c>
      <c r="C190" s="190">
        <f t="shared" ca="1" si="13"/>
        <v>7.2739132035481352E-2</v>
      </c>
      <c r="D190" s="190">
        <f t="shared" ca="1" si="14"/>
        <v>2.2821843362740749E-2</v>
      </c>
      <c r="E190" s="190">
        <f t="shared" ca="1" si="15"/>
        <v>2.3765564044997706E-2</v>
      </c>
      <c r="F190" s="189" t="b">
        <f t="shared" ca="1" si="16"/>
        <v>1</v>
      </c>
      <c r="G190" s="188">
        <f ca="1">IF(F190,IFERROR(((('Data Schema'!$C$3*(1+B190)^1)*((1-$I$4-$I$5+E190)*(1-$I$10)+$I$6-$I$11)-('Data Schema'!$C$3*(1+B190)^1-'Data Schema'!$C$3)*$I$12)/(1+C190)^1+(('Data Schema'!$C$3*(1+B190)^2)*((1-$I$4-$I$5+E190)*(1-$I$10)+$I$6-$I$11)-('Data Schema'!$C$3*(1+B190)^2-'Data Schema'!$C$3*(1+B190)^1)*$I$12)/(1+C190)^2+(('Data Schema'!$C$3*(1+B190)^3)*((1-$I$4-$I$5+E190)*(1-$I$10)+$I$6-$I$11)-('Data Schema'!$C$3*(1+B190)^3-'Data Schema'!$C$3*(1+B190)^2)*$I$12)/(1+C190)^3+(('Data Schema'!$C$3*(1+B190)^4)*((1-$I$4-$I$5+E190)*(1-$I$10)+$I$6-$I$11)-('Data Schema'!$C$3*(1+B190)^4-'Data Schema'!$C$3*(1+B190)^3)*$I$12)/(1+C190)^4+(('Data Schema'!$C$3*(1+B190)^5)*((1-$I$4-$I$5+E190)*(1-$I$10)+$I$6-$I$11)-('Data Schema'!$C$3*(1+B190)^5-'Data Schema'!$C$3*(1+B190)^4)*$I$12)/(1+C190)^5+((('Data Schema'!$C$3*(1+B190)^5)*((1-$I$4-$I$5+E190)*(1-$I$10)+$I$6-$I$11)-('Data Schema'!$C$3*(1+B190)^5-'Data Schema'!$C$3*(1+B190)^4)*$I$12)*(1+D190)/(C190-D190))/(1+C190)^5-'Data Schema'!$C$31+'Data Schema'!$C$21)/'Data Schema'!$B$17,0),"INVALID")</f>
        <v>87.904046821952221</v>
      </c>
      <c r="H190" s="189" t="b">
        <f t="shared" ca="1" si="17"/>
        <v>1</v>
      </c>
      <c r="I190" s="188">
        <f t="shared" ca="1" si="18"/>
        <v>87.904046821952221</v>
      </c>
      <c r="J190" s="349">
        <f t="shared" ca="1" si="12"/>
        <v>87.904046821952221</v>
      </c>
    </row>
    <row r="191" spans="1:10">
      <c r="A191" s="187">
        <v>12</v>
      </c>
      <c r="B191" s="190">
        <f t="shared" ca="1" si="19"/>
        <v>9.1329583360728148E-2</v>
      </c>
      <c r="C191" s="190">
        <f t="shared" ca="1" si="13"/>
        <v>7.3123145715368792E-2</v>
      </c>
      <c r="D191" s="190">
        <f t="shared" ca="1" si="14"/>
        <v>2.7953705015147386E-2</v>
      </c>
      <c r="E191" s="190">
        <f t="shared" ca="1" si="15"/>
        <v>-4.253065722359553E-2</v>
      </c>
      <c r="F191" s="189" t="b">
        <f t="shared" ca="1" si="16"/>
        <v>1</v>
      </c>
      <c r="G191" s="188">
        <f ca="1">IF(F191,IFERROR(((('Data Schema'!$C$3*(1+B191)^1)*((1-$I$4-$I$5+E191)*(1-$I$10)+$I$6-$I$11)-('Data Schema'!$C$3*(1+B191)^1-'Data Schema'!$C$3)*$I$12)/(1+C191)^1+(('Data Schema'!$C$3*(1+B191)^2)*((1-$I$4-$I$5+E191)*(1-$I$10)+$I$6-$I$11)-('Data Schema'!$C$3*(1+B191)^2-'Data Schema'!$C$3*(1+B191)^1)*$I$12)/(1+C191)^2+(('Data Schema'!$C$3*(1+B191)^3)*((1-$I$4-$I$5+E191)*(1-$I$10)+$I$6-$I$11)-('Data Schema'!$C$3*(1+B191)^3-'Data Schema'!$C$3*(1+B191)^2)*$I$12)/(1+C191)^3+(('Data Schema'!$C$3*(1+B191)^4)*((1-$I$4-$I$5+E191)*(1-$I$10)+$I$6-$I$11)-('Data Schema'!$C$3*(1+B191)^4-'Data Schema'!$C$3*(1+B191)^3)*$I$12)/(1+C191)^4+(('Data Schema'!$C$3*(1+B191)^5)*((1-$I$4-$I$5+E191)*(1-$I$10)+$I$6-$I$11)-('Data Schema'!$C$3*(1+B191)^5-'Data Schema'!$C$3*(1+B191)^4)*$I$12)/(1+C191)^5+((('Data Schema'!$C$3*(1+B191)^5)*((1-$I$4-$I$5+E191)*(1-$I$10)+$I$6-$I$11)-('Data Schema'!$C$3*(1+B191)^5-'Data Schema'!$C$3*(1+B191)^4)*$I$12)*(1+D191)/(C191-D191))/(1+C191)^5-'Data Schema'!$C$31+'Data Schema'!$C$21)/'Data Schema'!$B$17,0),"INVALID")</f>
        <v>-23.895419952570379</v>
      </c>
      <c r="H191" s="189" t="b">
        <f t="shared" ca="1" si="17"/>
        <v>0</v>
      </c>
      <c r="I191" s="188" t="str">
        <f t="shared" ca="1" si="18"/>
        <v/>
      </c>
      <c r="J191" s="349" t="str">
        <f t="shared" ca="1" si="12"/>
        <v/>
      </c>
    </row>
    <row r="192" spans="1:10">
      <c r="A192" s="191">
        <v>13</v>
      </c>
      <c r="B192" s="190">
        <f t="shared" ca="1" si="19"/>
        <v>5.6480502302802937E-2</v>
      </c>
      <c r="C192" s="190">
        <f t="shared" ca="1" si="13"/>
        <v>5.475416310886911E-2</v>
      </c>
      <c r="D192" s="190">
        <f t="shared" ca="1" si="14"/>
        <v>1.9392073757039881E-2</v>
      </c>
      <c r="E192" s="190">
        <f t="shared" ca="1" si="15"/>
        <v>-9.9373830268155681E-3</v>
      </c>
      <c r="F192" s="189" t="b">
        <f t="shared" ca="1" si="16"/>
        <v>1</v>
      </c>
      <c r="G192" s="188">
        <f ca="1">IF(F192,IFERROR(((('Data Schema'!$C$3*(1+B192)^1)*((1-$I$4-$I$5+E192)*(1-$I$10)+$I$6-$I$11)-('Data Schema'!$C$3*(1+B192)^1-'Data Schema'!$C$3)*$I$12)/(1+C192)^1+(('Data Schema'!$C$3*(1+B192)^2)*((1-$I$4-$I$5+E192)*(1-$I$10)+$I$6-$I$11)-('Data Schema'!$C$3*(1+B192)^2-'Data Schema'!$C$3*(1+B192)^1)*$I$12)/(1+C192)^2+(('Data Schema'!$C$3*(1+B192)^3)*((1-$I$4-$I$5+E192)*(1-$I$10)+$I$6-$I$11)-('Data Schema'!$C$3*(1+B192)^3-'Data Schema'!$C$3*(1+B192)^2)*$I$12)/(1+C192)^3+(('Data Schema'!$C$3*(1+B192)^4)*((1-$I$4-$I$5+E192)*(1-$I$10)+$I$6-$I$11)-('Data Schema'!$C$3*(1+B192)^4-'Data Schema'!$C$3*(1+B192)^3)*$I$12)/(1+C192)^4+(('Data Schema'!$C$3*(1+B192)^5)*((1-$I$4-$I$5+E192)*(1-$I$10)+$I$6-$I$11)-('Data Schema'!$C$3*(1+B192)^5-'Data Schema'!$C$3*(1+B192)^4)*$I$12)/(1+C192)^5+((('Data Schema'!$C$3*(1+B192)^5)*((1-$I$4-$I$5+E192)*(1-$I$10)+$I$6-$I$11)-('Data Schema'!$C$3*(1+B192)^5-'Data Schema'!$C$3*(1+B192)^4)*$I$12)*(1+D192)/(C192-D192))/(1+C192)^5-'Data Schema'!$C$31+'Data Schema'!$C$21)/'Data Schema'!$B$17,0),"INVALID")</f>
        <v>49.727793219677999</v>
      </c>
      <c r="H192" s="189" t="b">
        <f t="shared" ca="1" si="17"/>
        <v>1</v>
      </c>
      <c r="I192" s="188">
        <f t="shared" ca="1" si="18"/>
        <v>49.727793219677999</v>
      </c>
      <c r="J192" s="349">
        <f t="shared" ca="1" si="12"/>
        <v>49.727793219677999</v>
      </c>
    </row>
    <row r="193" spans="1:10">
      <c r="A193" s="187">
        <v>14</v>
      </c>
      <c r="B193" s="190">
        <f t="shared" ca="1" si="19"/>
        <v>0.12947333253855334</v>
      </c>
      <c r="C193" s="190">
        <f t="shared" ca="1" si="13"/>
        <v>5.629108206575336E-2</v>
      </c>
      <c r="D193" s="190">
        <f t="shared" ca="1" si="14"/>
        <v>2.5630810466656221E-2</v>
      </c>
      <c r="E193" s="190">
        <f t="shared" ca="1" si="15"/>
        <v>1.3076987510929561E-2</v>
      </c>
      <c r="F193" s="189" t="b">
        <f t="shared" ca="1" si="16"/>
        <v>1</v>
      </c>
      <c r="G193" s="188">
        <f ca="1">IF(F193,IFERROR(((('Data Schema'!$C$3*(1+B193)^1)*((1-$I$4-$I$5+E193)*(1-$I$10)+$I$6-$I$11)-('Data Schema'!$C$3*(1+B193)^1-'Data Schema'!$C$3)*$I$12)/(1+C193)^1+(('Data Schema'!$C$3*(1+B193)^2)*((1-$I$4-$I$5+E193)*(1-$I$10)+$I$6-$I$11)-('Data Schema'!$C$3*(1+B193)^2-'Data Schema'!$C$3*(1+B193)^1)*$I$12)/(1+C193)^2+(('Data Schema'!$C$3*(1+B193)^3)*((1-$I$4-$I$5+E193)*(1-$I$10)+$I$6-$I$11)-('Data Schema'!$C$3*(1+B193)^3-'Data Schema'!$C$3*(1+B193)^2)*$I$12)/(1+C193)^3+(('Data Schema'!$C$3*(1+B193)^4)*((1-$I$4-$I$5+E193)*(1-$I$10)+$I$6-$I$11)-('Data Schema'!$C$3*(1+B193)^4-'Data Schema'!$C$3*(1+B193)^3)*$I$12)/(1+C193)^4+(('Data Schema'!$C$3*(1+B193)^5)*((1-$I$4-$I$5+E193)*(1-$I$10)+$I$6-$I$11)-('Data Schema'!$C$3*(1+B193)^5-'Data Schema'!$C$3*(1+B193)^4)*$I$12)/(1+C193)^5+((('Data Schema'!$C$3*(1+B193)^5)*((1-$I$4-$I$5+E193)*(1-$I$10)+$I$6-$I$11)-('Data Schema'!$C$3*(1+B193)^5-'Data Schema'!$C$3*(1+B193)^4)*$I$12)*(1+D193)/(C193-D193))/(1+C193)^5-'Data Schema'!$C$31+'Data Schema'!$C$21)/'Data Schema'!$B$17,0),"INVALID")</f>
        <v>156.47059532835743</v>
      </c>
      <c r="H193" s="189" t="b">
        <f t="shared" ca="1" si="17"/>
        <v>1</v>
      </c>
      <c r="I193" s="188">
        <f t="shared" ca="1" si="18"/>
        <v>156.47059532835743</v>
      </c>
      <c r="J193" s="349">
        <f t="shared" ca="1" si="12"/>
        <v>156.47059532835743</v>
      </c>
    </row>
    <row r="194" spans="1:10">
      <c r="A194" s="191">
        <v>15</v>
      </c>
      <c r="B194" s="190">
        <f t="shared" ca="1" si="19"/>
        <v>0.11534192994826176</v>
      </c>
      <c r="C194" s="190">
        <f t="shared" ca="1" si="13"/>
        <v>5.1379684336948866E-2</v>
      </c>
      <c r="D194" s="190">
        <f t="shared" ca="1" si="14"/>
        <v>2.2675182581911868E-2</v>
      </c>
      <c r="E194" s="190">
        <f t="shared" ca="1" si="15"/>
        <v>-1.2181991958012355E-2</v>
      </c>
      <c r="F194" s="189" t="b">
        <f t="shared" ca="1" si="16"/>
        <v>1</v>
      </c>
      <c r="G194" s="188">
        <f ca="1">IF(F194,IFERROR(((('Data Schema'!$C$3*(1+B194)^1)*((1-$I$4-$I$5+E194)*(1-$I$10)+$I$6-$I$11)-('Data Schema'!$C$3*(1+B194)^1-'Data Schema'!$C$3)*$I$12)/(1+C194)^1+(('Data Schema'!$C$3*(1+B194)^2)*((1-$I$4-$I$5+E194)*(1-$I$10)+$I$6-$I$11)-('Data Schema'!$C$3*(1+B194)^2-'Data Schema'!$C$3*(1+B194)^1)*$I$12)/(1+C194)^2+(('Data Schema'!$C$3*(1+B194)^3)*((1-$I$4-$I$5+E194)*(1-$I$10)+$I$6-$I$11)-('Data Schema'!$C$3*(1+B194)^3-'Data Schema'!$C$3*(1+B194)^2)*$I$12)/(1+C194)^3+(('Data Schema'!$C$3*(1+B194)^4)*((1-$I$4-$I$5+E194)*(1-$I$10)+$I$6-$I$11)-('Data Schema'!$C$3*(1+B194)^4-'Data Schema'!$C$3*(1+B194)^3)*$I$12)/(1+C194)^4+(('Data Schema'!$C$3*(1+B194)^5)*((1-$I$4-$I$5+E194)*(1-$I$10)+$I$6-$I$11)-('Data Schema'!$C$3*(1+B194)^5-'Data Schema'!$C$3*(1+B194)^4)*$I$12)/(1+C194)^5+((('Data Schema'!$C$3*(1+B194)^5)*((1-$I$4-$I$5+E194)*(1-$I$10)+$I$6-$I$11)-('Data Schema'!$C$3*(1+B194)^5-'Data Schema'!$C$3*(1+B194)^4)*$I$12)*(1+D194)/(C194-D194))/(1+C194)^5-'Data Schema'!$C$31+'Data Schema'!$C$21)/'Data Schema'!$B$17,0),"INVALID")</f>
        <v>69.79589337238194</v>
      </c>
      <c r="H194" s="189" t="b">
        <f t="shared" ca="1" si="17"/>
        <v>1</v>
      </c>
      <c r="I194" s="188">
        <f t="shared" ca="1" si="18"/>
        <v>69.79589337238194</v>
      </c>
      <c r="J194" s="349">
        <f t="shared" ca="1" si="12"/>
        <v>69.79589337238194</v>
      </c>
    </row>
    <row r="195" spans="1:10">
      <c r="A195" s="187">
        <v>16</v>
      </c>
      <c r="B195" s="190">
        <f t="shared" ca="1" si="19"/>
        <v>8.2233667335315064E-2</v>
      </c>
      <c r="C195" s="190">
        <f t="shared" ca="1" si="13"/>
        <v>6.2980442510932141E-2</v>
      </c>
      <c r="D195" s="190">
        <f t="shared" ca="1" si="14"/>
        <v>2.7825149062575699E-2</v>
      </c>
      <c r="E195" s="190">
        <f t="shared" ca="1" si="15"/>
        <v>-2.7782767146744148E-3</v>
      </c>
      <c r="F195" s="189" t="b">
        <f t="shared" ca="1" si="16"/>
        <v>1</v>
      </c>
      <c r="G195" s="188">
        <f ca="1">IF(F195,IFERROR(((('Data Schema'!$C$3*(1+B195)^1)*((1-$I$4-$I$5+E195)*(1-$I$10)+$I$6-$I$11)-('Data Schema'!$C$3*(1+B195)^1-'Data Schema'!$C$3)*$I$12)/(1+C195)^1+(('Data Schema'!$C$3*(1+B195)^2)*((1-$I$4-$I$5+E195)*(1-$I$10)+$I$6-$I$11)-('Data Schema'!$C$3*(1+B195)^2-'Data Schema'!$C$3*(1+B195)^1)*$I$12)/(1+C195)^2+(('Data Schema'!$C$3*(1+B195)^3)*((1-$I$4-$I$5+E195)*(1-$I$10)+$I$6-$I$11)-('Data Schema'!$C$3*(1+B195)^3-'Data Schema'!$C$3*(1+B195)^2)*$I$12)/(1+C195)^3+(('Data Schema'!$C$3*(1+B195)^4)*((1-$I$4-$I$5+E195)*(1-$I$10)+$I$6-$I$11)-('Data Schema'!$C$3*(1+B195)^4-'Data Schema'!$C$3*(1+B195)^3)*$I$12)/(1+C195)^4+(('Data Schema'!$C$3*(1+B195)^5)*((1-$I$4-$I$5+E195)*(1-$I$10)+$I$6-$I$11)-('Data Schema'!$C$3*(1+B195)^5-'Data Schema'!$C$3*(1+B195)^4)*$I$12)/(1+C195)^5+((('Data Schema'!$C$3*(1+B195)^5)*((1-$I$4-$I$5+E195)*(1-$I$10)+$I$6-$I$11)-('Data Schema'!$C$3*(1+B195)^5-'Data Schema'!$C$3*(1+B195)^4)*$I$12)*(1+D195)/(C195-D195))/(1+C195)^5-'Data Schema'!$C$31+'Data Schema'!$C$21)/'Data Schema'!$B$17,0),"INVALID")</f>
        <v>71.30238774815335</v>
      </c>
      <c r="H195" s="189" t="b">
        <f t="shared" ca="1" si="17"/>
        <v>1</v>
      </c>
      <c r="I195" s="188">
        <f t="shared" ca="1" si="18"/>
        <v>71.30238774815335</v>
      </c>
      <c r="J195" s="349">
        <f t="shared" ca="1" si="12"/>
        <v>71.30238774815335</v>
      </c>
    </row>
    <row r="196" spans="1:10">
      <c r="A196" s="191">
        <v>17</v>
      </c>
      <c r="B196" s="190">
        <f t="shared" ca="1" si="19"/>
        <v>0.10154093093894952</v>
      </c>
      <c r="C196" s="190">
        <f t="shared" ca="1" si="13"/>
        <v>7.4377153556833706E-2</v>
      </c>
      <c r="D196" s="190">
        <f t="shared" ca="1" si="14"/>
        <v>3.3958144801098052E-2</v>
      </c>
      <c r="E196" s="190">
        <f t="shared" ca="1" si="15"/>
        <v>-6.9926662366141257E-3</v>
      </c>
      <c r="F196" s="189" t="b">
        <f t="shared" ca="1" si="16"/>
        <v>1</v>
      </c>
      <c r="G196" s="188">
        <f ca="1">IF(F196,IFERROR(((('Data Schema'!$C$3*(1+B196)^1)*((1-$I$4-$I$5+E196)*(1-$I$10)+$I$6-$I$11)-('Data Schema'!$C$3*(1+B196)^1-'Data Schema'!$C$3)*$I$12)/(1+C196)^1+(('Data Schema'!$C$3*(1+B196)^2)*((1-$I$4-$I$5+E196)*(1-$I$10)+$I$6-$I$11)-('Data Schema'!$C$3*(1+B196)^2-'Data Schema'!$C$3*(1+B196)^1)*$I$12)/(1+C196)^2+(('Data Schema'!$C$3*(1+B196)^3)*((1-$I$4-$I$5+E196)*(1-$I$10)+$I$6-$I$11)-('Data Schema'!$C$3*(1+B196)^3-'Data Schema'!$C$3*(1+B196)^2)*$I$12)/(1+C196)^3+(('Data Schema'!$C$3*(1+B196)^4)*((1-$I$4-$I$5+E196)*(1-$I$10)+$I$6-$I$11)-('Data Schema'!$C$3*(1+B196)^4-'Data Schema'!$C$3*(1+B196)^3)*$I$12)/(1+C196)^4+(('Data Schema'!$C$3*(1+B196)^5)*((1-$I$4-$I$5+E196)*(1-$I$10)+$I$6-$I$11)-('Data Schema'!$C$3*(1+B196)^5-'Data Schema'!$C$3*(1+B196)^4)*$I$12)/(1+C196)^5+((('Data Schema'!$C$3*(1+B196)^5)*((1-$I$4-$I$5+E196)*(1-$I$10)+$I$6-$I$11)-('Data Schema'!$C$3*(1+B196)^5-'Data Schema'!$C$3*(1+B196)^4)*$I$12)*(1+D196)/(C196-D196))/(1+C196)^5-'Data Schema'!$C$31+'Data Schema'!$C$21)/'Data Schema'!$B$17,0),"INVALID")</f>
        <v>54.587106381862711</v>
      </c>
      <c r="H196" s="189" t="b">
        <f t="shared" ca="1" si="17"/>
        <v>1</v>
      </c>
      <c r="I196" s="188">
        <f t="shared" ca="1" si="18"/>
        <v>54.587106381862711</v>
      </c>
      <c r="J196" s="349">
        <f t="shared" ca="1" si="12"/>
        <v>54.587106381862711</v>
      </c>
    </row>
    <row r="197" spans="1:10">
      <c r="A197" s="187">
        <v>18</v>
      </c>
      <c r="B197" s="190">
        <f t="shared" ca="1" si="19"/>
        <v>8.9227745060116118E-2</v>
      </c>
      <c r="C197" s="190">
        <f t="shared" ca="1" si="13"/>
        <v>5.3399928277360162E-2</v>
      </c>
      <c r="D197" s="190">
        <f t="shared" ca="1" si="14"/>
        <v>2.3997585940322384E-2</v>
      </c>
      <c r="E197" s="190">
        <f t="shared" ca="1" si="15"/>
        <v>3.8303781052928853E-3</v>
      </c>
      <c r="F197" s="189" t="b">
        <f t="shared" ca="1" si="16"/>
        <v>1</v>
      </c>
      <c r="G197" s="188">
        <f ca="1">IF(F197,IFERROR(((('Data Schema'!$C$3*(1+B197)^1)*((1-$I$4-$I$5+E197)*(1-$I$10)+$I$6-$I$11)-('Data Schema'!$C$3*(1+B197)^1-'Data Schema'!$C$3)*$I$12)/(1+C197)^1+(('Data Schema'!$C$3*(1+B197)^2)*((1-$I$4-$I$5+E197)*(1-$I$10)+$I$6-$I$11)-('Data Schema'!$C$3*(1+B197)^2-'Data Schema'!$C$3*(1+B197)^1)*$I$12)/(1+C197)^2+(('Data Schema'!$C$3*(1+B197)^3)*((1-$I$4-$I$5+E197)*(1-$I$10)+$I$6-$I$11)-('Data Schema'!$C$3*(1+B197)^3-'Data Schema'!$C$3*(1+B197)^2)*$I$12)/(1+C197)^3+(('Data Schema'!$C$3*(1+B197)^4)*((1-$I$4-$I$5+E197)*(1-$I$10)+$I$6-$I$11)-('Data Schema'!$C$3*(1+B197)^4-'Data Schema'!$C$3*(1+B197)^3)*$I$12)/(1+C197)^4+(('Data Schema'!$C$3*(1+B197)^5)*((1-$I$4-$I$5+E197)*(1-$I$10)+$I$6-$I$11)-('Data Schema'!$C$3*(1+B197)^5-'Data Schema'!$C$3*(1+B197)^4)*$I$12)/(1+C197)^5+((('Data Schema'!$C$3*(1+B197)^5)*((1-$I$4-$I$5+E197)*(1-$I$10)+$I$6-$I$11)-('Data Schema'!$C$3*(1+B197)^5-'Data Schema'!$C$3*(1+B197)^4)*$I$12)*(1+D197)/(C197-D197))/(1+C197)^5-'Data Schema'!$C$31+'Data Schema'!$C$21)/'Data Schema'!$B$17,0),"INVALID")</f>
        <v>111.23233545066252</v>
      </c>
      <c r="H197" s="189" t="b">
        <f t="shared" ca="1" si="17"/>
        <v>1</v>
      </c>
      <c r="I197" s="188">
        <f t="shared" ca="1" si="18"/>
        <v>111.23233545066252</v>
      </c>
      <c r="J197" s="349">
        <f t="shared" ca="1" si="12"/>
        <v>111.23233545066252</v>
      </c>
    </row>
    <row r="198" spans="1:10">
      <c r="A198" s="191">
        <v>19</v>
      </c>
      <c r="B198" s="190">
        <f t="shared" ca="1" si="19"/>
        <v>9.6694903661169451E-2</v>
      </c>
      <c r="C198" s="190">
        <f t="shared" ca="1" si="13"/>
        <v>4.9688095151186676E-2</v>
      </c>
      <c r="D198" s="190">
        <f t="shared" ca="1" si="14"/>
        <v>2.2185869847105417E-2</v>
      </c>
      <c r="E198" s="190">
        <f t="shared" ca="1" si="15"/>
        <v>-2.1157819020115196E-2</v>
      </c>
      <c r="F198" s="189" t="b">
        <f t="shared" ca="1" si="16"/>
        <v>1</v>
      </c>
      <c r="G198" s="188">
        <f ca="1">IF(F198,IFERROR(((('Data Schema'!$C$3*(1+B198)^1)*((1-$I$4-$I$5+E198)*(1-$I$10)+$I$6-$I$11)-('Data Schema'!$C$3*(1+B198)^1-'Data Schema'!$C$3)*$I$12)/(1+C198)^1+(('Data Schema'!$C$3*(1+B198)^2)*((1-$I$4-$I$5+E198)*(1-$I$10)+$I$6-$I$11)-('Data Schema'!$C$3*(1+B198)^2-'Data Schema'!$C$3*(1+B198)^1)*$I$12)/(1+C198)^2+(('Data Schema'!$C$3*(1+B198)^3)*((1-$I$4-$I$5+E198)*(1-$I$10)+$I$6-$I$11)-('Data Schema'!$C$3*(1+B198)^3-'Data Schema'!$C$3*(1+B198)^2)*$I$12)/(1+C198)^3+(('Data Schema'!$C$3*(1+B198)^4)*((1-$I$4-$I$5+E198)*(1-$I$10)+$I$6-$I$11)-('Data Schema'!$C$3*(1+B198)^4-'Data Schema'!$C$3*(1+B198)^3)*$I$12)/(1+C198)^4+(('Data Schema'!$C$3*(1+B198)^5)*((1-$I$4-$I$5+E198)*(1-$I$10)+$I$6-$I$11)-('Data Schema'!$C$3*(1+B198)^5-'Data Schema'!$C$3*(1+B198)^4)*$I$12)/(1+C198)^5+((('Data Schema'!$C$3*(1+B198)^5)*((1-$I$4-$I$5+E198)*(1-$I$10)+$I$6-$I$11)-('Data Schema'!$C$3*(1+B198)^5-'Data Schema'!$C$3*(1+B198)^4)*$I$12)*(1+D198)/(C198-D198))/(1+C198)^5-'Data Schema'!$C$31+'Data Schema'!$C$21)/'Data Schema'!$B$17,0),"INVALID")</f>
        <v>37.4217660038708</v>
      </c>
      <c r="H198" s="189" t="b">
        <f t="shared" ca="1" si="17"/>
        <v>1</v>
      </c>
      <c r="I198" s="188">
        <f t="shared" ca="1" si="18"/>
        <v>37.4217660038708</v>
      </c>
      <c r="J198" s="349">
        <f t="shared" ca="1" si="12"/>
        <v>37.4217660038708</v>
      </c>
    </row>
    <row r="199" spans="1:10">
      <c r="A199" s="187">
        <v>20</v>
      </c>
      <c r="B199" s="190">
        <f t="shared" ca="1" si="19"/>
        <v>9.541894002262051E-2</v>
      </c>
      <c r="C199" s="190">
        <f t="shared" ca="1" si="13"/>
        <v>5.755775940340855E-2</v>
      </c>
      <c r="D199" s="190">
        <f t="shared" ca="1" si="14"/>
        <v>2.1602012067659174E-2</v>
      </c>
      <c r="E199" s="190">
        <f t="shared" ca="1" si="15"/>
        <v>-2.804734515817334E-2</v>
      </c>
      <c r="F199" s="189" t="b">
        <f t="shared" ca="1" si="16"/>
        <v>1</v>
      </c>
      <c r="G199" s="188">
        <f ca="1">IF(F199,IFERROR(((('Data Schema'!$C$3*(1+B199)^1)*((1-$I$4-$I$5+E199)*(1-$I$10)+$I$6-$I$11)-('Data Schema'!$C$3*(1+B199)^1-'Data Schema'!$C$3)*$I$12)/(1+C199)^1+(('Data Schema'!$C$3*(1+B199)^2)*((1-$I$4-$I$5+E199)*(1-$I$10)+$I$6-$I$11)-('Data Schema'!$C$3*(1+B199)^2-'Data Schema'!$C$3*(1+B199)^1)*$I$12)/(1+C199)^2+(('Data Schema'!$C$3*(1+B199)^3)*((1-$I$4-$I$5+E199)*(1-$I$10)+$I$6-$I$11)-('Data Schema'!$C$3*(1+B199)^3-'Data Schema'!$C$3*(1+B199)^2)*$I$12)/(1+C199)^3+(('Data Schema'!$C$3*(1+B199)^4)*((1-$I$4-$I$5+E199)*(1-$I$10)+$I$6-$I$11)-('Data Schema'!$C$3*(1+B199)^4-'Data Schema'!$C$3*(1+B199)^3)*$I$12)/(1+C199)^4+(('Data Schema'!$C$3*(1+B199)^5)*((1-$I$4-$I$5+E199)*(1-$I$10)+$I$6-$I$11)-('Data Schema'!$C$3*(1+B199)^5-'Data Schema'!$C$3*(1+B199)^4)*$I$12)/(1+C199)^5+((('Data Schema'!$C$3*(1+B199)^5)*((1-$I$4-$I$5+E199)*(1-$I$10)+$I$6-$I$11)-('Data Schema'!$C$3*(1+B199)^5-'Data Schema'!$C$3*(1+B199)^4)*$I$12)*(1+D199)/(C199-D199))/(1+C199)^5-'Data Schema'!$C$31+'Data Schema'!$C$21)/'Data Schema'!$B$17,0),"INVALID")</f>
        <v>8.6542938640504161</v>
      </c>
      <c r="H199" s="189" t="b">
        <f t="shared" ca="1" si="17"/>
        <v>0</v>
      </c>
      <c r="I199" s="188" t="str">
        <f t="shared" ca="1" si="18"/>
        <v/>
      </c>
      <c r="J199" s="349" t="str">
        <f t="shared" ca="1" si="12"/>
        <v/>
      </c>
    </row>
    <row r="200" spans="1:10">
      <c r="A200" s="191">
        <v>21</v>
      </c>
      <c r="B200" s="190">
        <f t="shared" ca="1" si="19"/>
        <v>0.1136979986110775</v>
      </c>
      <c r="C200" s="190">
        <f t="shared" ca="1" si="13"/>
        <v>5.8154995730529853E-2</v>
      </c>
      <c r="D200" s="190">
        <f t="shared" ca="1" si="14"/>
        <v>3.0577691264146674E-2</v>
      </c>
      <c r="E200" s="190">
        <f t="shared" ca="1" si="15"/>
        <v>-6.704996209242196E-3</v>
      </c>
      <c r="F200" s="189" t="b">
        <f t="shared" ca="1" si="16"/>
        <v>1</v>
      </c>
      <c r="G200" s="188">
        <f ca="1">IF(F200,IFERROR(((('Data Schema'!$C$3*(1+B200)^1)*((1-$I$4-$I$5+E200)*(1-$I$10)+$I$6-$I$11)-('Data Schema'!$C$3*(1+B200)^1-'Data Schema'!$C$3)*$I$12)/(1+C200)^1+(('Data Schema'!$C$3*(1+B200)^2)*((1-$I$4-$I$5+E200)*(1-$I$10)+$I$6-$I$11)-('Data Schema'!$C$3*(1+B200)^2-'Data Schema'!$C$3*(1+B200)^1)*$I$12)/(1+C200)^2+(('Data Schema'!$C$3*(1+B200)^3)*((1-$I$4-$I$5+E200)*(1-$I$10)+$I$6-$I$11)-('Data Schema'!$C$3*(1+B200)^3-'Data Schema'!$C$3*(1+B200)^2)*$I$12)/(1+C200)^3+(('Data Schema'!$C$3*(1+B200)^4)*((1-$I$4-$I$5+E200)*(1-$I$10)+$I$6-$I$11)-('Data Schema'!$C$3*(1+B200)^4-'Data Schema'!$C$3*(1+B200)^3)*$I$12)/(1+C200)^4+(('Data Schema'!$C$3*(1+B200)^5)*((1-$I$4-$I$5+E200)*(1-$I$10)+$I$6-$I$11)-('Data Schema'!$C$3*(1+B200)^5-'Data Schema'!$C$3*(1+B200)^4)*$I$12)/(1+C200)^5+((('Data Schema'!$C$3*(1+B200)^5)*((1-$I$4-$I$5+E200)*(1-$I$10)+$I$6-$I$11)-('Data Schema'!$C$3*(1+B200)^5-'Data Schema'!$C$3*(1+B200)^4)*$I$12)*(1+D200)/(C200-D200))/(1+C200)^5-'Data Schema'!$C$31+'Data Schema'!$C$21)/'Data Schema'!$B$17,0),"INVALID")</f>
        <v>90.041973094231267</v>
      </c>
      <c r="H200" s="189" t="b">
        <f t="shared" ca="1" si="17"/>
        <v>1</v>
      </c>
      <c r="I200" s="188">
        <f t="shared" ca="1" si="18"/>
        <v>90.041973094231267</v>
      </c>
      <c r="J200" s="349">
        <f t="shared" ca="1" si="12"/>
        <v>90.041973094231267</v>
      </c>
    </row>
    <row r="201" spans="1:10">
      <c r="A201" s="187">
        <v>22</v>
      </c>
      <c r="B201" s="190">
        <f t="shared" ca="1" si="19"/>
        <v>0.12545640492801488</v>
      </c>
      <c r="C201" s="190">
        <f t="shared" ca="1" si="13"/>
        <v>6.9565263588047252E-2</v>
      </c>
      <c r="D201" s="190">
        <f t="shared" ca="1" si="14"/>
        <v>2.1977863454438397E-2</v>
      </c>
      <c r="E201" s="190">
        <f t="shared" ca="1" si="15"/>
        <v>1.2415599584414839E-2</v>
      </c>
      <c r="F201" s="189" t="b">
        <f t="shared" ca="1" si="16"/>
        <v>1</v>
      </c>
      <c r="G201" s="188">
        <f ca="1">IF(F201,IFERROR(((('Data Schema'!$C$3*(1+B201)^1)*((1-$I$4-$I$5+E201)*(1-$I$10)+$I$6-$I$11)-('Data Schema'!$C$3*(1+B201)^1-'Data Schema'!$C$3)*$I$12)/(1+C201)^1+(('Data Schema'!$C$3*(1+B201)^2)*((1-$I$4-$I$5+E201)*(1-$I$10)+$I$6-$I$11)-('Data Schema'!$C$3*(1+B201)^2-'Data Schema'!$C$3*(1+B201)^1)*$I$12)/(1+C201)^2+(('Data Schema'!$C$3*(1+B201)^3)*((1-$I$4-$I$5+E201)*(1-$I$10)+$I$6-$I$11)-('Data Schema'!$C$3*(1+B201)^3-'Data Schema'!$C$3*(1+B201)^2)*$I$12)/(1+C201)^3+(('Data Schema'!$C$3*(1+B201)^4)*((1-$I$4-$I$5+E201)*(1-$I$10)+$I$6-$I$11)-('Data Schema'!$C$3*(1+B201)^4-'Data Schema'!$C$3*(1+B201)^3)*$I$12)/(1+C201)^4+(('Data Schema'!$C$3*(1+B201)^5)*((1-$I$4-$I$5+E201)*(1-$I$10)+$I$6-$I$11)-('Data Schema'!$C$3*(1+B201)^5-'Data Schema'!$C$3*(1+B201)^4)*$I$12)/(1+C201)^5+((('Data Schema'!$C$3*(1+B201)^5)*((1-$I$4-$I$5+E201)*(1-$I$10)+$I$6-$I$11)-('Data Schema'!$C$3*(1+B201)^5-'Data Schema'!$C$3*(1+B201)^4)*$I$12)*(1+D201)/(C201-D201))/(1+C201)^5-'Data Schema'!$C$31+'Data Schema'!$C$21)/'Data Schema'!$B$17,0),"INVALID")</f>
        <v>95.359963244389093</v>
      </c>
      <c r="H201" s="189" t="b">
        <f t="shared" ca="1" si="17"/>
        <v>1</v>
      </c>
      <c r="I201" s="188">
        <f t="shared" ca="1" si="18"/>
        <v>95.359963244389093</v>
      </c>
      <c r="J201" s="349">
        <f t="shared" ca="1" si="12"/>
        <v>95.359963244389093</v>
      </c>
    </row>
    <row r="202" spans="1:10">
      <c r="A202" s="191">
        <v>23</v>
      </c>
      <c r="B202" s="190">
        <f t="shared" ca="1" si="19"/>
        <v>0.12332670289408788</v>
      </c>
      <c r="C202" s="190">
        <f t="shared" ca="1" si="13"/>
        <v>6.9778180281529309E-2</v>
      </c>
      <c r="D202" s="190">
        <f t="shared" ca="1" si="14"/>
        <v>3.5338460223537996E-2</v>
      </c>
      <c r="E202" s="190">
        <f t="shared" ca="1" si="15"/>
        <v>-1.8642567861432466E-2</v>
      </c>
      <c r="F202" s="189" t="b">
        <f t="shared" ca="1" si="16"/>
        <v>1</v>
      </c>
      <c r="G202" s="188">
        <f ca="1">IF(F202,IFERROR(((('Data Schema'!$C$3*(1+B202)^1)*((1-$I$4-$I$5+E202)*(1-$I$10)+$I$6-$I$11)-('Data Schema'!$C$3*(1+B202)^1-'Data Schema'!$C$3)*$I$12)/(1+C202)^1+(('Data Schema'!$C$3*(1+B202)^2)*((1-$I$4-$I$5+E202)*(1-$I$10)+$I$6-$I$11)-('Data Schema'!$C$3*(1+B202)^2-'Data Schema'!$C$3*(1+B202)^1)*$I$12)/(1+C202)^2+(('Data Schema'!$C$3*(1+B202)^3)*((1-$I$4-$I$5+E202)*(1-$I$10)+$I$6-$I$11)-('Data Schema'!$C$3*(1+B202)^3-'Data Schema'!$C$3*(1+B202)^2)*$I$12)/(1+C202)^3+(('Data Schema'!$C$3*(1+B202)^4)*((1-$I$4-$I$5+E202)*(1-$I$10)+$I$6-$I$11)-('Data Schema'!$C$3*(1+B202)^4-'Data Schema'!$C$3*(1+B202)^3)*$I$12)/(1+C202)^4+(('Data Schema'!$C$3*(1+B202)^5)*((1-$I$4-$I$5+E202)*(1-$I$10)+$I$6-$I$11)-('Data Schema'!$C$3*(1+B202)^5-'Data Schema'!$C$3*(1+B202)^4)*$I$12)/(1+C202)^5+((('Data Schema'!$C$3*(1+B202)^5)*((1-$I$4-$I$5+E202)*(1-$I$10)+$I$6-$I$11)-('Data Schema'!$C$3*(1+B202)^5-'Data Schema'!$C$3*(1+B202)^4)*$I$12)*(1+D202)/(C202-D202))/(1+C202)^5-'Data Schema'!$C$31+'Data Schema'!$C$21)/'Data Schema'!$B$17,0),"INVALID")</f>
        <v>36.462520116702137</v>
      </c>
      <c r="H202" s="189" t="b">
        <f t="shared" ca="1" si="17"/>
        <v>1</v>
      </c>
      <c r="I202" s="188">
        <f t="shared" ca="1" si="18"/>
        <v>36.462520116702137</v>
      </c>
      <c r="J202" s="349">
        <f t="shared" ca="1" si="12"/>
        <v>36.462520116702137</v>
      </c>
    </row>
    <row r="203" spans="1:10">
      <c r="A203" s="187">
        <v>24</v>
      </c>
      <c r="B203" s="190">
        <f t="shared" ca="1" si="19"/>
        <v>8.7125401286379356E-2</v>
      </c>
      <c r="C203" s="190">
        <f t="shared" ca="1" si="13"/>
        <v>6.2477718092942669E-2</v>
      </c>
      <c r="D203" s="190">
        <f t="shared" ca="1" si="14"/>
        <v>3.3885942738152153E-2</v>
      </c>
      <c r="E203" s="190">
        <f t="shared" ca="1" si="15"/>
        <v>-1.4777979072627916E-2</v>
      </c>
      <c r="F203" s="189" t="b">
        <f t="shared" ca="1" si="16"/>
        <v>1</v>
      </c>
      <c r="G203" s="188">
        <f ca="1">IF(F203,IFERROR(((('Data Schema'!$C$3*(1+B203)^1)*((1-$I$4-$I$5+E203)*(1-$I$10)+$I$6-$I$11)-('Data Schema'!$C$3*(1+B203)^1-'Data Schema'!$C$3)*$I$12)/(1+C203)^1+(('Data Schema'!$C$3*(1+B203)^2)*((1-$I$4-$I$5+E203)*(1-$I$10)+$I$6-$I$11)-('Data Schema'!$C$3*(1+B203)^2-'Data Schema'!$C$3*(1+B203)^1)*$I$12)/(1+C203)^2+(('Data Schema'!$C$3*(1+B203)^3)*((1-$I$4-$I$5+E203)*(1-$I$10)+$I$6-$I$11)-('Data Schema'!$C$3*(1+B203)^3-'Data Schema'!$C$3*(1+B203)^2)*$I$12)/(1+C203)^3+(('Data Schema'!$C$3*(1+B203)^4)*((1-$I$4-$I$5+E203)*(1-$I$10)+$I$6-$I$11)-('Data Schema'!$C$3*(1+B203)^4-'Data Schema'!$C$3*(1+B203)^3)*$I$12)/(1+C203)^4+(('Data Schema'!$C$3*(1+B203)^5)*((1-$I$4-$I$5+E203)*(1-$I$10)+$I$6-$I$11)-('Data Schema'!$C$3*(1+B203)^5-'Data Schema'!$C$3*(1+B203)^4)*$I$12)/(1+C203)^5+((('Data Schema'!$C$3*(1+B203)^5)*((1-$I$4-$I$5+E203)*(1-$I$10)+$I$6-$I$11)-('Data Schema'!$C$3*(1+B203)^5-'Data Schema'!$C$3*(1+B203)^4)*$I$12)*(1+D203)/(C203-D203))/(1+C203)^5-'Data Schema'!$C$31+'Data Schema'!$C$21)/'Data Schema'!$B$17,0),"INVALID")</f>
        <v>52.417431366600397</v>
      </c>
      <c r="H203" s="189" t="b">
        <f t="shared" ca="1" si="17"/>
        <v>1</v>
      </c>
      <c r="I203" s="188">
        <f t="shared" ca="1" si="18"/>
        <v>52.417431366600397</v>
      </c>
      <c r="J203" s="349">
        <f t="shared" ca="1" si="12"/>
        <v>52.417431366600397</v>
      </c>
    </row>
    <row r="204" spans="1:10">
      <c r="A204" s="191">
        <v>25</v>
      </c>
      <c r="B204" s="190">
        <f t="shared" ca="1" si="19"/>
        <v>7.5175784993854772E-2</v>
      </c>
      <c r="C204" s="190">
        <f t="shared" ca="1" si="13"/>
        <v>5.1578322656246102E-2</v>
      </c>
      <c r="D204" s="190">
        <f t="shared" ca="1" si="14"/>
        <v>2.3638717764837967E-2</v>
      </c>
      <c r="E204" s="190">
        <f t="shared" ca="1" si="15"/>
        <v>5.283713566533863E-3</v>
      </c>
      <c r="F204" s="189" t="b">
        <f t="shared" ca="1" si="16"/>
        <v>1</v>
      </c>
      <c r="G204" s="188">
        <f ca="1">IF(F204,IFERROR(((('Data Schema'!$C$3*(1+B204)^1)*((1-$I$4-$I$5+E204)*(1-$I$10)+$I$6-$I$11)-('Data Schema'!$C$3*(1+B204)^1-'Data Schema'!$C$3)*$I$12)/(1+C204)^1+(('Data Schema'!$C$3*(1+B204)^2)*((1-$I$4-$I$5+E204)*(1-$I$10)+$I$6-$I$11)-('Data Schema'!$C$3*(1+B204)^2-'Data Schema'!$C$3*(1+B204)^1)*$I$12)/(1+C204)^2+(('Data Schema'!$C$3*(1+B204)^3)*((1-$I$4-$I$5+E204)*(1-$I$10)+$I$6-$I$11)-('Data Schema'!$C$3*(1+B204)^3-'Data Schema'!$C$3*(1+B204)^2)*$I$12)/(1+C204)^3+(('Data Schema'!$C$3*(1+B204)^4)*((1-$I$4-$I$5+E204)*(1-$I$10)+$I$6-$I$11)-('Data Schema'!$C$3*(1+B204)^4-'Data Schema'!$C$3*(1+B204)^3)*$I$12)/(1+C204)^4+(('Data Schema'!$C$3*(1+B204)^5)*((1-$I$4-$I$5+E204)*(1-$I$10)+$I$6-$I$11)-('Data Schema'!$C$3*(1+B204)^5-'Data Schema'!$C$3*(1+B204)^4)*$I$12)/(1+C204)^5+((('Data Schema'!$C$3*(1+B204)^5)*((1-$I$4-$I$5+E204)*(1-$I$10)+$I$6-$I$11)-('Data Schema'!$C$3*(1+B204)^5-'Data Schema'!$C$3*(1+B204)^4)*$I$12)*(1+D204)/(C204-D204))/(1+C204)^5-'Data Schema'!$C$31+'Data Schema'!$C$21)/'Data Schema'!$B$17,0),"INVALID")</f>
        <v>115.64979225490798</v>
      </c>
      <c r="H204" s="189" t="b">
        <f t="shared" ca="1" si="17"/>
        <v>1</v>
      </c>
      <c r="I204" s="188">
        <f t="shared" ca="1" si="18"/>
        <v>115.64979225490798</v>
      </c>
      <c r="J204" s="349">
        <f t="shared" ca="1" si="12"/>
        <v>115.64979225490798</v>
      </c>
    </row>
    <row r="205" spans="1:10">
      <c r="A205" s="187">
        <v>26</v>
      </c>
      <c r="B205" s="190">
        <f t="shared" ca="1" si="19"/>
        <v>0.11688869499047957</v>
      </c>
      <c r="C205" s="190">
        <f t="shared" ca="1" si="13"/>
        <v>6.5389859811114726E-2</v>
      </c>
      <c r="D205" s="190">
        <f t="shared" ca="1" si="14"/>
        <v>1.8377972519862805E-2</v>
      </c>
      <c r="E205" s="190">
        <f t="shared" ca="1" si="15"/>
        <v>-8.1164533990940538E-3</v>
      </c>
      <c r="F205" s="189" t="b">
        <f t="shared" ca="1" si="16"/>
        <v>1</v>
      </c>
      <c r="G205" s="188">
        <f ca="1">IF(F205,IFERROR(((('Data Schema'!$C$3*(1+B205)^1)*((1-$I$4-$I$5+E205)*(1-$I$10)+$I$6-$I$11)-('Data Schema'!$C$3*(1+B205)^1-'Data Schema'!$C$3)*$I$12)/(1+C205)^1+(('Data Schema'!$C$3*(1+B205)^2)*((1-$I$4-$I$5+E205)*(1-$I$10)+$I$6-$I$11)-('Data Schema'!$C$3*(1+B205)^2-'Data Schema'!$C$3*(1+B205)^1)*$I$12)/(1+C205)^2+(('Data Schema'!$C$3*(1+B205)^3)*((1-$I$4-$I$5+E205)*(1-$I$10)+$I$6-$I$11)-('Data Schema'!$C$3*(1+B205)^3-'Data Schema'!$C$3*(1+B205)^2)*$I$12)/(1+C205)^3+(('Data Schema'!$C$3*(1+B205)^4)*((1-$I$4-$I$5+E205)*(1-$I$10)+$I$6-$I$11)-('Data Schema'!$C$3*(1+B205)^4-'Data Schema'!$C$3*(1+B205)^3)*$I$12)/(1+C205)^4+(('Data Schema'!$C$3*(1+B205)^5)*((1-$I$4-$I$5+E205)*(1-$I$10)+$I$6-$I$11)-('Data Schema'!$C$3*(1+B205)^5-'Data Schema'!$C$3*(1+B205)^4)*$I$12)/(1+C205)^5+((('Data Schema'!$C$3*(1+B205)^5)*((1-$I$4-$I$5+E205)*(1-$I$10)+$I$6-$I$11)-('Data Schema'!$C$3*(1+B205)^5-'Data Schema'!$C$3*(1+B205)^4)*$I$12)*(1+D205)/(C205-D205))/(1+C205)^5-'Data Schema'!$C$31+'Data Schema'!$C$21)/'Data Schema'!$B$17,0),"INVALID")</f>
        <v>49.261353628258604</v>
      </c>
      <c r="H205" s="189" t="b">
        <f t="shared" ca="1" si="17"/>
        <v>1</v>
      </c>
      <c r="I205" s="188">
        <f t="shared" ca="1" si="18"/>
        <v>49.261353628258604</v>
      </c>
      <c r="J205" s="349">
        <f t="shared" ca="1" si="12"/>
        <v>49.261353628258604</v>
      </c>
    </row>
    <row r="206" spans="1:10">
      <c r="A206" s="191">
        <v>27</v>
      </c>
      <c r="B206" s="190">
        <f t="shared" ca="1" si="19"/>
        <v>9.3576256723925985E-2</v>
      </c>
      <c r="C206" s="190">
        <f t="shared" ca="1" si="13"/>
        <v>6.8920883958896659E-2</v>
      </c>
      <c r="D206" s="190">
        <f t="shared" ca="1" si="14"/>
        <v>2.3411112439210565E-2</v>
      </c>
      <c r="E206" s="190">
        <f t="shared" ca="1" si="15"/>
        <v>5.9686237625525196E-3</v>
      </c>
      <c r="F206" s="189" t="b">
        <f t="shared" ca="1" si="16"/>
        <v>1</v>
      </c>
      <c r="G206" s="188">
        <f ca="1">IF(F206,IFERROR(((('Data Schema'!$C$3*(1+B206)^1)*((1-$I$4-$I$5+E206)*(1-$I$10)+$I$6-$I$11)-('Data Schema'!$C$3*(1+B206)^1-'Data Schema'!$C$3)*$I$12)/(1+C206)^1+(('Data Schema'!$C$3*(1+B206)^2)*((1-$I$4-$I$5+E206)*(1-$I$10)+$I$6-$I$11)-('Data Schema'!$C$3*(1+B206)^2-'Data Schema'!$C$3*(1+B206)^1)*$I$12)/(1+C206)^2+(('Data Schema'!$C$3*(1+B206)^3)*((1-$I$4-$I$5+E206)*(1-$I$10)+$I$6-$I$11)-('Data Schema'!$C$3*(1+B206)^3-'Data Schema'!$C$3*(1+B206)^2)*$I$12)/(1+C206)^3+(('Data Schema'!$C$3*(1+B206)^4)*((1-$I$4-$I$5+E206)*(1-$I$10)+$I$6-$I$11)-('Data Schema'!$C$3*(1+B206)^4-'Data Schema'!$C$3*(1+B206)^3)*$I$12)/(1+C206)^4+(('Data Schema'!$C$3*(1+B206)^5)*((1-$I$4-$I$5+E206)*(1-$I$10)+$I$6-$I$11)-('Data Schema'!$C$3*(1+B206)^5-'Data Schema'!$C$3*(1+B206)^4)*$I$12)/(1+C206)^5+((('Data Schema'!$C$3*(1+B206)^5)*((1-$I$4-$I$5+E206)*(1-$I$10)+$I$6-$I$11)-('Data Schema'!$C$3*(1+B206)^5-'Data Schema'!$C$3*(1+B206)^4)*$I$12)*(1+D206)/(C206-D206))/(1+C206)^5-'Data Schema'!$C$31+'Data Schema'!$C$21)/'Data Schema'!$B$17,0),"INVALID")</f>
        <v>74.519822030170772</v>
      </c>
      <c r="H206" s="189" t="b">
        <f t="shared" ca="1" si="17"/>
        <v>1</v>
      </c>
      <c r="I206" s="188">
        <f t="shared" ca="1" si="18"/>
        <v>74.519822030170772</v>
      </c>
      <c r="J206" s="349">
        <f t="shared" ca="1" si="12"/>
        <v>74.519822030170772</v>
      </c>
    </row>
    <row r="207" spans="1:10">
      <c r="A207" s="187">
        <v>28</v>
      </c>
      <c r="B207" s="190">
        <f t="shared" ca="1" si="19"/>
        <v>0.11408513385594386</v>
      </c>
      <c r="C207" s="190">
        <f t="shared" ca="1" si="13"/>
        <v>6.5412764531652068E-2</v>
      </c>
      <c r="D207" s="190">
        <f t="shared" ca="1" si="14"/>
        <v>1.8261706202160614E-2</v>
      </c>
      <c r="E207" s="190">
        <f t="shared" ca="1" si="15"/>
        <v>2.6094895001448789E-2</v>
      </c>
      <c r="F207" s="189" t="b">
        <f t="shared" ca="1" si="16"/>
        <v>1</v>
      </c>
      <c r="G207" s="188">
        <f ca="1">IF(F207,IFERROR(((('Data Schema'!$C$3*(1+B207)^1)*((1-$I$4-$I$5+E207)*(1-$I$10)+$I$6-$I$11)-('Data Schema'!$C$3*(1+B207)^1-'Data Schema'!$C$3)*$I$12)/(1+C207)^1+(('Data Schema'!$C$3*(1+B207)^2)*((1-$I$4-$I$5+E207)*(1-$I$10)+$I$6-$I$11)-('Data Schema'!$C$3*(1+B207)^2-'Data Schema'!$C$3*(1+B207)^1)*$I$12)/(1+C207)^2+(('Data Schema'!$C$3*(1+B207)^3)*((1-$I$4-$I$5+E207)*(1-$I$10)+$I$6-$I$11)-('Data Schema'!$C$3*(1+B207)^3-'Data Schema'!$C$3*(1+B207)^2)*$I$12)/(1+C207)^3+(('Data Schema'!$C$3*(1+B207)^4)*((1-$I$4-$I$5+E207)*(1-$I$10)+$I$6-$I$11)-('Data Schema'!$C$3*(1+B207)^4-'Data Schema'!$C$3*(1+B207)^3)*$I$12)/(1+C207)^4+(('Data Schema'!$C$3*(1+B207)^5)*((1-$I$4-$I$5+E207)*(1-$I$10)+$I$6-$I$11)-('Data Schema'!$C$3*(1+B207)^5-'Data Schema'!$C$3*(1+B207)^4)*$I$12)/(1+C207)^5+((('Data Schema'!$C$3*(1+B207)^5)*((1-$I$4-$I$5+E207)*(1-$I$10)+$I$6-$I$11)-('Data Schema'!$C$3*(1+B207)^5-'Data Schema'!$C$3*(1+B207)^4)*$I$12)*(1+D207)/(C207-D207))/(1+C207)^5-'Data Schema'!$C$31+'Data Schema'!$C$21)/'Data Schema'!$B$17,0),"INVALID")</f>
        <v>123.24635344132393</v>
      </c>
      <c r="H207" s="189" t="b">
        <f t="shared" ca="1" si="17"/>
        <v>1</v>
      </c>
      <c r="I207" s="188">
        <f t="shared" ca="1" si="18"/>
        <v>123.24635344132393</v>
      </c>
      <c r="J207" s="349">
        <f t="shared" ca="1" si="12"/>
        <v>123.24635344132393</v>
      </c>
    </row>
    <row r="208" spans="1:10">
      <c r="A208" s="191">
        <v>29</v>
      </c>
      <c r="B208" s="190">
        <f t="shared" ca="1" si="19"/>
        <v>0.13167803774319067</v>
      </c>
      <c r="C208" s="190">
        <f t="shared" ca="1" si="13"/>
        <v>7.0032842398373693E-2</v>
      </c>
      <c r="D208" s="190">
        <f t="shared" ca="1" si="14"/>
        <v>2.3071504652640611E-2</v>
      </c>
      <c r="E208" s="190">
        <f t="shared" ca="1" si="15"/>
        <v>2.0092244997543154E-2</v>
      </c>
      <c r="F208" s="189" t="b">
        <f t="shared" ca="1" si="16"/>
        <v>1</v>
      </c>
      <c r="G208" s="188">
        <f ca="1">IF(F208,IFERROR(((('Data Schema'!$C$3*(1+B208)^1)*((1-$I$4-$I$5+E208)*(1-$I$10)+$I$6-$I$11)-('Data Schema'!$C$3*(1+B208)^1-'Data Schema'!$C$3)*$I$12)/(1+C208)^1+(('Data Schema'!$C$3*(1+B208)^2)*((1-$I$4-$I$5+E208)*(1-$I$10)+$I$6-$I$11)-('Data Schema'!$C$3*(1+B208)^2-'Data Schema'!$C$3*(1+B208)^1)*$I$12)/(1+C208)^2+(('Data Schema'!$C$3*(1+B208)^3)*((1-$I$4-$I$5+E208)*(1-$I$10)+$I$6-$I$11)-('Data Schema'!$C$3*(1+B208)^3-'Data Schema'!$C$3*(1+B208)^2)*$I$12)/(1+C208)^3+(('Data Schema'!$C$3*(1+B208)^4)*((1-$I$4-$I$5+E208)*(1-$I$10)+$I$6-$I$11)-('Data Schema'!$C$3*(1+B208)^4-'Data Schema'!$C$3*(1+B208)^3)*$I$12)/(1+C208)^4+(('Data Schema'!$C$3*(1+B208)^5)*((1-$I$4-$I$5+E208)*(1-$I$10)+$I$6-$I$11)-('Data Schema'!$C$3*(1+B208)^5-'Data Schema'!$C$3*(1+B208)^4)*$I$12)/(1+C208)^5+((('Data Schema'!$C$3*(1+B208)^5)*((1-$I$4-$I$5+E208)*(1-$I$10)+$I$6-$I$11)-('Data Schema'!$C$3*(1+B208)^5-'Data Schema'!$C$3*(1+B208)^4)*$I$12)*(1+D208)/(C208-D208))/(1+C208)^5-'Data Schema'!$C$31+'Data Schema'!$C$21)/'Data Schema'!$B$17,0),"INVALID")</f>
        <v>116.55707567143335</v>
      </c>
      <c r="H208" s="189" t="b">
        <f t="shared" ca="1" si="17"/>
        <v>1</v>
      </c>
      <c r="I208" s="188">
        <f t="shared" ca="1" si="18"/>
        <v>116.55707567143335</v>
      </c>
      <c r="J208" s="349">
        <f t="shared" ca="1" si="12"/>
        <v>116.55707567143335</v>
      </c>
    </row>
    <row r="209" spans="1:10">
      <c r="A209" s="187">
        <v>30</v>
      </c>
      <c r="B209" s="190">
        <f t="shared" ca="1" si="19"/>
        <v>9.6297504252606095E-2</v>
      </c>
      <c r="C209" s="190">
        <f t="shared" ca="1" si="13"/>
        <v>6.673509902064996E-2</v>
      </c>
      <c r="D209" s="190">
        <f t="shared" ca="1" si="14"/>
        <v>1.5997665650607465E-2</v>
      </c>
      <c r="E209" s="190">
        <f t="shared" ca="1" si="15"/>
        <v>2.8692030774104635E-2</v>
      </c>
      <c r="F209" s="189" t="b">
        <f t="shared" ca="1" si="16"/>
        <v>1</v>
      </c>
      <c r="G209" s="188">
        <f ca="1">IF(F209,IFERROR(((('Data Schema'!$C$3*(1+B209)^1)*((1-$I$4-$I$5+E209)*(1-$I$10)+$I$6-$I$11)-('Data Schema'!$C$3*(1+B209)^1-'Data Schema'!$C$3)*$I$12)/(1+C209)^1+(('Data Schema'!$C$3*(1+B209)^2)*((1-$I$4-$I$5+E209)*(1-$I$10)+$I$6-$I$11)-('Data Schema'!$C$3*(1+B209)^2-'Data Schema'!$C$3*(1+B209)^1)*$I$12)/(1+C209)^2+(('Data Schema'!$C$3*(1+B209)^3)*((1-$I$4-$I$5+E209)*(1-$I$10)+$I$6-$I$11)-('Data Schema'!$C$3*(1+B209)^3-'Data Schema'!$C$3*(1+B209)^2)*$I$12)/(1+C209)^3+(('Data Schema'!$C$3*(1+B209)^4)*((1-$I$4-$I$5+E209)*(1-$I$10)+$I$6-$I$11)-('Data Schema'!$C$3*(1+B209)^4-'Data Schema'!$C$3*(1+B209)^3)*$I$12)/(1+C209)^4+(('Data Schema'!$C$3*(1+B209)^5)*((1-$I$4-$I$5+E209)*(1-$I$10)+$I$6-$I$11)-('Data Schema'!$C$3*(1+B209)^5-'Data Schema'!$C$3*(1+B209)^4)*$I$12)/(1+C209)^5+((('Data Schema'!$C$3*(1+B209)^5)*((1-$I$4-$I$5+E209)*(1-$I$10)+$I$6-$I$11)-('Data Schema'!$C$3*(1+B209)^5-'Data Schema'!$C$3*(1+B209)^4)*$I$12)*(1+D209)/(C209-D209))/(1+C209)^5-'Data Schema'!$C$31+'Data Schema'!$C$21)/'Data Schema'!$B$17,0),"INVALID")</f>
        <v>111.62241582523727</v>
      </c>
      <c r="H209" s="189" t="b">
        <f t="shared" ca="1" si="17"/>
        <v>1</v>
      </c>
      <c r="I209" s="188">
        <f t="shared" ca="1" si="18"/>
        <v>111.62241582523727</v>
      </c>
      <c r="J209" s="349">
        <f t="shared" ca="1" si="12"/>
        <v>111.62241582523727</v>
      </c>
    </row>
    <row r="210" spans="1:10">
      <c r="A210" s="191">
        <v>31</v>
      </c>
      <c r="B210" s="190">
        <f t="shared" ca="1" si="19"/>
        <v>0.11428275677126812</v>
      </c>
      <c r="C210" s="190">
        <f t="shared" ca="1" si="13"/>
        <v>5.7882220052642985E-2</v>
      </c>
      <c r="D210" s="190">
        <f t="shared" ca="1" si="14"/>
        <v>2.8755376887173806E-2</v>
      </c>
      <c r="E210" s="190">
        <f t="shared" ca="1" si="15"/>
        <v>1.0030533491220803E-2</v>
      </c>
      <c r="F210" s="189" t="b">
        <f t="shared" ca="1" si="16"/>
        <v>1</v>
      </c>
      <c r="G210" s="188">
        <f ca="1">IF(F210,IFERROR(((('Data Schema'!$C$3*(1+B210)^1)*((1-$I$4-$I$5+E210)*(1-$I$10)+$I$6-$I$11)-('Data Schema'!$C$3*(1+B210)^1-'Data Schema'!$C$3)*$I$12)/(1+C210)^1+(('Data Schema'!$C$3*(1+B210)^2)*((1-$I$4-$I$5+E210)*(1-$I$10)+$I$6-$I$11)-('Data Schema'!$C$3*(1+B210)^2-'Data Schema'!$C$3*(1+B210)^1)*$I$12)/(1+C210)^2+(('Data Schema'!$C$3*(1+B210)^3)*((1-$I$4-$I$5+E210)*(1-$I$10)+$I$6-$I$11)-('Data Schema'!$C$3*(1+B210)^3-'Data Schema'!$C$3*(1+B210)^2)*$I$12)/(1+C210)^3+(('Data Schema'!$C$3*(1+B210)^4)*((1-$I$4-$I$5+E210)*(1-$I$10)+$I$6-$I$11)-('Data Schema'!$C$3*(1+B210)^4-'Data Schema'!$C$3*(1+B210)^3)*$I$12)/(1+C210)^4+(('Data Schema'!$C$3*(1+B210)^5)*((1-$I$4-$I$5+E210)*(1-$I$10)+$I$6-$I$11)-('Data Schema'!$C$3*(1+B210)^5-'Data Schema'!$C$3*(1+B210)^4)*$I$12)/(1+C210)^5+((('Data Schema'!$C$3*(1+B210)^5)*((1-$I$4-$I$5+E210)*(1-$I$10)+$I$6-$I$11)-('Data Schema'!$C$3*(1+B210)^5-'Data Schema'!$C$3*(1+B210)^4)*$I$12)*(1+D210)/(C210-D210))/(1+C210)^5-'Data Schema'!$C$31+'Data Schema'!$C$21)/'Data Schema'!$B$17,0),"INVALID")</f>
        <v>143.23100559871969</v>
      </c>
      <c r="H210" s="189" t="b">
        <f t="shared" ca="1" si="17"/>
        <v>1</v>
      </c>
      <c r="I210" s="188">
        <f t="shared" ca="1" si="18"/>
        <v>143.23100559871969</v>
      </c>
      <c r="J210" s="349">
        <f t="shared" ca="1" si="12"/>
        <v>143.23100559871969</v>
      </c>
    </row>
    <row r="211" spans="1:10">
      <c r="A211" s="187">
        <v>32</v>
      </c>
      <c r="B211" s="190">
        <f t="shared" ca="1" si="19"/>
        <v>0.12657090823838277</v>
      </c>
      <c r="C211" s="190">
        <f t="shared" ca="1" si="13"/>
        <v>5.9284847090951193E-2</v>
      </c>
      <c r="D211" s="190">
        <f t="shared" ca="1" si="14"/>
        <v>2.2823723120622939E-2</v>
      </c>
      <c r="E211" s="190">
        <f t="shared" ca="1" si="15"/>
        <v>1.0417301133840397E-2</v>
      </c>
      <c r="F211" s="189" t="b">
        <f t="shared" ca="1" si="16"/>
        <v>1</v>
      </c>
      <c r="G211" s="188">
        <f ca="1">IF(F211,IFERROR(((('Data Schema'!$C$3*(1+B211)^1)*((1-$I$4-$I$5+E211)*(1-$I$10)+$I$6-$I$11)-('Data Schema'!$C$3*(1+B211)^1-'Data Schema'!$C$3)*$I$12)/(1+C211)^1+(('Data Schema'!$C$3*(1+B211)^2)*((1-$I$4-$I$5+E211)*(1-$I$10)+$I$6-$I$11)-('Data Schema'!$C$3*(1+B211)^2-'Data Schema'!$C$3*(1+B211)^1)*$I$12)/(1+C211)^2+(('Data Schema'!$C$3*(1+B211)^3)*((1-$I$4-$I$5+E211)*(1-$I$10)+$I$6-$I$11)-('Data Schema'!$C$3*(1+B211)^3-'Data Schema'!$C$3*(1+B211)^2)*$I$12)/(1+C211)^3+(('Data Schema'!$C$3*(1+B211)^4)*((1-$I$4-$I$5+E211)*(1-$I$10)+$I$6-$I$11)-('Data Schema'!$C$3*(1+B211)^4-'Data Schema'!$C$3*(1+B211)^3)*$I$12)/(1+C211)^4+(('Data Schema'!$C$3*(1+B211)^5)*((1-$I$4-$I$5+E211)*(1-$I$10)+$I$6-$I$11)-('Data Schema'!$C$3*(1+B211)^5-'Data Schema'!$C$3*(1+B211)^4)*$I$12)/(1+C211)^5+((('Data Schema'!$C$3*(1+B211)^5)*((1-$I$4-$I$5+E211)*(1-$I$10)+$I$6-$I$11)-('Data Schema'!$C$3*(1+B211)^5-'Data Schema'!$C$3*(1+B211)^4)*$I$12)*(1+D211)/(C211-D211))/(1+C211)^5-'Data Schema'!$C$31+'Data Schema'!$C$21)/'Data Schema'!$B$17,0),"INVALID")</f>
        <v>121.93694990650505</v>
      </c>
      <c r="H211" s="189" t="b">
        <f t="shared" ca="1" si="17"/>
        <v>1</v>
      </c>
      <c r="I211" s="188">
        <f t="shared" ca="1" si="18"/>
        <v>121.93694990650505</v>
      </c>
      <c r="J211" s="349">
        <f t="shared" ca="1" si="12"/>
        <v>121.93694990650505</v>
      </c>
    </row>
    <row r="212" spans="1:10">
      <c r="A212" s="191">
        <v>33</v>
      </c>
      <c r="B212" s="190">
        <f t="shared" ca="1" si="19"/>
        <v>0.10130632527298543</v>
      </c>
      <c r="C212" s="190">
        <f t="shared" ca="1" si="13"/>
        <v>6.4409178055362074E-2</v>
      </c>
      <c r="D212" s="190">
        <f t="shared" ca="1" si="14"/>
        <v>1.8906076213091948E-2</v>
      </c>
      <c r="E212" s="190">
        <f t="shared" ca="1" si="15"/>
        <v>-1.9533401282989766E-2</v>
      </c>
      <c r="F212" s="189" t="b">
        <f t="shared" ca="1" si="16"/>
        <v>1</v>
      </c>
      <c r="G212" s="188">
        <f ca="1">IF(F212,IFERROR(((('Data Schema'!$C$3*(1+B212)^1)*((1-$I$4-$I$5+E212)*(1-$I$10)+$I$6-$I$11)-('Data Schema'!$C$3*(1+B212)^1-'Data Schema'!$C$3)*$I$12)/(1+C212)^1+(('Data Schema'!$C$3*(1+B212)^2)*((1-$I$4-$I$5+E212)*(1-$I$10)+$I$6-$I$11)-('Data Schema'!$C$3*(1+B212)^2-'Data Schema'!$C$3*(1+B212)^1)*$I$12)/(1+C212)^2+(('Data Schema'!$C$3*(1+B212)^3)*((1-$I$4-$I$5+E212)*(1-$I$10)+$I$6-$I$11)-('Data Schema'!$C$3*(1+B212)^3-'Data Schema'!$C$3*(1+B212)^2)*$I$12)/(1+C212)^3+(('Data Schema'!$C$3*(1+B212)^4)*((1-$I$4-$I$5+E212)*(1-$I$10)+$I$6-$I$11)-('Data Schema'!$C$3*(1+B212)^4-'Data Schema'!$C$3*(1+B212)^3)*$I$12)/(1+C212)^4+(('Data Schema'!$C$3*(1+B212)^5)*((1-$I$4-$I$5+E212)*(1-$I$10)+$I$6-$I$11)-('Data Schema'!$C$3*(1+B212)^5-'Data Schema'!$C$3*(1+B212)^4)*$I$12)/(1+C212)^5+((('Data Schema'!$C$3*(1+B212)^5)*((1-$I$4-$I$5+E212)*(1-$I$10)+$I$6-$I$11)-('Data Schema'!$C$3*(1+B212)^5-'Data Schema'!$C$3*(1+B212)^4)*$I$12)*(1+D212)/(C212-D212))/(1+C212)^5-'Data Schema'!$C$31+'Data Schema'!$C$21)/'Data Schema'!$B$17,0),"INVALID")</f>
        <v>23.676310489140153</v>
      </c>
      <c r="H212" s="189" t="b">
        <f t="shared" ca="1" si="17"/>
        <v>1</v>
      </c>
      <c r="I212" s="188">
        <f t="shared" ca="1" si="18"/>
        <v>23.676310489140153</v>
      </c>
      <c r="J212" s="349" t="str">
        <f t="shared" ca="1" si="12"/>
        <v/>
      </c>
    </row>
    <row r="213" spans="1:10">
      <c r="A213" s="187">
        <v>34</v>
      </c>
      <c r="B213" s="190">
        <f t="shared" ca="1" si="19"/>
        <v>0.11466425932189409</v>
      </c>
      <c r="C213" s="190">
        <f t="shared" ca="1" si="13"/>
        <v>6.9580089087423164E-2</v>
      </c>
      <c r="D213" s="190">
        <f t="shared" ca="1" si="14"/>
        <v>2.6590776261663868E-2</v>
      </c>
      <c r="E213" s="190">
        <f t="shared" ca="1" si="15"/>
        <v>-3.5736983277208985E-2</v>
      </c>
      <c r="F213" s="189" t="b">
        <f t="shared" ca="1" si="16"/>
        <v>1</v>
      </c>
      <c r="G213" s="188">
        <f ca="1">IF(F213,IFERROR(((('Data Schema'!$C$3*(1+B213)^1)*((1-$I$4-$I$5+E213)*(1-$I$10)+$I$6-$I$11)-('Data Schema'!$C$3*(1+B213)^1-'Data Schema'!$C$3)*$I$12)/(1+C213)^1+(('Data Schema'!$C$3*(1+B213)^2)*((1-$I$4-$I$5+E213)*(1-$I$10)+$I$6-$I$11)-('Data Schema'!$C$3*(1+B213)^2-'Data Schema'!$C$3*(1+B213)^1)*$I$12)/(1+C213)^2+(('Data Schema'!$C$3*(1+B213)^3)*((1-$I$4-$I$5+E213)*(1-$I$10)+$I$6-$I$11)-('Data Schema'!$C$3*(1+B213)^3-'Data Schema'!$C$3*(1+B213)^2)*$I$12)/(1+C213)^3+(('Data Schema'!$C$3*(1+B213)^4)*((1-$I$4-$I$5+E213)*(1-$I$10)+$I$6-$I$11)-('Data Schema'!$C$3*(1+B213)^4-'Data Schema'!$C$3*(1+B213)^3)*$I$12)/(1+C213)^4+(('Data Schema'!$C$3*(1+B213)^5)*((1-$I$4-$I$5+E213)*(1-$I$10)+$I$6-$I$11)-('Data Schema'!$C$3*(1+B213)^5-'Data Schema'!$C$3*(1+B213)^4)*$I$12)/(1+C213)^5+((('Data Schema'!$C$3*(1+B213)^5)*((1-$I$4-$I$5+E213)*(1-$I$10)+$I$6-$I$11)-('Data Schema'!$C$3*(1+B213)^5-'Data Schema'!$C$3*(1+B213)^4)*$I$12)*(1+D213)/(C213-D213))/(1+C213)^5-'Data Schema'!$C$31+'Data Schema'!$C$21)/'Data Schema'!$B$17,0),"INVALID")</f>
        <v>-12.040110877554632</v>
      </c>
      <c r="H213" s="189" t="b">
        <f t="shared" ca="1" si="17"/>
        <v>0</v>
      </c>
      <c r="I213" s="188" t="str">
        <f t="shared" ca="1" si="18"/>
        <v/>
      </c>
      <c r="J213" s="349" t="str">
        <f t="shared" ca="1" si="12"/>
        <v/>
      </c>
    </row>
    <row r="214" spans="1:10">
      <c r="A214" s="191">
        <v>35</v>
      </c>
      <c r="B214" s="190">
        <f t="shared" ca="1" si="19"/>
        <v>9.2158236808600344E-2</v>
      </c>
      <c r="C214" s="190">
        <f t="shared" ca="1" si="13"/>
        <v>5.1702099245105201E-2</v>
      </c>
      <c r="D214" s="190">
        <f t="shared" ca="1" si="14"/>
        <v>2.0761000270059504E-2</v>
      </c>
      <c r="E214" s="190">
        <f t="shared" ca="1" si="15"/>
        <v>-2.132949512404082E-2</v>
      </c>
      <c r="F214" s="189" t="b">
        <f t="shared" ca="1" si="16"/>
        <v>1</v>
      </c>
      <c r="G214" s="188">
        <f ca="1">IF(F214,IFERROR(((('Data Schema'!$C$3*(1+B214)^1)*((1-$I$4-$I$5+E214)*(1-$I$10)+$I$6-$I$11)-('Data Schema'!$C$3*(1+B214)^1-'Data Schema'!$C$3)*$I$12)/(1+C214)^1+(('Data Schema'!$C$3*(1+B214)^2)*((1-$I$4-$I$5+E214)*(1-$I$10)+$I$6-$I$11)-('Data Schema'!$C$3*(1+B214)^2-'Data Schema'!$C$3*(1+B214)^1)*$I$12)/(1+C214)^2+(('Data Schema'!$C$3*(1+B214)^3)*((1-$I$4-$I$5+E214)*(1-$I$10)+$I$6-$I$11)-('Data Schema'!$C$3*(1+B214)^3-'Data Schema'!$C$3*(1+B214)^2)*$I$12)/(1+C214)^3+(('Data Schema'!$C$3*(1+B214)^4)*((1-$I$4-$I$5+E214)*(1-$I$10)+$I$6-$I$11)-('Data Schema'!$C$3*(1+B214)^4-'Data Schema'!$C$3*(1+B214)^3)*$I$12)/(1+C214)^4+(('Data Schema'!$C$3*(1+B214)^5)*((1-$I$4-$I$5+E214)*(1-$I$10)+$I$6-$I$11)-('Data Schema'!$C$3*(1+B214)^5-'Data Schema'!$C$3*(1+B214)^4)*$I$12)/(1+C214)^5+((('Data Schema'!$C$3*(1+B214)^5)*((1-$I$4-$I$5+E214)*(1-$I$10)+$I$6-$I$11)-('Data Schema'!$C$3*(1+B214)^5-'Data Schema'!$C$3*(1+B214)^4)*$I$12)*(1+D214)/(C214-D214))/(1+C214)^5-'Data Schema'!$C$31+'Data Schema'!$C$21)/'Data Schema'!$B$17,0),"INVALID")</f>
        <v>31.62256124942159</v>
      </c>
      <c r="H214" s="189" t="b">
        <f t="shared" ca="1" si="17"/>
        <v>1</v>
      </c>
      <c r="I214" s="188">
        <f t="shared" ca="1" si="18"/>
        <v>31.62256124942159</v>
      </c>
      <c r="J214" s="349">
        <f t="shared" ca="1" si="12"/>
        <v>31.62256124942159</v>
      </c>
    </row>
    <row r="215" spans="1:10">
      <c r="A215" s="187">
        <v>36</v>
      </c>
      <c r="B215" s="190">
        <f t="shared" ca="1" si="19"/>
        <v>0.10104855102354088</v>
      </c>
      <c r="C215" s="190">
        <f t="shared" ca="1" si="13"/>
        <v>4.8320307982739306E-2</v>
      </c>
      <c r="D215" s="190">
        <f t="shared" ca="1" si="14"/>
        <v>3.3099786250349081E-2</v>
      </c>
      <c r="E215" s="190">
        <f t="shared" ca="1" si="15"/>
        <v>-5.7138308478154078E-3</v>
      </c>
      <c r="F215" s="189" t="b">
        <f t="shared" ca="1" si="16"/>
        <v>1</v>
      </c>
      <c r="G215" s="188">
        <f ca="1">IF(F215,IFERROR(((('Data Schema'!$C$3*(1+B215)^1)*((1-$I$4-$I$5+E215)*(1-$I$10)+$I$6-$I$11)-('Data Schema'!$C$3*(1+B215)^1-'Data Schema'!$C$3)*$I$12)/(1+C215)^1+(('Data Schema'!$C$3*(1+B215)^2)*((1-$I$4-$I$5+E215)*(1-$I$10)+$I$6-$I$11)-('Data Schema'!$C$3*(1+B215)^2-'Data Schema'!$C$3*(1+B215)^1)*$I$12)/(1+C215)^2+(('Data Schema'!$C$3*(1+B215)^3)*((1-$I$4-$I$5+E215)*(1-$I$10)+$I$6-$I$11)-('Data Schema'!$C$3*(1+B215)^3-'Data Schema'!$C$3*(1+B215)^2)*$I$12)/(1+C215)^3+(('Data Schema'!$C$3*(1+B215)^4)*((1-$I$4-$I$5+E215)*(1-$I$10)+$I$6-$I$11)-('Data Schema'!$C$3*(1+B215)^4-'Data Schema'!$C$3*(1+B215)^3)*$I$12)/(1+C215)^4+(('Data Schema'!$C$3*(1+B215)^5)*((1-$I$4-$I$5+E215)*(1-$I$10)+$I$6-$I$11)-('Data Schema'!$C$3*(1+B215)^5-'Data Schema'!$C$3*(1+B215)^4)*$I$12)/(1+C215)^5+((('Data Schema'!$C$3*(1+B215)^5)*((1-$I$4-$I$5+E215)*(1-$I$10)+$I$6-$I$11)-('Data Schema'!$C$3*(1+B215)^5-'Data Schema'!$C$3*(1+B215)^4)*$I$12)*(1+D215)/(C215-D215))/(1+C215)^5-'Data Schema'!$C$31+'Data Schema'!$C$21)/'Data Schema'!$B$17,0),"INVALID")</f>
        <v>166.83439097081887</v>
      </c>
      <c r="H215" s="189" t="b">
        <f t="shared" ca="1" si="17"/>
        <v>1</v>
      </c>
      <c r="I215" s="188">
        <f t="shared" ca="1" si="18"/>
        <v>166.83439097081887</v>
      </c>
      <c r="J215" s="349">
        <f t="shared" ca="1" si="12"/>
        <v>166.83439097081887</v>
      </c>
    </row>
    <row r="216" spans="1:10">
      <c r="A216" s="191">
        <v>37</v>
      </c>
      <c r="B216" s="190">
        <f t="shared" ca="1" si="19"/>
        <v>0.12019371380920996</v>
      </c>
      <c r="C216" s="190">
        <f t="shared" ca="1" si="13"/>
        <v>6.8891725130263912E-2</v>
      </c>
      <c r="D216" s="190">
        <f t="shared" ca="1" si="14"/>
        <v>2.1444734866727672E-2</v>
      </c>
      <c r="E216" s="190">
        <f t="shared" ca="1" si="15"/>
        <v>5.6633627164096589E-3</v>
      </c>
      <c r="F216" s="189" t="b">
        <f t="shared" ca="1" si="16"/>
        <v>1</v>
      </c>
      <c r="G216" s="188">
        <f ca="1">IF(F216,IFERROR(((('Data Schema'!$C$3*(1+B216)^1)*((1-$I$4-$I$5+E216)*(1-$I$10)+$I$6-$I$11)-('Data Schema'!$C$3*(1+B216)^1-'Data Schema'!$C$3)*$I$12)/(1+C216)^1+(('Data Schema'!$C$3*(1+B216)^2)*((1-$I$4-$I$5+E216)*(1-$I$10)+$I$6-$I$11)-('Data Schema'!$C$3*(1+B216)^2-'Data Schema'!$C$3*(1+B216)^1)*$I$12)/(1+C216)^2+(('Data Schema'!$C$3*(1+B216)^3)*((1-$I$4-$I$5+E216)*(1-$I$10)+$I$6-$I$11)-('Data Schema'!$C$3*(1+B216)^3-'Data Schema'!$C$3*(1+B216)^2)*$I$12)/(1+C216)^3+(('Data Schema'!$C$3*(1+B216)^4)*((1-$I$4-$I$5+E216)*(1-$I$10)+$I$6-$I$11)-('Data Schema'!$C$3*(1+B216)^4-'Data Schema'!$C$3*(1+B216)^3)*$I$12)/(1+C216)^4+(('Data Schema'!$C$3*(1+B216)^5)*((1-$I$4-$I$5+E216)*(1-$I$10)+$I$6-$I$11)-('Data Schema'!$C$3*(1+B216)^5-'Data Schema'!$C$3*(1+B216)^4)*$I$12)/(1+C216)^5+((('Data Schema'!$C$3*(1+B216)^5)*((1-$I$4-$I$5+E216)*(1-$I$10)+$I$6-$I$11)-('Data Schema'!$C$3*(1+B216)^5-'Data Schema'!$C$3*(1+B216)^4)*$I$12)*(1+D216)/(C216-D216))/(1+C216)^5-'Data Schema'!$C$31+'Data Schema'!$C$21)/'Data Schema'!$B$17,0),"INVALID")</f>
        <v>79.036930540937718</v>
      </c>
      <c r="H216" s="189" t="b">
        <f t="shared" ca="1" si="17"/>
        <v>1</v>
      </c>
      <c r="I216" s="188">
        <f t="shared" ca="1" si="18"/>
        <v>79.036930540937718</v>
      </c>
      <c r="J216" s="349">
        <f t="shared" ca="1" si="12"/>
        <v>79.036930540937718</v>
      </c>
    </row>
    <row r="217" spans="1:10">
      <c r="A217" s="187">
        <v>38</v>
      </c>
      <c r="B217" s="190">
        <f t="shared" ca="1" si="19"/>
        <v>0.10372970039505813</v>
      </c>
      <c r="C217" s="190">
        <f t="shared" ca="1" si="13"/>
        <v>7.7537374500573547E-2</v>
      </c>
      <c r="D217" s="190">
        <f t="shared" ca="1" si="14"/>
        <v>2.7961079719354898E-2</v>
      </c>
      <c r="E217" s="190">
        <f t="shared" ca="1" si="15"/>
        <v>-1.9284797042440158E-2</v>
      </c>
      <c r="F217" s="189" t="b">
        <f t="shared" ca="1" si="16"/>
        <v>1</v>
      </c>
      <c r="G217" s="188">
        <f ca="1">IF(F217,IFERROR(((('Data Schema'!$C$3*(1+B217)^1)*((1-$I$4-$I$5+E217)*(1-$I$10)+$I$6-$I$11)-('Data Schema'!$C$3*(1+B217)^1-'Data Schema'!$C$3)*$I$12)/(1+C217)^1+(('Data Schema'!$C$3*(1+B217)^2)*((1-$I$4-$I$5+E217)*(1-$I$10)+$I$6-$I$11)-('Data Schema'!$C$3*(1+B217)^2-'Data Schema'!$C$3*(1+B217)^1)*$I$12)/(1+C217)^2+(('Data Schema'!$C$3*(1+B217)^3)*((1-$I$4-$I$5+E217)*(1-$I$10)+$I$6-$I$11)-('Data Schema'!$C$3*(1+B217)^3-'Data Schema'!$C$3*(1+B217)^2)*$I$12)/(1+C217)^3+(('Data Schema'!$C$3*(1+B217)^4)*((1-$I$4-$I$5+E217)*(1-$I$10)+$I$6-$I$11)-('Data Schema'!$C$3*(1+B217)^4-'Data Schema'!$C$3*(1+B217)^3)*$I$12)/(1+C217)^4+(('Data Schema'!$C$3*(1+B217)^5)*((1-$I$4-$I$5+E217)*(1-$I$10)+$I$6-$I$11)-('Data Schema'!$C$3*(1+B217)^5-'Data Schema'!$C$3*(1+B217)^4)*$I$12)/(1+C217)^5+((('Data Schema'!$C$3*(1+B217)^5)*((1-$I$4-$I$5+E217)*(1-$I$10)+$I$6-$I$11)-('Data Schema'!$C$3*(1+B217)^5-'Data Schema'!$C$3*(1+B217)^4)*$I$12)*(1+D217)/(C217-D217))/(1+C217)^5-'Data Schema'!$C$31+'Data Schema'!$C$21)/'Data Schema'!$B$17,0),"INVALID")</f>
        <v>20.85694325182061</v>
      </c>
      <c r="H217" s="189" t="b">
        <f t="shared" ca="1" si="17"/>
        <v>1</v>
      </c>
      <c r="I217" s="188">
        <f t="shared" ca="1" si="18"/>
        <v>20.85694325182061</v>
      </c>
      <c r="J217" s="349" t="str">
        <f t="shared" ca="1" si="12"/>
        <v/>
      </c>
    </row>
    <row r="218" spans="1:10">
      <c r="A218" s="191">
        <v>39</v>
      </c>
      <c r="B218" s="190">
        <f t="shared" ca="1" si="19"/>
        <v>0.13697545528043806</v>
      </c>
      <c r="C218" s="190">
        <f t="shared" ca="1" si="13"/>
        <v>5.4777973698764408E-2</v>
      </c>
      <c r="D218" s="190">
        <f t="shared" ca="1" si="14"/>
        <v>2.9449148331411601E-2</v>
      </c>
      <c r="E218" s="190">
        <f t="shared" ca="1" si="15"/>
        <v>-4.5765029668668692E-3</v>
      </c>
      <c r="F218" s="189" t="b">
        <f t="shared" ca="1" si="16"/>
        <v>1</v>
      </c>
      <c r="G218" s="188">
        <f ca="1">IF(F218,IFERROR(((('Data Schema'!$C$3*(1+B218)^1)*((1-$I$4-$I$5+E218)*(1-$I$10)+$I$6-$I$11)-('Data Schema'!$C$3*(1+B218)^1-'Data Schema'!$C$3)*$I$12)/(1+C218)^1+(('Data Schema'!$C$3*(1+B218)^2)*((1-$I$4-$I$5+E218)*(1-$I$10)+$I$6-$I$11)-('Data Schema'!$C$3*(1+B218)^2-'Data Schema'!$C$3*(1+B218)^1)*$I$12)/(1+C218)^2+(('Data Schema'!$C$3*(1+B218)^3)*((1-$I$4-$I$5+E218)*(1-$I$10)+$I$6-$I$11)-('Data Schema'!$C$3*(1+B218)^3-'Data Schema'!$C$3*(1+B218)^2)*$I$12)/(1+C218)^3+(('Data Schema'!$C$3*(1+B218)^4)*((1-$I$4-$I$5+E218)*(1-$I$10)+$I$6-$I$11)-('Data Schema'!$C$3*(1+B218)^4-'Data Schema'!$C$3*(1+B218)^3)*$I$12)/(1+C218)^4+(('Data Schema'!$C$3*(1+B218)^5)*((1-$I$4-$I$5+E218)*(1-$I$10)+$I$6-$I$11)-('Data Schema'!$C$3*(1+B218)^5-'Data Schema'!$C$3*(1+B218)^4)*$I$12)/(1+C218)^5+((('Data Schema'!$C$3*(1+B218)^5)*((1-$I$4-$I$5+E218)*(1-$I$10)+$I$6-$I$11)-('Data Schema'!$C$3*(1+B218)^5-'Data Schema'!$C$3*(1+B218)^4)*$I$12)*(1+D218)/(C218-D218))/(1+C218)^5-'Data Schema'!$C$31+'Data Schema'!$C$21)/'Data Schema'!$B$17,0),"INVALID")</f>
        <v>117.52985049972422</v>
      </c>
      <c r="H218" s="189" t="b">
        <f t="shared" ca="1" si="17"/>
        <v>1</v>
      </c>
      <c r="I218" s="188">
        <f t="shared" ca="1" si="18"/>
        <v>117.52985049972422</v>
      </c>
      <c r="J218" s="349">
        <f t="shared" ca="1" si="12"/>
        <v>117.52985049972422</v>
      </c>
    </row>
    <row r="219" spans="1:10">
      <c r="A219" s="187">
        <v>40</v>
      </c>
      <c r="B219" s="190">
        <f t="shared" ca="1" si="19"/>
        <v>0.10730506132736028</v>
      </c>
      <c r="C219" s="190">
        <f t="shared" ca="1" si="13"/>
        <v>5.9932503895644661E-2</v>
      </c>
      <c r="D219" s="190">
        <f t="shared" ca="1" si="14"/>
        <v>1.8779495697668017E-2</v>
      </c>
      <c r="E219" s="190">
        <f t="shared" ca="1" si="15"/>
        <v>-5.7877919437523805E-3</v>
      </c>
      <c r="F219" s="189" t="b">
        <f t="shared" ca="1" si="16"/>
        <v>1</v>
      </c>
      <c r="G219" s="188">
        <f ca="1">IF(F219,IFERROR(((('Data Schema'!$C$3*(1+B219)^1)*((1-$I$4-$I$5+E219)*(1-$I$10)+$I$6-$I$11)-('Data Schema'!$C$3*(1+B219)^1-'Data Schema'!$C$3)*$I$12)/(1+C219)^1+(('Data Schema'!$C$3*(1+B219)^2)*((1-$I$4-$I$5+E219)*(1-$I$10)+$I$6-$I$11)-('Data Schema'!$C$3*(1+B219)^2-'Data Schema'!$C$3*(1+B219)^1)*$I$12)/(1+C219)^2+(('Data Schema'!$C$3*(1+B219)^3)*((1-$I$4-$I$5+E219)*(1-$I$10)+$I$6-$I$11)-('Data Schema'!$C$3*(1+B219)^3-'Data Schema'!$C$3*(1+B219)^2)*$I$12)/(1+C219)^3+(('Data Schema'!$C$3*(1+B219)^4)*((1-$I$4-$I$5+E219)*(1-$I$10)+$I$6-$I$11)-('Data Schema'!$C$3*(1+B219)^4-'Data Schema'!$C$3*(1+B219)^3)*$I$12)/(1+C219)^4+(('Data Schema'!$C$3*(1+B219)^5)*((1-$I$4-$I$5+E219)*(1-$I$10)+$I$6-$I$11)-('Data Schema'!$C$3*(1+B219)^5-'Data Schema'!$C$3*(1+B219)^4)*$I$12)/(1+C219)^5+((('Data Schema'!$C$3*(1+B219)^5)*((1-$I$4-$I$5+E219)*(1-$I$10)+$I$6-$I$11)-('Data Schema'!$C$3*(1+B219)^5-'Data Schema'!$C$3*(1+B219)^4)*$I$12)*(1+D219)/(C219-D219))/(1+C219)^5-'Data Schema'!$C$31+'Data Schema'!$C$21)/'Data Schema'!$B$17,0),"INVALID")</f>
        <v>61.053388164291682</v>
      </c>
      <c r="H219" s="189" t="b">
        <f t="shared" ca="1" si="17"/>
        <v>1</v>
      </c>
      <c r="I219" s="188">
        <f t="shared" ca="1" si="18"/>
        <v>61.053388164291682</v>
      </c>
      <c r="J219" s="349">
        <f t="shared" ca="1" si="12"/>
        <v>61.053388164291682</v>
      </c>
    </row>
    <row r="220" spans="1:10">
      <c r="A220" s="191">
        <v>41</v>
      </c>
      <c r="B220" s="190">
        <f t="shared" ca="1" si="19"/>
        <v>0.1115907880642904</v>
      </c>
      <c r="C220" s="190">
        <f t="shared" ca="1" si="13"/>
        <v>5.9260144645591387E-2</v>
      </c>
      <c r="D220" s="190">
        <f t="shared" ca="1" si="14"/>
        <v>2.7742468032532303E-2</v>
      </c>
      <c r="E220" s="190">
        <f t="shared" ca="1" si="15"/>
        <v>4.9520976248482972E-2</v>
      </c>
      <c r="F220" s="189" t="b">
        <f t="shared" ca="1" si="16"/>
        <v>1</v>
      </c>
      <c r="G220" s="188">
        <f ca="1">IF(F220,IFERROR(((('Data Schema'!$C$3*(1+B220)^1)*((1-$I$4-$I$5+E220)*(1-$I$10)+$I$6-$I$11)-('Data Schema'!$C$3*(1+B220)^1-'Data Schema'!$C$3)*$I$12)/(1+C220)^1+(('Data Schema'!$C$3*(1+B220)^2)*((1-$I$4-$I$5+E220)*(1-$I$10)+$I$6-$I$11)-('Data Schema'!$C$3*(1+B220)^2-'Data Schema'!$C$3*(1+B220)^1)*$I$12)/(1+C220)^2+(('Data Schema'!$C$3*(1+B220)^3)*((1-$I$4-$I$5+E220)*(1-$I$10)+$I$6-$I$11)-('Data Schema'!$C$3*(1+B220)^3-'Data Schema'!$C$3*(1+B220)^2)*$I$12)/(1+C220)^3+(('Data Schema'!$C$3*(1+B220)^4)*((1-$I$4-$I$5+E220)*(1-$I$10)+$I$6-$I$11)-('Data Schema'!$C$3*(1+B220)^4-'Data Schema'!$C$3*(1+B220)^3)*$I$12)/(1+C220)^4+(('Data Schema'!$C$3*(1+B220)^5)*((1-$I$4-$I$5+E220)*(1-$I$10)+$I$6-$I$11)-('Data Schema'!$C$3*(1+B220)^5-'Data Schema'!$C$3*(1+B220)^4)*$I$12)/(1+C220)^5+((('Data Schema'!$C$3*(1+B220)^5)*((1-$I$4-$I$5+E220)*(1-$I$10)+$I$6-$I$11)-('Data Schema'!$C$3*(1+B220)^5-'Data Schema'!$C$3*(1+B220)^4)*$I$12)*(1+D220)/(C220-D220))/(1+C220)^5-'Data Schema'!$C$31+'Data Schema'!$C$21)/'Data Schema'!$B$17,0),"INVALID")</f>
        <v>255.24503276393477</v>
      </c>
      <c r="H220" s="189" t="b">
        <f t="shared" ca="1" si="17"/>
        <v>1</v>
      </c>
      <c r="I220" s="188">
        <f t="shared" ca="1" si="18"/>
        <v>255.24503276393477</v>
      </c>
      <c r="J220" s="349" t="str">
        <f t="shared" ca="1" si="12"/>
        <v/>
      </c>
    </row>
    <row r="221" spans="1:10">
      <c r="A221" s="187">
        <v>42</v>
      </c>
      <c r="B221" s="190">
        <f t="shared" ca="1" si="19"/>
        <v>0.12971281348317829</v>
      </c>
      <c r="C221" s="190">
        <f t="shared" ca="1" si="13"/>
        <v>5.3388499956872788E-2</v>
      </c>
      <c r="D221" s="190">
        <f t="shared" ca="1" si="14"/>
        <v>2.8999918923905951E-2</v>
      </c>
      <c r="E221" s="190">
        <f t="shared" ca="1" si="15"/>
        <v>-3.2747782163503526E-2</v>
      </c>
      <c r="F221" s="189" t="b">
        <f t="shared" ca="1" si="16"/>
        <v>1</v>
      </c>
      <c r="G221" s="188">
        <f ca="1">IF(F221,IFERROR(((('Data Schema'!$C$3*(1+B221)^1)*((1-$I$4-$I$5+E221)*(1-$I$10)+$I$6-$I$11)-('Data Schema'!$C$3*(1+B221)^1-'Data Schema'!$C$3)*$I$12)/(1+C221)^1+(('Data Schema'!$C$3*(1+B221)^2)*((1-$I$4-$I$5+E221)*(1-$I$10)+$I$6-$I$11)-('Data Schema'!$C$3*(1+B221)^2-'Data Schema'!$C$3*(1+B221)^1)*$I$12)/(1+C221)^2+(('Data Schema'!$C$3*(1+B221)^3)*((1-$I$4-$I$5+E221)*(1-$I$10)+$I$6-$I$11)-('Data Schema'!$C$3*(1+B221)^3-'Data Schema'!$C$3*(1+B221)^2)*$I$12)/(1+C221)^3+(('Data Schema'!$C$3*(1+B221)^4)*((1-$I$4-$I$5+E221)*(1-$I$10)+$I$6-$I$11)-('Data Schema'!$C$3*(1+B221)^4-'Data Schema'!$C$3*(1+B221)^3)*$I$12)/(1+C221)^4+(('Data Schema'!$C$3*(1+B221)^5)*((1-$I$4-$I$5+E221)*(1-$I$10)+$I$6-$I$11)-('Data Schema'!$C$3*(1+B221)^5-'Data Schema'!$C$3*(1+B221)^4)*$I$12)/(1+C221)^5+((('Data Schema'!$C$3*(1+B221)^5)*((1-$I$4-$I$5+E221)*(1-$I$10)+$I$6-$I$11)-('Data Schema'!$C$3*(1+B221)^5-'Data Schema'!$C$3*(1+B221)^4)*$I$12)*(1+D221)/(C221-D221))/(1+C221)^5-'Data Schema'!$C$31+'Data Schema'!$C$21)/'Data Schema'!$B$17,0),"INVALID")</f>
        <v>-4.7201045717920627</v>
      </c>
      <c r="H221" s="189" t="b">
        <f t="shared" ca="1" si="17"/>
        <v>0</v>
      </c>
      <c r="I221" s="188" t="str">
        <f t="shared" ca="1" si="18"/>
        <v/>
      </c>
      <c r="J221" s="349" t="str">
        <f t="shared" ca="1" si="12"/>
        <v/>
      </c>
    </row>
    <row r="222" spans="1:10">
      <c r="A222" s="191">
        <v>43</v>
      </c>
      <c r="B222" s="190">
        <f t="shared" ca="1" si="19"/>
        <v>0.10878810416970704</v>
      </c>
      <c r="C222" s="190">
        <f t="shared" ca="1" si="13"/>
        <v>5.7209786681211953E-2</v>
      </c>
      <c r="D222" s="190">
        <f t="shared" ca="1" si="14"/>
        <v>2.634932851517063E-2</v>
      </c>
      <c r="E222" s="190">
        <f t="shared" ca="1" si="15"/>
        <v>-3.0503743524848661E-2</v>
      </c>
      <c r="F222" s="189" t="b">
        <f t="shared" ca="1" si="16"/>
        <v>1</v>
      </c>
      <c r="G222" s="188">
        <f ca="1">IF(F222,IFERROR(((('Data Schema'!$C$3*(1+B222)^1)*((1-$I$4-$I$5+E222)*(1-$I$10)+$I$6-$I$11)-('Data Schema'!$C$3*(1+B222)^1-'Data Schema'!$C$3)*$I$12)/(1+C222)^1+(('Data Schema'!$C$3*(1+B222)^2)*((1-$I$4-$I$5+E222)*(1-$I$10)+$I$6-$I$11)-('Data Schema'!$C$3*(1+B222)^2-'Data Schema'!$C$3*(1+B222)^1)*$I$12)/(1+C222)^2+(('Data Schema'!$C$3*(1+B222)^3)*((1-$I$4-$I$5+E222)*(1-$I$10)+$I$6-$I$11)-('Data Schema'!$C$3*(1+B222)^3-'Data Schema'!$C$3*(1+B222)^2)*$I$12)/(1+C222)^3+(('Data Schema'!$C$3*(1+B222)^4)*((1-$I$4-$I$5+E222)*(1-$I$10)+$I$6-$I$11)-('Data Schema'!$C$3*(1+B222)^4-'Data Schema'!$C$3*(1+B222)^3)*$I$12)/(1+C222)^4+(('Data Schema'!$C$3*(1+B222)^5)*((1-$I$4-$I$5+E222)*(1-$I$10)+$I$6-$I$11)-('Data Schema'!$C$3*(1+B222)^5-'Data Schema'!$C$3*(1+B222)^4)*$I$12)/(1+C222)^5+((('Data Schema'!$C$3*(1+B222)^5)*((1-$I$4-$I$5+E222)*(1-$I$10)+$I$6-$I$11)-('Data Schema'!$C$3*(1+B222)^5-'Data Schema'!$C$3*(1+B222)^4)*$I$12)*(1+D222)/(C222-D222))/(1+C222)^5-'Data Schema'!$C$31+'Data Schema'!$C$21)/'Data Schema'!$B$17,0),"INVALID")</f>
        <v>3.2532989584449199</v>
      </c>
      <c r="H222" s="189" t="b">
        <f t="shared" ca="1" si="17"/>
        <v>0</v>
      </c>
      <c r="I222" s="188" t="str">
        <f t="shared" ca="1" si="18"/>
        <v/>
      </c>
      <c r="J222" s="349" t="str">
        <f t="shared" ca="1" si="12"/>
        <v/>
      </c>
    </row>
    <row r="223" spans="1:10">
      <c r="A223" s="187">
        <v>44</v>
      </c>
      <c r="B223" s="190">
        <f t="shared" ca="1" si="19"/>
        <v>0.1129026297761653</v>
      </c>
      <c r="C223" s="190">
        <f t="shared" ca="1" si="13"/>
        <v>7.502855383541672E-2</v>
      </c>
      <c r="D223" s="190">
        <f t="shared" ca="1" si="14"/>
        <v>1.335427622117885E-2</v>
      </c>
      <c r="E223" s="190">
        <f t="shared" ca="1" si="15"/>
        <v>-8.8751511065866661E-3</v>
      </c>
      <c r="F223" s="189" t="b">
        <f t="shared" ca="1" si="16"/>
        <v>1</v>
      </c>
      <c r="G223" s="188">
        <f ca="1">IF(F223,IFERROR(((('Data Schema'!$C$3*(1+B223)^1)*((1-$I$4-$I$5+E223)*(1-$I$10)+$I$6-$I$11)-('Data Schema'!$C$3*(1+B223)^1-'Data Schema'!$C$3)*$I$12)/(1+C223)^1+(('Data Schema'!$C$3*(1+B223)^2)*((1-$I$4-$I$5+E223)*(1-$I$10)+$I$6-$I$11)-('Data Schema'!$C$3*(1+B223)^2-'Data Schema'!$C$3*(1+B223)^1)*$I$12)/(1+C223)^2+(('Data Schema'!$C$3*(1+B223)^3)*((1-$I$4-$I$5+E223)*(1-$I$10)+$I$6-$I$11)-('Data Schema'!$C$3*(1+B223)^3-'Data Schema'!$C$3*(1+B223)^2)*$I$12)/(1+C223)^3+(('Data Schema'!$C$3*(1+B223)^4)*((1-$I$4-$I$5+E223)*(1-$I$10)+$I$6-$I$11)-('Data Schema'!$C$3*(1+B223)^4-'Data Schema'!$C$3*(1+B223)^3)*$I$12)/(1+C223)^4+(('Data Schema'!$C$3*(1+B223)^5)*((1-$I$4-$I$5+E223)*(1-$I$10)+$I$6-$I$11)-('Data Schema'!$C$3*(1+B223)^5-'Data Schema'!$C$3*(1+B223)^4)*$I$12)/(1+C223)^5+((('Data Schema'!$C$3*(1+B223)^5)*((1-$I$4-$I$5+E223)*(1-$I$10)+$I$6-$I$11)-('Data Schema'!$C$3*(1+B223)^5-'Data Schema'!$C$3*(1+B223)^4)*$I$12)*(1+D223)/(C223-D223))/(1+C223)^5-'Data Schema'!$C$31+'Data Schema'!$C$21)/'Data Schema'!$B$17,0),"INVALID")</f>
        <v>34.382706385664839</v>
      </c>
      <c r="H223" s="189" t="b">
        <f t="shared" ca="1" si="17"/>
        <v>1</v>
      </c>
      <c r="I223" s="188">
        <f t="shared" ca="1" si="18"/>
        <v>34.382706385664839</v>
      </c>
      <c r="J223" s="349">
        <f t="shared" ca="1" si="12"/>
        <v>34.382706385664839</v>
      </c>
    </row>
    <row r="224" spans="1:10">
      <c r="A224" s="191">
        <v>45</v>
      </c>
      <c r="B224" s="190">
        <f t="shared" ca="1" si="19"/>
        <v>9.8158719644138526E-2</v>
      </c>
      <c r="C224" s="190">
        <f t="shared" ca="1" si="13"/>
        <v>6.7479181980540218E-2</v>
      </c>
      <c r="D224" s="190">
        <f t="shared" ca="1" si="14"/>
        <v>2.4994584898225643E-2</v>
      </c>
      <c r="E224" s="190">
        <f t="shared" ca="1" si="15"/>
        <v>7.7572833033745323E-3</v>
      </c>
      <c r="F224" s="189" t="b">
        <f t="shared" ca="1" si="16"/>
        <v>1</v>
      </c>
      <c r="G224" s="188">
        <f ca="1">IF(F224,IFERROR(((('Data Schema'!$C$3*(1+B224)^1)*((1-$I$4-$I$5+E224)*(1-$I$10)+$I$6-$I$11)-('Data Schema'!$C$3*(1+B224)^1-'Data Schema'!$C$3)*$I$12)/(1+C224)^1+(('Data Schema'!$C$3*(1+B224)^2)*((1-$I$4-$I$5+E224)*(1-$I$10)+$I$6-$I$11)-('Data Schema'!$C$3*(1+B224)^2-'Data Schema'!$C$3*(1+B224)^1)*$I$12)/(1+C224)^2+(('Data Schema'!$C$3*(1+B224)^3)*((1-$I$4-$I$5+E224)*(1-$I$10)+$I$6-$I$11)-('Data Schema'!$C$3*(1+B224)^3-'Data Schema'!$C$3*(1+B224)^2)*$I$12)/(1+C224)^3+(('Data Schema'!$C$3*(1+B224)^4)*((1-$I$4-$I$5+E224)*(1-$I$10)+$I$6-$I$11)-('Data Schema'!$C$3*(1+B224)^4-'Data Schema'!$C$3*(1+B224)^3)*$I$12)/(1+C224)^4+(('Data Schema'!$C$3*(1+B224)^5)*((1-$I$4-$I$5+E224)*(1-$I$10)+$I$6-$I$11)-('Data Schema'!$C$3*(1+B224)^5-'Data Schema'!$C$3*(1+B224)^4)*$I$12)/(1+C224)^5+((('Data Schema'!$C$3*(1+B224)^5)*((1-$I$4-$I$5+E224)*(1-$I$10)+$I$6-$I$11)-('Data Schema'!$C$3*(1+B224)^5-'Data Schema'!$C$3*(1+B224)^4)*$I$12)*(1+D224)/(C224-D224))/(1+C224)^5-'Data Schema'!$C$31+'Data Schema'!$C$21)/'Data Schema'!$B$17,0),"INVALID")</f>
        <v>85.42609914185536</v>
      </c>
      <c r="H224" s="189" t="b">
        <f t="shared" ca="1" si="17"/>
        <v>1</v>
      </c>
      <c r="I224" s="188">
        <f t="shared" ca="1" si="18"/>
        <v>85.42609914185536</v>
      </c>
      <c r="J224" s="349">
        <f t="shared" ca="1" si="12"/>
        <v>85.42609914185536</v>
      </c>
    </row>
    <row r="225" spans="1:10">
      <c r="A225" s="187">
        <v>46</v>
      </c>
      <c r="B225" s="190">
        <f t="shared" ca="1" si="19"/>
        <v>0.10677997548607189</v>
      </c>
      <c r="C225" s="190">
        <f t="shared" ca="1" si="13"/>
        <v>5.1856048843784086E-2</v>
      </c>
      <c r="D225" s="190">
        <f t="shared" ca="1" si="14"/>
        <v>3.6945065162770845E-2</v>
      </c>
      <c r="E225" s="190">
        <f t="shared" ca="1" si="15"/>
        <v>3.0544534881539144E-3</v>
      </c>
      <c r="F225" s="189" t="b">
        <f t="shared" ca="1" si="16"/>
        <v>0</v>
      </c>
      <c r="G225" s="188" t="str">
        <f ca="1">IF(F225,IFERROR(((('Data Schema'!$C$3*(1+B225)^1)*((1-$I$4-$I$5+E225)*(1-$I$10)+$I$6-$I$11)-('Data Schema'!$C$3*(1+B225)^1-'Data Schema'!$C$3)*$I$12)/(1+C225)^1+(('Data Schema'!$C$3*(1+B225)^2)*((1-$I$4-$I$5+E225)*(1-$I$10)+$I$6-$I$11)-('Data Schema'!$C$3*(1+B225)^2-'Data Schema'!$C$3*(1+B225)^1)*$I$12)/(1+C225)^2+(('Data Schema'!$C$3*(1+B225)^3)*((1-$I$4-$I$5+E225)*(1-$I$10)+$I$6-$I$11)-('Data Schema'!$C$3*(1+B225)^3-'Data Schema'!$C$3*(1+B225)^2)*$I$12)/(1+C225)^3+(('Data Schema'!$C$3*(1+B225)^4)*((1-$I$4-$I$5+E225)*(1-$I$10)+$I$6-$I$11)-('Data Schema'!$C$3*(1+B225)^4-'Data Schema'!$C$3*(1+B225)^3)*$I$12)/(1+C225)^4+(('Data Schema'!$C$3*(1+B225)^5)*((1-$I$4-$I$5+E225)*(1-$I$10)+$I$6-$I$11)-('Data Schema'!$C$3*(1+B225)^5-'Data Schema'!$C$3*(1+B225)^4)*$I$12)/(1+C225)^5+((('Data Schema'!$C$3*(1+B225)^5)*((1-$I$4-$I$5+E225)*(1-$I$10)+$I$6-$I$11)-('Data Schema'!$C$3*(1+B225)^5-'Data Schema'!$C$3*(1+B225)^4)*$I$12)*(1+D225)/(C225-D225))/(1+C225)^5-'Data Schema'!$C$31+'Data Schema'!$C$21)/'Data Schema'!$B$17,0),"INVALID")</f>
        <v>INVALID</v>
      </c>
      <c r="H225" s="189" t="b">
        <f t="shared" ca="1" si="17"/>
        <v>0</v>
      </c>
      <c r="I225" s="188" t="str">
        <f t="shared" ca="1" si="18"/>
        <v/>
      </c>
      <c r="J225" s="349" t="str">
        <f t="shared" ca="1" si="12"/>
        <v/>
      </c>
    </row>
    <row r="226" spans="1:10">
      <c r="A226" s="191">
        <v>47</v>
      </c>
      <c r="B226" s="190">
        <f t="shared" ca="1" si="19"/>
        <v>6.7363276728281768E-2</v>
      </c>
      <c r="C226" s="190">
        <f t="shared" ca="1" si="13"/>
        <v>6.6017825598163743E-2</v>
      </c>
      <c r="D226" s="190">
        <f t="shared" ca="1" si="14"/>
        <v>2.5271344760996149E-2</v>
      </c>
      <c r="E226" s="190">
        <f t="shared" ca="1" si="15"/>
        <v>2.4583874548049726E-2</v>
      </c>
      <c r="F226" s="189" t="b">
        <f t="shared" ca="1" si="16"/>
        <v>1</v>
      </c>
      <c r="G226" s="188">
        <f ca="1">IF(F226,IFERROR(((('Data Schema'!$C$3*(1+B226)^1)*((1-$I$4-$I$5+E226)*(1-$I$10)+$I$6-$I$11)-('Data Schema'!$C$3*(1+B226)^1-'Data Schema'!$C$3)*$I$12)/(1+C226)^1+(('Data Schema'!$C$3*(1+B226)^2)*((1-$I$4-$I$5+E226)*(1-$I$10)+$I$6-$I$11)-('Data Schema'!$C$3*(1+B226)^2-'Data Schema'!$C$3*(1+B226)^1)*$I$12)/(1+C226)^2+(('Data Schema'!$C$3*(1+B226)^3)*((1-$I$4-$I$5+E226)*(1-$I$10)+$I$6-$I$11)-('Data Schema'!$C$3*(1+B226)^3-'Data Schema'!$C$3*(1+B226)^2)*$I$12)/(1+C226)^3+(('Data Schema'!$C$3*(1+B226)^4)*((1-$I$4-$I$5+E226)*(1-$I$10)+$I$6-$I$11)-('Data Schema'!$C$3*(1+B226)^4-'Data Schema'!$C$3*(1+B226)^3)*$I$12)/(1+C226)^4+(('Data Schema'!$C$3*(1+B226)^5)*((1-$I$4-$I$5+E226)*(1-$I$10)+$I$6-$I$11)-('Data Schema'!$C$3*(1+B226)^5-'Data Schema'!$C$3*(1+B226)^4)*$I$12)/(1+C226)^5+((('Data Schema'!$C$3*(1+B226)^5)*((1-$I$4-$I$5+E226)*(1-$I$10)+$I$6-$I$11)-('Data Schema'!$C$3*(1+B226)^5-'Data Schema'!$C$3*(1+B226)^4)*$I$12)*(1+D226)/(C226-D226))/(1+C226)^5-'Data Schema'!$C$31+'Data Schema'!$C$21)/'Data Schema'!$B$17,0),"INVALID")</f>
        <v>112.8020270339797</v>
      </c>
      <c r="H226" s="189" t="b">
        <f t="shared" ca="1" si="17"/>
        <v>1</v>
      </c>
      <c r="I226" s="188">
        <f t="shared" ca="1" si="18"/>
        <v>112.8020270339797</v>
      </c>
      <c r="J226" s="349">
        <f t="shared" ca="1" si="12"/>
        <v>112.8020270339797</v>
      </c>
    </row>
    <row r="227" spans="1:10">
      <c r="A227" s="187">
        <v>48</v>
      </c>
      <c r="B227" s="190">
        <f t="shared" ca="1" si="19"/>
        <v>8.6631302062107049E-2</v>
      </c>
      <c r="C227" s="190">
        <f t="shared" ca="1" si="13"/>
        <v>6.8626477851658013E-2</v>
      </c>
      <c r="D227" s="190">
        <f t="shared" ca="1" si="14"/>
        <v>1.9782213167211581E-2</v>
      </c>
      <c r="E227" s="190">
        <f t="shared" ca="1" si="15"/>
        <v>2.62814427075816E-3</v>
      </c>
      <c r="F227" s="189" t="b">
        <f t="shared" ca="1" si="16"/>
        <v>1</v>
      </c>
      <c r="G227" s="188">
        <f ca="1">IF(F227,IFERROR(((('Data Schema'!$C$3*(1+B227)^1)*((1-$I$4-$I$5+E227)*(1-$I$10)+$I$6-$I$11)-('Data Schema'!$C$3*(1+B227)^1-'Data Schema'!$C$3)*$I$12)/(1+C227)^1+(('Data Schema'!$C$3*(1+B227)^2)*((1-$I$4-$I$5+E227)*(1-$I$10)+$I$6-$I$11)-('Data Schema'!$C$3*(1+B227)^2-'Data Schema'!$C$3*(1+B227)^1)*$I$12)/(1+C227)^2+(('Data Schema'!$C$3*(1+B227)^3)*((1-$I$4-$I$5+E227)*(1-$I$10)+$I$6-$I$11)-('Data Schema'!$C$3*(1+B227)^3-'Data Schema'!$C$3*(1+B227)^2)*$I$12)/(1+C227)^3+(('Data Schema'!$C$3*(1+B227)^4)*((1-$I$4-$I$5+E227)*(1-$I$10)+$I$6-$I$11)-('Data Schema'!$C$3*(1+B227)^4-'Data Schema'!$C$3*(1+B227)^3)*$I$12)/(1+C227)^4+(('Data Schema'!$C$3*(1+B227)^5)*((1-$I$4-$I$5+E227)*(1-$I$10)+$I$6-$I$11)-('Data Schema'!$C$3*(1+B227)^5-'Data Schema'!$C$3*(1+B227)^4)*$I$12)/(1+C227)^5+((('Data Schema'!$C$3*(1+B227)^5)*((1-$I$4-$I$5+E227)*(1-$I$10)+$I$6-$I$11)-('Data Schema'!$C$3*(1+B227)^5-'Data Schema'!$C$3*(1+B227)^4)*$I$12)*(1+D227)/(C227-D227))/(1+C227)^5-'Data Schema'!$C$31+'Data Schema'!$C$21)/'Data Schema'!$B$17,0),"INVALID")</f>
        <v>61.633714397141027</v>
      </c>
      <c r="H227" s="189" t="b">
        <f t="shared" ca="1" si="17"/>
        <v>1</v>
      </c>
      <c r="I227" s="188">
        <f t="shared" ca="1" si="18"/>
        <v>61.633714397141027</v>
      </c>
      <c r="J227" s="349">
        <f t="shared" ca="1" si="12"/>
        <v>61.633714397141027</v>
      </c>
    </row>
    <row r="228" spans="1:10">
      <c r="A228" s="191">
        <v>49</v>
      </c>
      <c r="B228" s="190">
        <f t="shared" ca="1" si="19"/>
        <v>0.10564024453877364</v>
      </c>
      <c r="C228" s="190">
        <f t="shared" ca="1" si="13"/>
        <v>5.9523512834755189E-2</v>
      </c>
      <c r="D228" s="190">
        <f t="shared" ca="1" si="14"/>
        <v>3.0128583358421567E-2</v>
      </c>
      <c r="E228" s="190">
        <f t="shared" ca="1" si="15"/>
        <v>-1.0562845243858738E-2</v>
      </c>
      <c r="F228" s="189" t="b">
        <f t="shared" ca="1" si="16"/>
        <v>1</v>
      </c>
      <c r="G228" s="188">
        <f ca="1">IF(F228,IFERROR(((('Data Schema'!$C$3*(1+B228)^1)*((1-$I$4-$I$5+E228)*(1-$I$10)+$I$6-$I$11)-('Data Schema'!$C$3*(1+B228)^1-'Data Schema'!$C$3)*$I$12)/(1+C228)^1+(('Data Schema'!$C$3*(1+B228)^2)*((1-$I$4-$I$5+E228)*(1-$I$10)+$I$6-$I$11)-('Data Schema'!$C$3*(1+B228)^2-'Data Schema'!$C$3*(1+B228)^1)*$I$12)/(1+C228)^2+(('Data Schema'!$C$3*(1+B228)^3)*((1-$I$4-$I$5+E228)*(1-$I$10)+$I$6-$I$11)-('Data Schema'!$C$3*(1+B228)^3-'Data Schema'!$C$3*(1+B228)^2)*$I$12)/(1+C228)^3+(('Data Schema'!$C$3*(1+B228)^4)*((1-$I$4-$I$5+E228)*(1-$I$10)+$I$6-$I$11)-('Data Schema'!$C$3*(1+B228)^4-'Data Schema'!$C$3*(1+B228)^3)*$I$12)/(1+C228)^4+(('Data Schema'!$C$3*(1+B228)^5)*((1-$I$4-$I$5+E228)*(1-$I$10)+$I$6-$I$11)-('Data Schema'!$C$3*(1+B228)^5-'Data Schema'!$C$3*(1+B228)^4)*$I$12)/(1+C228)^5+((('Data Schema'!$C$3*(1+B228)^5)*((1-$I$4-$I$5+E228)*(1-$I$10)+$I$6-$I$11)-('Data Schema'!$C$3*(1+B228)^5-'Data Schema'!$C$3*(1+B228)^4)*$I$12)*(1+D228)/(C228-D228))/(1+C228)^5-'Data Schema'!$C$31+'Data Schema'!$C$21)/'Data Schema'!$B$17,0),"INVALID")</f>
        <v>68.931665487845166</v>
      </c>
      <c r="H228" s="189" t="b">
        <f t="shared" ca="1" si="17"/>
        <v>1</v>
      </c>
      <c r="I228" s="188">
        <f t="shared" ca="1" si="18"/>
        <v>68.931665487845166</v>
      </c>
      <c r="J228" s="349">
        <f t="shared" ca="1" si="12"/>
        <v>68.931665487845166</v>
      </c>
    </row>
    <row r="229" spans="1:10">
      <c r="A229" s="187">
        <v>50</v>
      </c>
      <c r="B229" s="190">
        <f t="shared" ca="1" si="19"/>
        <v>9.4820123892882371E-2</v>
      </c>
      <c r="C229" s="190">
        <f t="shared" ca="1" si="13"/>
        <v>3.683536394051129E-2</v>
      </c>
      <c r="D229" s="190">
        <f t="shared" ca="1" si="14"/>
        <v>2.7275802665263721E-2</v>
      </c>
      <c r="E229" s="190">
        <f t="shared" ca="1" si="15"/>
        <v>1.4953941052438561E-2</v>
      </c>
      <c r="F229" s="189" t="b">
        <f t="shared" ca="1" si="16"/>
        <v>0</v>
      </c>
      <c r="G229" s="188" t="str">
        <f ca="1">IF(F229,IFERROR(((('Data Schema'!$C$3*(1+B229)^1)*((1-$I$4-$I$5+E229)*(1-$I$10)+$I$6-$I$11)-('Data Schema'!$C$3*(1+B229)^1-'Data Schema'!$C$3)*$I$12)/(1+C229)^1+(('Data Schema'!$C$3*(1+B229)^2)*((1-$I$4-$I$5+E229)*(1-$I$10)+$I$6-$I$11)-('Data Schema'!$C$3*(1+B229)^2-'Data Schema'!$C$3*(1+B229)^1)*$I$12)/(1+C229)^2+(('Data Schema'!$C$3*(1+B229)^3)*((1-$I$4-$I$5+E229)*(1-$I$10)+$I$6-$I$11)-('Data Schema'!$C$3*(1+B229)^3-'Data Schema'!$C$3*(1+B229)^2)*$I$12)/(1+C229)^3+(('Data Schema'!$C$3*(1+B229)^4)*((1-$I$4-$I$5+E229)*(1-$I$10)+$I$6-$I$11)-('Data Schema'!$C$3*(1+B229)^4-'Data Schema'!$C$3*(1+B229)^3)*$I$12)/(1+C229)^4+(('Data Schema'!$C$3*(1+B229)^5)*((1-$I$4-$I$5+E229)*(1-$I$10)+$I$6-$I$11)-('Data Schema'!$C$3*(1+B229)^5-'Data Schema'!$C$3*(1+B229)^4)*$I$12)/(1+C229)^5+((('Data Schema'!$C$3*(1+B229)^5)*((1-$I$4-$I$5+E229)*(1-$I$10)+$I$6-$I$11)-('Data Schema'!$C$3*(1+B229)^5-'Data Schema'!$C$3*(1+B229)^4)*$I$12)*(1+D229)/(C229-D229))/(1+C229)^5-'Data Schema'!$C$31+'Data Schema'!$C$21)/'Data Schema'!$B$17,0),"INVALID")</f>
        <v>INVALID</v>
      </c>
      <c r="H229" s="189" t="b">
        <f t="shared" ca="1" si="17"/>
        <v>0</v>
      </c>
      <c r="I229" s="188" t="str">
        <f t="shared" ca="1" si="18"/>
        <v/>
      </c>
      <c r="J229" s="349" t="str">
        <f t="shared" ca="1" si="12"/>
        <v/>
      </c>
    </row>
    <row r="230" spans="1:10">
      <c r="A230" s="191">
        <v>51</v>
      </c>
      <c r="B230" s="190">
        <f t="shared" ca="1" si="19"/>
        <v>5.9401962317574365E-2</v>
      </c>
      <c r="C230" s="190">
        <f t="shared" ca="1" si="13"/>
        <v>5.3531604867139274E-2</v>
      </c>
      <c r="D230" s="190">
        <f t="shared" ca="1" si="14"/>
        <v>1.8176921700646987E-2</v>
      </c>
      <c r="E230" s="190">
        <f t="shared" ca="1" si="15"/>
        <v>8.0129114729899746E-3</v>
      </c>
      <c r="F230" s="189" t="b">
        <f t="shared" ca="1" si="16"/>
        <v>1</v>
      </c>
      <c r="G230" s="188">
        <f ca="1">IF(F230,IFERROR(((('Data Schema'!$C$3*(1+B230)^1)*((1-$I$4-$I$5+E230)*(1-$I$10)+$I$6-$I$11)-('Data Schema'!$C$3*(1+B230)^1-'Data Schema'!$C$3)*$I$12)/(1+C230)^1+(('Data Schema'!$C$3*(1+B230)^2)*((1-$I$4-$I$5+E230)*(1-$I$10)+$I$6-$I$11)-('Data Schema'!$C$3*(1+B230)^2-'Data Schema'!$C$3*(1+B230)^1)*$I$12)/(1+C230)^2+(('Data Schema'!$C$3*(1+B230)^3)*((1-$I$4-$I$5+E230)*(1-$I$10)+$I$6-$I$11)-('Data Schema'!$C$3*(1+B230)^3-'Data Schema'!$C$3*(1+B230)^2)*$I$12)/(1+C230)^3+(('Data Schema'!$C$3*(1+B230)^4)*((1-$I$4-$I$5+E230)*(1-$I$10)+$I$6-$I$11)-('Data Schema'!$C$3*(1+B230)^4-'Data Schema'!$C$3*(1+B230)^3)*$I$12)/(1+C230)^4+(('Data Schema'!$C$3*(1+B230)^5)*((1-$I$4-$I$5+E230)*(1-$I$10)+$I$6-$I$11)-('Data Schema'!$C$3*(1+B230)^5-'Data Schema'!$C$3*(1+B230)^4)*$I$12)/(1+C230)^5+((('Data Schema'!$C$3*(1+B230)^5)*((1-$I$4-$I$5+E230)*(1-$I$10)+$I$6-$I$11)-('Data Schema'!$C$3*(1+B230)^5-'Data Schema'!$C$3*(1+B230)^4)*$I$12)*(1+D230)/(C230-D230))/(1+C230)^5-'Data Schema'!$C$31+'Data Schema'!$C$21)/'Data Schema'!$B$17,0),"INVALID")</f>
        <v>92.09959496424311</v>
      </c>
      <c r="H230" s="189" t="b">
        <f t="shared" ca="1" si="17"/>
        <v>1</v>
      </c>
      <c r="I230" s="188">
        <f t="shared" ca="1" si="18"/>
        <v>92.09959496424311</v>
      </c>
      <c r="J230" s="349">
        <f t="shared" ca="1" si="12"/>
        <v>92.09959496424311</v>
      </c>
    </row>
    <row r="231" spans="1:10">
      <c r="A231" s="187">
        <v>52</v>
      </c>
      <c r="B231" s="190">
        <f t="shared" ca="1" si="19"/>
        <v>0.1064157404126231</v>
      </c>
      <c r="C231" s="190">
        <f t="shared" ca="1" si="13"/>
        <v>7.120330236307032E-2</v>
      </c>
      <c r="D231" s="190">
        <f t="shared" ca="1" si="14"/>
        <v>2.8474888635089977E-2</v>
      </c>
      <c r="E231" s="190">
        <f t="shared" ca="1" si="15"/>
        <v>1.1761766136575714E-2</v>
      </c>
      <c r="F231" s="189" t="b">
        <f t="shared" ca="1" si="16"/>
        <v>1</v>
      </c>
      <c r="G231" s="188">
        <f ca="1">IF(F231,IFERROR(((('Data Schema'!$C$3*(1+B231)^1)*((1-$I$4-$I$5+E231)*(1-$I$10)+$I$6-$I$11)-('Data Schema'!$C$3*(1+B231)^1-'Data Schema'!$C$3)*$I$12)/(1+C231)^1+(('Data Schema'!$C$3*(1+B231)^2)*((1-$I$4-$I$5+E231)*(1-$I$10)+$I$6-$I$11)-('Data Schema'!$C$3*(1+B231)^2-'Data Schema'!$C$3*(1+B231)^1)*$I$12)/(1+C231)^2+(('Data Schema'!$C$3*(1+B231)^3)*((1-$I$4-$I$5+E231)*(1-$I$10)+$I$6-$I$11)-('Data Schema'!$C$3*(1+B231)^3-'Data Schema'!$C$3*(1+B231)^2)*$I$12)/(1+C231)^3+(('Data Schema'!$C$3*(1+B231)^4)*((1-$I$4-$I$5+E231)*(1-$I$10)+$I$6-$I$11)-('Data Schema'!$C$3*(1+B231)^4-'Data Schema'!$C$3*(1+B231)^3)*$I$12)/(1+C231)^4+(('Data Schema'!$C$3*(1+B231)^5)*((1-$I$4-$I$5+E231)*(1-$I$10)+$I$6-$I$11)-('Data Schema'!$C$3*(1+B231)^5-'Data Schema'!$C$3*(1+B231)^4)*$I$12)/(1+C231)^5+((('Data Schema'!$C$3*(1+B231)^5)*((1-$I$4-$I$5+E231)*(1-$I$10)+$I$6-$I$11)-('Data Schema'!$C$3*(1+B231)^5-'Data Schema'!$C$3*(1+B231)^4)*$I$12)*(1+D231)/(C231-D231))/(1+C231)^5-'Data Schema'!$C$31+'Data Schema'!$C$21)/'Data Schema'!$B$17,0),"INVALID")</f>
        <v>95.613029556458855</v>
      </c>
      <c r="H231" s="189" t="b">
        <f t="shared" ca="1" si="17"/>
        <v>1</v>
      </c>
      <c r="I231" s="188">
        <f t="shared" ca="1" si="18"/>
        <v>95.613029556458855</v>
      </c>
      <c r="J231" s="349">
        <f t="shared" ca="1" si="12"/>
        <v>95.613029556458855</v>
      </c>
    </row>
    <row r="232" spans="1:10">
      <c r="A232" s="191">
        <v>53</v>
      </c>
      <c r="B232" s="190">
        <f t="shared" ca="1" si="19"/>
        <v>8.9406528270262464E-2</v>
      </c>
      <c r="C232" s="190">
        <f t="shared" ca="1" si="13"/>
        <v>5.7302039104439553E-2</v>
      </c>
      <c r="D232" s="190">
        <f t="shared" ca="1" si="14"/>
        <v>2.4752005223531569E-2</v>
      </c>
      <c r="E232" s="190">
        <f t="shared" ca="1" si="15"/>
        <v>-4.3738357531000298E-2</v>
      </c>
      <c r="F232" s="189" t="b">
        <f t="shared" ca="1" si="16"/>
        <v>1</v>
      </c>
      <c r="G232" s="188">
        <f ca="1">IF(F232,IFERROR(((('Data Schema'!$C$3*(1+B232)^1)*((1-$I$4-$I$5+E232)*(1-$I$10)+$I$6-$I$11)-('Data Schema'!$C$3*(1+B232)^1-'Data Schema'!$C$3)*$I$12)/(1+C232)^1+(('Data Schema'!$C$3*(1+B232)^2)*((1-$I$4-$I$5+E232)*(1-$I$10)+$I$6-$I$11)-('Data Schema'!$C$3*(1+B232)^2-'Data Schema'!$C$3*(1+B232)^1)*$I$12)/(1+C232)^2+(('Data Schema'!$C$3*(1+B232)^3)*((1-$I$4-$I$5+E232)*(1-$I$10)+$I$6-$I$11)-('Data Schema'!$C$3*(1+B232)^3-'Data Schema'!$C$3*(1+B232)^2)*$I$12)/(1+C232)^3+(('Data Schema'!$C$3*(1+B232)^4)*((1-$I$4-$I$5+E232)*(1-$I$10)+$I$6-$I$11)-('Data Schema'!$C$3*(1+B232)^4-'Data Schema'!$C$3*(1+B232)^3)*$I$12)/(1+C232)^4+(('Data Schema'!$C$3*(1+B232)^5)*((1-$I$4-$I$5+E232)*(1-$I$10)+$I$6-$I$11)-('Data Schema'!$C$3*(1+B232)^5-'Data Schema'!$C$3*(1+B232)^4)*$I$12)/(1+C232)^5+((('Data Schema'!$C$3*(1+B232)^5)*((1-$I$4-$I$5+E232)*(1-$I$10)+$I$6-$I$11)-('Data Schema'!$C$3*(1+B232)^5-'Data Schema'!$C$3*(1+B232)^4)*$I$12)*(1+D232)/(C232-D232))/(1+C232)^5-'Data Schema'!$C$31+'Data Schema'!$C$21)/'Data Schema'!$B$17,0),"INVALID")</f>
        <v>-33.914998553934559</v>
      </c>
      <c r="H232" s="189" t="b">
        <f t="shared" ca="1" si="17"/>
        <v>0</v>
      </c>
      <c r="I232" s="188" t="str">
        <f t="shared" ca="1" si="18"/>
        <v/>
      </c>
      <c r="J232" s="349" t="str">
        <f t="shared" ca="1" si="12"/>
        <v/>
      </c>
    </row>
    <row r="233" spans="1:10">
      <c r="A233" s="187">
        <v>54</v>
      </c>
      <c r="B233" s="190">
        <f t="shared" ca="1" si="19"/>
        <v>7.3147685995015116E-2</v>
      </c>
      <c r="C233" s="190">
        <f t="shared" ca="1" si="13"/>
        <v>4.9475212669724128E-2</v>
      </c>
      <c r="D233" s="190">
        <f t="shared" ca="1" si="14"/>
        <v>2.3091887945076234E-2</v>
      </c>
      <c r="E233" s="190">
        <f t="shared" ca="1" si="15"/>
        <v>-5.5641067511261457E-3</v>
      </c>
      <c r="F233" s="189" t="b">
        <f t="shared" ca="1" si="16"/>
        <v>1</v>
      </c>
      <c r="G233" s="188">
        <f ca="1">IF(F233,IFERROR(((('Data Schema'!$C$3*(1+B233)^1)*((1-$I$4-$I$5+E233)*(1-$I$10)+$I$6-$I$11)-('Data Schema'!$C$3*(1+B233)^1-'Data Schema'!$C$3)*$I$12)/(1+C233)^1+(('Data Schema'!$C$3*(1+B233)^2)*((1-$I$4-$I$5+E233)*(1-$I$10)+$I$6-$I$11)-('Data Schema'!$C$3*(1+B233)^2-'Data Schema'!$C$3*(1+B233)^1)*$I$12)/(1+C233)^2+(('Data Schema'!$C$3*(1+B233)^3)*((1-$I$4-$I$5+E233)*(1-$I$10)+$I$6-$I$11)-('Data Schema'!$C$3*(1+B233)^3-'Data Schema'!$C$3*(1+B233)^2)*$I$12)/(1+C233)^3+(('Data Schema'!$C$3*(1+B233)^4)*((1-$I$4-$I$5+E233)*(1-$I$10)+$I$6-$I$11)-('Data Schema'!$C$3*(1+B233)^4-'Data Schema'!$C$3*(1+B233)^3)*$I$12)/(1+C233)^4+(('Data Schema'!$C$3*(1+B233)^5)*((1-$I$4-$I$5+E233)*(1-$I$10)+$I$6-$I$11)-('Data Schema'!$C$3*(1+B233)^5-'Data Schema'!$C$3*(1+B233)^4)*$I$12)/(1+C233)^5+((('Data Schema'!$C$3*(1+B233)^5)*((1-$I$4-$I$5+E233)*(1-$I$10)+$I$6-$I$11)-('Data Schema'!$C$3*(1+B233)^5-'Data Schema'!$C$3*(1+B233)^4)*$I$12)*(1+D233)/(C233-D233))/(1+C233)^5-'Data Schema'!$C$31+'Data Schema'!$C$21)/'Data Schema'!$B$17,0),"INVALID")</f>
        <v>86.985904279332942</v>
      </c>
      <c r="H233" s="189" t="b">
        <f t="shared" ca="1" si="17"/>
        <v>1</v>
      </c>
      <c r="I233" s="188">
        <f t="shared" ca="1" si="18"/>
        <v>86.985904279332942</v>
      </c>
      <c r="J233" s="349">
        <f t="shared" ca="1" si="12"/>
        <v>86.985904279332942</v>
      </c>
    </row>
    <row r="234" spans="1:10">
      <c r="A234" s="191">
        <v>55</v>
      </c>
      <c r="B234" s="190">
        <f t="shared" ca="1" si="19"/>
        <v>8.248786670351331E-2</v>
      </c>
      <c r="C234" s="190">
        <f t="shared" ca="1" si="13"/>
        <v>6.7698057550878418E-2</v>
      </c>
      <c r="D234" s="190">
        <f t="shared" ca="1" si="14"/>
        <v>2.033262366045703E-2</v>
      </c>
      <c r="E234" s="190">
        <f t="shared" ca="1" si="15"/>
        <v>2.4225897991338827E-2</v>
      </c>
      <c r="F234" s="189" t="b">
        <f t="shared" ca="1" si="16"/>
        <v>1</v>
      </c>
      <c r="G234" s="188">
        <f ca="1">IF(F234,IFERROR(((('Data Schema'!$C$3*(1+B234)^1)*((1-$I$4-$I$5+E234)*(1-$I$10)+$I$6-$I$11)-('Data Schema'!$C$3*(1+B234)^1-'Data Schema'!$C$3)*$I$12)/(1+C234)^1+(('Data Schema'!$C$3*(1+B234)^2)*((1-$I$4-$I$5+E234)*(1-$I$10)+$I$6-$I$11)-('Data Schema'!$C$3*(1+B234)^2-'Data Schema'!$C$3*(1+B234)^1)*$I$12)/(1+C234)^2+(('Data Schema'!$C$3*(1+B234)^3)*((1-$I$4-$I$5+E234)*(1-$I$10)+$I$6-$I$11)-('Data Schema'!$C$3*(1+B234)^3-'Data Schema'!$C$3*(1+B234)^2)*$I$12)/(1+C234)^3+(('Data Schema'!$C$3*(1+B234)^4)*((1-$I$4-$I$5+E234)*(1-$I$10)+$I$6-$I$11)-('Data Schema'!$C$3*(1+B234)^4-'Data Schema'!$C$3*(1+B234)^3)*$I$12)/(1+C234)^4+(('Data Schema'!$C$3*(1+B234)^5)*((1-$I$4-$I$5+E234)*(1-$I$10)+$I$6-$I$11)-('Data Schema'!$C$3*(1+B234)^5-'Data Schema'!$C$3*(1+B234)^4)*$I$12)/(1+C234)^5+((('Data Schema'!$C$3*(1+B234)^5)*((1-$I$4-$I$5+E234)*(1-$I$10)+$I$6-$I$11)-('Data Schema'!$C$3*(1+B234)^5-'Data Schema'!$C$3*(1+B234)^4)*$I$12)*(1+D234)/(C234-D234))/(1+C234)^5-'Data Schema'!$C$31+'Data Schema'!$C$21)/'Data Schema'!$B$17,0),"INVALID")</f>
        <v>103.359825057931</v>
      </c>
      <c r="H234" s="189" t="b">
        <f t="shared" ca="1" si="17"/>
        <v>1</v>
      </c>
      <c r="I234" s="188">
        <f t="shared" ca="1" si="18"/>
        <v>103.359825057931</v>
      </c>
      <c r="J234" s="349">
        <f t="shared" ca="1" si="12"/>
        <v>103.359825057931</v>
      </c>
    </row>
    <row r="235" spans="1:10">
      <c r="A235" s="187">
        <v>56</v>
      </c>
      <c r="B235" s="190">
        <f t="shared" ca="1" si="19"/>
        <v>0.10268877783282361</v>
      </c>
      <c r="C235" s="190">
        <f t="shared" ca="1" si="13"/>
        <v>5.9840014156503668E-2</v>
      </c>
      <c r="D235" s="190">
        <f t="shared" ca="1" si="14"/>
        <v>2.8138102668511484E-2</v>
      </c>
      <c r="E235" s="190">
        <f t="shared" ca="1" si="15"/>
        <v>-2.0068075693070661E-2</v>
      </c>
      <c r="F235" s="189" t="b">
        <f t="shared" ca="1" si="16"/>
        <v>1</v>
      </c>
      <c r="G235" s="188">
        <f ca="1">IF(F235,IFERROR(((('Data Schema'!$C$3*(1+B235)^1)*((1-$I$4-$I$5+E235)*(1-$I$10)+$I$6-$I$11)-('Data Schema'!$C$3*(1+B235)^1-'Data Schema'!$C$3)*$I$12)/(1+C235)^1+(('Data Schema'!$C$3*(1+B235)^2)*((1-$I$4-$I$5+E235)*(1-$I$10)+$I$6-$I$11)-('Data Schema'!$C$3*(1+B235)^2-'Data Schema'!$C$3*(1+B235)^1)*$I$12)/(1+C235)^2+(('Data Schema'!$C$3*(1+B235)^3)*((1-$I$4-$I$5+E235)*(1-$I$10)+$I$6-$I$11)-('Data Schema'!$C$3*(1+B235)^3-'Data Schema'!$C$3*(1+B235)^2)*$I$12)/(1+C235)^3+(('Data Schema'!$C$3*(1+B235)^4)*((1-$I$4-$I$5+E235)*(1-$I$10)+$I$6-$I$11)-('Data Schema'!$C$3*(1+B235)^4-'Data Schema'!$C$3*(1+B235)^3)*$I$12)/(1+C235)^4+(('Data Schema'!$C$3*(1+B235)^5)*((1-$I$4-$I$5+E235)*(1-$I$10)+$I$6-$I$11)-('Data Schema'!$C$3*(1+B235)^5-'Data Schema'!$C$3*(1+B235)^4)*$I$12)/(1+C235)^5+((('Data Schema'!$C$3*(1+B235)^5)*((1-$I$4-$I$5+E235)*(1-$I$10)+$I$6-$I$11)-('Data Schema'!$C$3*(1+B235)^5-'Data Schema'!$C$3*(1+B235)^4)*$I$12)*(1+D235)/(C235-D235))/(1+C235)^5-'Data Schema'!$C$31+'Data Schema'!$C$21)/'Data Schema'!$B$17,0),"INVALID")</f>
        <v>34.489528690256144</v>
      </c>
      <c r="H235" s="189" t="b">
        <f t="shared" ca="1" si="17"/>
        <v>1</v>
      </c>
      <c r="I235" s="188">
        <f t="shared" ca="1" si="18"/>
        <v>34.489528690256144</v>
      </c>
      <c r="J235" s="349">
        <f t="shared" ca="1" si="12"/>
        <v>34.489528690256144</v>
      </c>
    </row>
    <row r="236" spans="1:10">
      <c r="A236" s="191">
        <v>57</v>
      </c>
      <c r="B236" s="190">
        <f t="shared" ca="1" si="19"/>
        <v>0.10099773574355135</v>
      </c>
      <c r="C236" s="190">
        <f t="shared" ca="1" si="13"/>
        <v>5.8197519361361194E-2</v>
      </c>
      <c r="D236" s="190">
        <f t="shared" ca="1" si="14"/>
        <v>1.7177582263160983E-2</v>
      </c>
      <c r="E236" s="190">
        <f t="shared" ca="1" si="15"/>
        <v>9.9689536803183217E-3</v>
      </c>
      <c r="F236" s="189" t="b">
        <f t="shared" ca="1" si="16"/>
        <v>1</v>
      </c>
      <c r="G236" s="188">
        <f ca="1">IF(F236,IFERROR(((('Data Schema'!$C$3*(1+B236)^1)*((1-$I$4-$I$5+E236)*(1-$I$10)+$I$6-$I$11)-('Data Schema'!$C$3*(1+B236)^1-'Data Schema'!$C$3)*$I$12)/(1+C236)^1+(('Data Schema'!$C$3*(1+B236)^2)*((1-$I$4-$I$5+E236)*(1-$I$10)+$I$6-$I$11)-('Data Schema'!$C$3*(1+B236)^2-'Data Schema'!$C$3*(1+B236)^1)*$I$12)/(1+C236)^2+(('Data Schema'!$C$3*(1+B236)^3)*((1-$I$4-$I$5+E236)*(1-$I$10)+$I$6-$I$11)-('Data Schema'!$C$3*(1+B236)^3-'Data Schema'!$C$3*(1+B236)^2)*$I$12)/(1+C236)^3+(('Data Schema'!$C$3*(1+B236)^4)*((1-$I$4-$I$5+E236)*(1-$I$10)+$I$6-$I$11)-('Data Schema'!$C$3*(1+B236)^4-'Data Schema'!$C$3*(1+B236)^3)*$I$12)/(1+C236)^4+(('Data Schema'!$C$3*(1+B236)^5)*((1-$I$4-$I$5+E236)*(1-$I$10)+$I$6-$I$11)-('Data Schema'!$C$3*(1+B236)^5-'Data Schema'!$C$3*(1+B236)^4)*$I$12)/(1+C236)^5+((('Data Schema'!$C$3*(1+B236)^5)*((1-$I$4-$I$5+E236)*(1-$I$10)+$I$6-$I$11)-('Data Schema'!$C$3*(1+B236)^5-'Data Schema'!$C$3*(1+B236)^4)*$I$12)*(1+D236)/(C236-D236))/(1+C236)^5-'Data Schema'!$C$31+'Data Schema'!$C$21)/'Data Schema'!$B$17,0),"INVALID")</f>
        <v>97.875857284177656</v>
      </c>
      <c r="H236" s="189" t="b">
        <f t="shared" ca="1" si="17"/>
        <v>1</v>
      </c>
      <c r="I236" s="188">
        <f t="shared" ca="1" si="18"/>
        <v>97.875857284177656</v>
      </c>
      <c r="J236" s="349">
        <f t="shared" ca="1" si="12"/>
        <v>97.875857284177656</v>
      </c>
    </row>
    <row r="237" spans="1:10">
      <c r="A237" s="187">
        <v>58</v>
      </c>
      <c r="B237" s="190">
        <f t="shared" ca="1" si="19"/>
        <v>0.12420607733613265</v>
      </c>
      <c r="C237" s="190">
        <f t="shared" ca="1" si="13"/>
        <v>3.9502561460866711E-2</v>
      </c>
      <c r="D237" s="190">
        <f t="shared" ca="1" si="14"/>
        <v>2.6165539128209687E-2</v>
      </c>
      <c r="E237" s="190">
        <f t="shared" ca="1" si="15"/>
        <v>-8.9457370220568082E-3</v>
      </c>
      <c r="F237" s="189" t="b">
        <f t="shared" ca="1" si="16"/>
        <v>0</v>
      </c>
      <c r="G237" s="188" t="str">
        <f ca="1">IF(F237,IFERROR(((('Data Schema'!$C$3*(1+B237)^1)*((1-$I$4-$I$5+E237)*(1-$I$10)+$I$6-$I$11)-('Data Schema'!$C$3*(1+B237)^1-'Data Schema'!$C$3)*$I$12)/(1+C237)^1+(('Data Schema'!$C$3*(1+B237)^2)*((1-$I$4-$I$5+E237)*(1-$I$10)+$I$6-$I$11)-('Data Schema'!$C$3*(1+B237)^2-'Data Schema'!$C$3*(1+B237)^1)*$I$12)/(1+C237)^2+(('Data Schema'!$C$3*(1+B237)^3)*((1-$I$4-$I$5+E237)*(1-$I$10)+$I$6-$I$11)-('Data Schema'!$C$3*(1+B237)^3-'Data Schema'!$C$3*(1+B237)^2)*$I$12)/(1+C237)^3+(('Data Schema'!$C$3*(1+B237)^4)*((1-$I$4-$I$5+E237)*(1-$I$10)+$I$6-$I$11)-('Data Schema'!$C$3*(1+B237)^4-'Data Schema'!$C$3*(1+B237)^3)*$I$12)/(1+C237)^4+(('Data Schema'!$C$3*(1+B237)^5)*((1-$I$4-$I$5+E237)*(1-$I$10)+$I$6-$I$11)-('Data Schema'!$C$3*(1+B237)^5-'Data Schema'!$C$3*(1+B237)^4)*$I$12)/(1+C237)^5+((('Data Schema'!$C$3*(1+B237)^5)*((1-$I$4-$I$5+E237)*(1-$I$10)+$I$6-$I$11)-('Data Schema'!$C$3*(1+B237)^5-'Data Schema'!$C$3*(1+B237)^4)*$I$12)*(1+D237)/(C237-D237))/(1+C237)^5-'Data Schema'!$C$31+'Data Schema'!$C$21)/'Data Schema'!$B$17,0),"INVALID")</f>
        <v>INVALID</v>
      </c>
      <c r="H237" s="189" t="b">
        <f t="shared" ca="1" si="17"/>
        <v>0</v>
      </c>
      <c r="I237" s="188" t="str">
        <f t="shared" ca="1" si="18"/>
        <v/>
      </c>
      <c r="J237" s="349" t="str">
        <f t="shared" ca="1" si="12"/>
        <v/>
      </c>
    </row>
    <row r="238" spans="1:10">
      <c r="A238" s="191">
        <v>59</v>
      </c>
      <c r="B238" s="190">
        <f t="shared" ca="1" si="19"/>
        <v>0.10680447965466962</v>
      </c>
      <c r="C238" s="190">
        <f t="shared" ca="1" si="13"/>
        <v>5.3592930145517116E-2</v>
      </c>
      <c r="D238" s="190">
        <f t="shared" ca="1" si="14"/>
        <v>2.1597771886537907E-2</v>
      </c>
      <c r="E238" s="190">
        <f t="shared" ca="1" si="15"/>
        <v>1.8304712183584371E-2</v>
      </c>
      <c r="F238" s="189" t="b">
        <f t="shared" ca="1" si="16"/>
        <v>1</v>
      </c>
      <c r="G238" s="188">
        <f ca="1">IF(F238,IFERROR(((('Data Schema'!$C$3*(1+B238)^1)*((1-$I$4-$I$5+E238)*(1-$I$10)+$I$6-$I$11)-('Data Schema'!$C$3*(1+B238)^1-'Data Schema'!$C$3)*$I$12)/(1+C238)^1+(('Data Schema'!$C$3*(1+B238)^2)*((1-$I$4-$I$5+E238)*(1-$I$10)+$I$6-$I$11)-('Data Schema'!$C$3*(1+B238)^2-'Data Schema'!$C$3*(1+B238)^1)*$I$12)/(1+C238)^2+(('Data Schema'!$C$3*(1+B238)^3)*((1-$I$4-$I$5+E238)*(1-$I$10)+$I$6-$I$11)-('Data Schema'!$C$3*(1+B238)^3-'Data Schema'!$C$3*(1+B238)^2)*$I$12)/(1+C238)^3+(('Data Schema'!$C$3*(1+B238)^4)*((1-$I$4-$I$5+E238)*(1-$I$10)+$I$6-$I$11)-('Data Schema'!$C$3*(1+B238)^4-'Data Schema'!$C$3*(1+B238)^3)*$I$12)/(1+C238)^4+(('Data Schema'!$C$3*(1+B238)^5)*((1-$I$4-$I$5+E238)*(1-$I$10)+$I$6-$I$11)-('Data Schema'!$C$3*(1+B238)^5-'Data Schema'!$C$3*(1+B238)^4)*$I$12)/(1+C238)^5+((('Data Schema'!$C$3*(1+B238)^5)*((1-$I$4-$I$5+E238)*(1-$I$10)+$I$6-$I$11)-('Data Schema'!$C$3*(1+B238)^5-'Data Schema'!$C$3*(1+B238)^4)*$I$12)*(1+D238)/(C238-D238))/(1+C238)^5-'Data Schema'!$C$31+'Data Schema'!$C$21)/'Data Schema'!$B$17,0),"INVALID")</f>
        <v>154.95128394936478</v>
      </c>
      <c r="H238" s="189" t="b">
        <f t="shared" ca="1" si="17"/>
        <v>1</v>
      </c>
      <c r="I238" s="188">
        <f t="shared" ca="1" si="18"/>
        <v>154.95128394936478</v>
      </c>
      <c r="J238" s="349">
        <f t="shared" ca="1" si="12"/>
        <v>154.95128394936478</v>
      </c>
    </row>
    <row r="239" spans="1:10">
      <c r="A239" s="187">
        <v>60</v>
      </c>
      <c r="B239" s="190">
        <f t="shared" ca="1" si="19"/>
        <v>0.10053485091222092</v>
      </c>
      <c r="C239" s="190">
        <f t="shared" ca="1" si="13"/>
        <v>6.2339908180885577E-2</v>
      </c>
      <c r="D239" s="190">
        <f t="shared" ca="1" si="14"/>
        <v>3.0662975531229143E-2</v>
      </c>
      <c r="E239" s="190">
        <f t="shared" ca="1" si="15"/>
        <v>-3.4771973675354799E-3</v>
      </c>
      <c r="F239" s="189" t="b">
        <f t="shared" ca="1" si="16"/>
        <v>1</v>
      </c>
      <c r="G239" s="188">
        <f ca="1">IF(F239,IFERROR(((('Data Schema'!$C$3*(1+B239)^1)*((1-$I$4-$I$5+E239)*(1-$I$10)+$I$6-$I$11)-('Data Schema'!$C$3*(1+B239)^1-'Data Schema'!$C$3)*$I$12)/(1+C239)^1+(('Data Schema'!$C$3*(1+B239)^2)*((1-$I$4-$I$5+E239)*(1-$I$10)+$I$6-$I$11)-('Data Schema'!$C$3*(1+B239)^2-'Data Schema'!$C$3*(1+B239)^1)*$I$12)/(1+C239)^2+(('Data Schema'!$C$3*(1+B239)^3)*((1-$I$4-$I$5+E239)*(1-$I$10)+$I$6-$I$11)-('Data Schema'!$C$3*(1+B239)^3-'Data Schema'!$C$3*(1+B239)^2)*$I$12)/(1+C239)^3+(('Data Schema'!$C$3*(1+B239)^4)*((1-$I$4-$I$5+E239)*(1-$I$10)+$I$6-$I$11)-('Data Schema'!$C$3*(1+B239)^4-'Data Schema'!$C$3*(1+B239)^3)*$I$12)/(1+C239)^4+(('Data Schema'!$C$3*(1+B239)^5)*((1-$I$4-$I$5+E239)*(1-$I$10)+$I$6-$I$11)-('Data Schema'!$C$3*(1+B239)^5-'Data Schema'!$C$3*(1+B239)^4)*$I$12)/(1+C239)^5+((('Data Schema'!$C$3*(1+B239)^5)*((1-$I$4-$I$5+E239)*(1-$I$10)+$I$6-$I$11)-('Data Schema'!$C$3*(1+B239)^5-'Data Schema'!$C$3*(1+B239)^4)*$I$12)*(1+D239)/(C239-D239))/(1+C239)^5-'Data Schema'!$C$31+'Data Schema'!$C$21)/'Data Schema'!$B$17,0),"INVALID")</f>
        <v>83.003891042156795</v>
      </c>
      <c r="H239" s="189" t="b">
        <f t="shared" ca="1" si="17"/>
        <v>1</v>
      </c>
      <c r="I239" s="188">
        <f t="shared" ca="1" si="18"/>
        <v>83.003891042156795</v>
      </c>
      <c r="J239" s="349">
        <f t="shared" ca="1" si="12"/>
        <v>83.003891042156795</v>
      </c>
    </row>
    <row r="240" spans="1:10">
      <c r="A240" s="191">
        <v>61</v>
      </c>
      <c r="B240" s="190">
        <f t="shared" ca="1" si="19"/>
        <v>9.5741822313838057E-2</v>
      </c>
      <c r="C240" s="190">
        <f t="shared" ca="1" si="13"/>
        <v>7.2104646952448712E-2</v>
      </c>
      <c r="D240" s="190">
        <f t="shared" ca="1" si="14"/>
        <v>2.4578937102484218E-2</v>
      </c>
      <c r="E240" s="190">
        <f t="shared" ca="1" si="15"/>
        <v>9.3458442840650222E-3</v>
      </c>
      <c r="F240" s="189" t="b">
        <f t="shared" ca="1" si="16"/>
        <v>1</v>
      </c>
      <c r="G240" s="188">
        <f ca="1">IF(F240,IFERROR(((('Data Schema'!$C$3*(1+B240)^1)*((1-$I$4-$I$5+E240)*(1-$I$10)+$I$6-$I$11)-('Data Schema'!$C$3*(1+B240)^1-'Data Schema'!$C$3)*$I$12)/(1+C240)^1+(('Data Schema'!$C$3*(1+B240)^2)*((1-$I$4-$I$5+E240)*(1-$I$10)+$I$6-$I$11)-('Data Schema'!$C$3*(1+B240)^2-'Data Schema'!$C$3*(1+B240)^1)*$I$12)/(1+C240)^2+(('Data Schema'!$C$3*(1+B240)^3)*((1-$I$4-$I$5+E240)*(1-$I$10)+$I$6-$I$11)-('Data Schema'!$C$3*(1+B240)^3-'Data Schema'!$C$3*(1+B240)^2)*$I$12)/(1+C240)^3+(('Data Schema'!$C$3*(1+B240)^4)*((1-$I$4-$I$5+E240)*(1-$I$10)+$I$6-$I$11)-('Data Schema'!$C$3*(1+B240)^4-'Data Schema'!$C$3*(1+B240)^3)*$I$12)/(1+C240)^4+(('Data Schema'!$C$3*(1+B240)^5)*((1-$I$4-$I$5+E240)*(1-$I$10)+$I$6-$I$11)-('Data Schema'!$C$3*(1+B240)^5-'Data Schema'!$C$3*(1+B240)^4)*$I$12)/(1+C240)^5+((('Data Schema'!$C$3*(1+B240)^5)*((1-$I$4-$I$5+E240)*(1-$I$10)+$I$6-$I$11)-('Data Schema'!$C$3*(1+B240)^5-'Data Schema'!$C$3*(1+B240)^4)*$I$12)*(1+D240)/(C240-D240))/(1+C240)^5-'Data Schema'!$C$31+'Data Schema'!$C$21)/'Data Schema'!$B$17,0),"INVALID")</f>
        <v>77.89906274317697</v>
      </c>
      <c r="H240" s="189" t="b">
        <f t="shared" ca="1" si="17"/>
        <v>1</v>
      </c>
      <c r="I240" s="188">
        <f t="shared" ca="1" si="18"/>
        <v>77.89906274317697</v>
      </c>
      <c r="J240" s="349">
        <f t="shared" ca="1" si="12"/>
        <v>77.89906274317697</v>
      </c>
    </row>
    <row r="241" spans="1:10">
      <c r="A241" s="187">
        <v>62</v>
      </c>
      <c r="B241" s="190">
        <f t="shared" ca="1" si="19"/>
        <v>0.10684010697358082</v>
      </c>
      <c r="C241" s="190">
        <f t="shared" ca="1" si="13"/>
        <v>4.0190182644134619E-2</v>
      </c>
      <c r="D241" s="190">
        <f t="shared" ca="1" si="14"/>
        <v>1.7074201524012705E-2</v>
      </c>
      <c r="E241" s="190">
        <f t="shared" ca="1" si="15"/>
        <v>-2.1491376915472711E-2</v>
      </c>
      <c r="F241" s="189" t="b">
        <f t="shared" ca="1" si="16"/>
        <v>1</v>
      </c>
      <c r="G241" s="188">
        <f ca="1">IF(F241,IFERROR(((('Data Schema'!$C$3*(1+B241)^1)*((1-$I$4-$I$5+E241)*(1-$I$10)+$I$6-$I$11)-('Data Schema'!$C$3*(1+B241)^1-'Data Schema'!$C$3)*$I$12)/(1+C241)^1+(('Data Schema'!$C$3*(1+B241)^2)*((1-$I$4-$I$5+E241)*(1-$I$10)+$I$6-$I$11)-('Data Schema'!$C$3*(1+B241)^2-'Data Schema'!$C$3*(1+B241)^1)*$I$12)/(1+C241)^2+(('Data Schema'!$C$3*(1+B241)^3)*((1-$I$4-$I$5+E241)*(1-$I$10)+$I$6-$I$11)-('Data Schema'!$C$3*(1+B241)^3-'Data Schema'!$C$3*(1+B241)^2)*$I$12)/(1+C241)^3+(('Data Schema'!$C$3*(1+B241)^4)*((1-$I$4-$I$5+E241)*(1-$I$10)+$I$6-$I$11)-('Data Schema'!$C$3*(1+B241)^4-'Data Schema'!$C$3*(1+B241)^3)*$I$12)/(1+C241)^4+(('Data Schema'!$C$3*(1+B241)^5)*((1-$I$4-$I$5+E241)*(1-$I$10)+$I$6-$I$11)-('Data Schema'!$C$3*(1+B241)^5-'Data Schema'!$C$3*(1+B241)^4)*$I$12)/(1+C241)^5+((('Data Schema'!$C$3*(1+B241)^5)*((1-$I$4-$I$5+E241)*(1-$I$10)+$I$6-$I$11)-('Data Schema'!$C$3*(1+B241)^5-'Data Schema'!$C$3*(1+B241)^4)*$I$12)*(1+D241)/(C241-D241))/(1+C241)^5-'Data Schema'!$C$31+'Data Schema'!$C$21)/'Data Schema'!$B$17,0),"INVALID")</f>
        <v>47.014972376962575</v>
      </c>
      <c r="H241" s="189" t="b">
        <f t="shared" ca="1" si="17"/>
        <v>1</v>
      </c>
      <c r="I241" s="188">
        <f t="shared" ca="1" si="18"/>
        <v>47.014972376962575</v>
      </c>
      <c r="J241" s="349">
        <f t="shared" ca="1" si="12"/>
        <v>47.014972376962575</v>
      </c>
    </row>
    <row r="242" spans="1:10">
      <c r="A242" s="191">
        <v>63</v>
      </c>
      <c r="B242" s="190">
        <f t="shared" ca="1" si="19"/>
        <v>7.7511514920274235E-2</v>
      </c>
      <c r="C242" s="190">
        <f t="shared" ca="1" si="13"/>
        <v>7.8297677541788402E-2</v>
      </c>
      <c r="D242" s="190">
        <f t="shared" ca="1" si="14"/>
        <v>1.9378932954516332E-2</v>
      </c>
      <c r="E242" s="190">
        <f t="shared" ca="1" si="15"/>
        <v>-3.4436599086441921E-2</v>
      </c>
      <c r="F242" s="189" t="b">
        <f t="shared" ca="1" si="16"/>
        <v>1</v>
      </c>
      <c r="G242" s="188">
        <f ca="1">IF(F242,IFERROR(((('Data Schema'!$C$3*(1+B242)^1)*((1-$I$4-$I$5+E242)*(1-$I$10)+$I$6-$I$11)-('Data Schema'!$C$3*(1+B242)^1-'Data Schema'!$C$3)*$I$12)/(1+C242)^1+(('Data Schema'!$C$3*(1+B242)^2)*((1-$I$4-$I$5+E242)*(1-$I$10)+$I$6-$I$11)-('Data Schema'!$C$3*(1+B242)^2-'Data Schema'!$C$3*(1+B242)^1)*$I$12)/(1+C242)^2+(('Data Schema'!$C$3*(1+B242)^3)*((1-$I$4-$I$5+E242)*(1-$I$10)+$I$6-$I$11)-('Data Schema'!$C$3*(1+B242)^3-'Data Schema'!$C$3*(1+B242)^2)*$I$12)/(1+C242)^3+(('Data Schema'!$C$3*(1+B242)^4)*((1-$I$4-$I$5+E242)*(1-$I$10)+$I$6-$I$11)-('Data Schema'!$C$3*(1+B242)^4-'Data Schema'!$C$3*(1+B242)^3)*$I$12)/(1+C242)^4+(('Data Schema'!$C$3*(1+B242)^5)*((1-$I$4-$I$5+E242)*(1-$I$10)+$I$6-$I$11)-('Data Schema'!$C$3*(1+B242)^5-'Data Schema'!$C$3*(1+B242)^4)*$I$12)/(1+C242)^5+((('Data Schema'!$C$3*(1+B242)^5)*((1-$I$4-$I$5+E242)*(1-$I$10)+$I$6-$I$11)-('Data Schema'!$C$3*(1+B242)^5-'Data Schema'!$C$3*(1+B242)^4)*$I$12)*(1+D242)/(C242-D242))/(1+C242)^5-'Data Schema'!$C$31+'Data Schema'!$C$21)/'Data Schema'!$B$17,0),"INVALID")</f>
        <v>-7.0586150124499962</v>
      </c>
      <c r="H242" s="189" t="b">
        <f t="shared" ca="1" si="17"/>
        <v>0</v>
      </c>
      <c r="I242" s="188" t="str">
        <f t="shared" ca="1" si="18"/>
        <v/>
      </c>
      <c r="J242" s="349" t="str">
        <f t="shared" ca="1" si="12"/>
        <v/>
      </c>
    </row>
    <row r="243" spans="1:10">
      <c r="A243" s="187">
        <v>64</v>
      </c>
      <c r="B243" s="190">
        <f t="shared" ca="1" si="19"/>
        <v>8.9049313696700383E-2</v>
      </c>
      <c r="C243" s="190">
        <f t="shared" ca="1" si="13"/>
        <v>6.5068558558885298E-2</v>
      </c>
      <c r="D243" s="190">
        <f t="shared" ca="1" si="14"/>
        <v>3.0480998102161067E-2</v>
      </c>
      <c r="E243" s="190">
        <f t="shared" ca="1" si="15"/>
        <v>-2.5781499024721578E-2</v>
      </c>
      <c r="F243" s="189" t="b">
        <f t="shared" ca="1" si="16"/>
        <v>1</v>
      </c>
      <c r="G243" s="188">
        <f ca="1">IF(F243,IFERROR(((('Data Schema'!$C$3*(1+B243)^1)*((1-$I$4-$I$5+E243)*(1-$I$10)+$I$6-$I$11)-('Data Schema'!$C$3*(1+B243)^1-'Data Schema'!$C$3)*$I$12)/(1+C243)^1+(('Data Schema'!$C$3*(1+B243)^2)*((1-$I$4-$I$5+E243)*(1-$I$10)+$I$6-$I$11)-('Data Schema'!$C$3*(1+B243)^2-'Data Schema'!$C$3*(1+B243)^1)*$I$12)/(1+C243)^2+(('Data Schema'!$C$3*(1+B243)^3)*((1-$I$4-$I$5+E243)*(1-$I$10)+$I$6-$I$11)-('Data Schema'!$C$3*(1+B243)^3-'Data Schema'!$C$3*(1+B243)^2)*$I$12)/(1+C243)^3+(('Data Schema'!$C$3*(1+B243)^4)*((1-$I$4-$I$5+E243)*(1-$I$10)+$I$6-$I$11)-('Data Schema'!$C$3*(1+B243)^4-'Data Schema'!$C$3*(1+B243)^3)*$I$12)/(1+C243)^4+(('Data Schema'!$C$3*(1+B243)^5)*((1-$I$4-$I$5+E243)*(1-$I$10)+$I$6-$I$11)-('Data Schema'!$C$3*(1+B243)^5-'Data Schema'!$C$3*(1+B243)^4)*$I$12)/(1+C243)^5+((('Data Schema'!$C$3*(1+B243)^5)*((1-$I$4-$I$5+E243)*(1-$I$10)+$I$6-$I$11)-('Data Schema'!$C$3*(1+B243)^5-'Data Schema'!$C$3*(1+B243)^4)*$I$12)*(1+D243)/(C243-D243))/(1+C243)^5-'Data Schema'!$C$31+'Data Schema'!$C$21)/'Data Schema'!$B$17,0),"INVALID")</f>
        <v>14.546442772992908</v>
      </c>
      <c r="H243" s="189" t="b">
        <f t="shared" ca="1" si="17"/>
        <v>1</v>
      </c>
      <c r="I243" s="188">
        <f t="shared" ca="1" si="18"/>
        <v>14.546442772992908</v>
      </c>
      <c r="J243" s="349" t="str">
        <f t="shared" ca="1" si="12"/>
        <v/>
      </c>
    </row>
    <row r="244" spans="1:10">
      <c r="A244" s="191">
        <v>65</v>
      </c>
      <c r="B244" s="190">
        <f t="shared" ca="1" si="19"/>
        <v>7.4296923320497366E-2</v>
      </c>
      <c r="C244" s="190">
        <f t="shared" ca="1" si="13"/>
        <v>6.2458087050375651E-2</v>
      </c>
      <c r="D244" s="190">
        <f t="shared" ca="1" si="14"/>
        <v>1.9166110369563824E-2</v>
      </c>
      <c r="E244" s="190">
        <f t="shared" ca="1" si="15"/>
        <v>-3.9901981669551237E-2</v>
      </c>
      <c r="F244" s="189" t="b">
        <f t="shared" ca="1" si="16"/>
        <v>1</v>
      </c>
      <c r="G244" s="188">
        <f ca="1">IF(F244,IFERROR(((('Data Schema'!$C$3*(1+B244)^1)*((1-$I$4-$I$5+E244)*(1-$I$10)+$I$6-$I$11)-('Data Schema'!$C$3*(1+B244)^1-'Data Schema'!$C$3)*$I$12)/(1+C244)^1+(('Data Schema'!$C$3*(1+B244)^2)*((1-$I$4-$I$5+E244)*(1-$I$10)+$I$6-$I$11)-('Data Schema'!$C$3*(1+B244)^2-'Data Schema'!$C$3*(1+B244)^1)*$I$12)/(1+C244)^2+(('Data Schema'!$C$3*(1+B244)^3)*((1-$I$4-$I$5+E244)*(1-$I$10)+$I$6-$I$11)-('Data Schema'!$C$3*(1+B244)^3-'Data Schema'!$C$3*(1+B244)^2)*$I$12)/(1+C244)^3+(('Data Schema'!$C$3*(1+B244)^4)*((1-$I$4-$I$5+E244)*(1-$I$10)+$I$6-$I$11)-('Data Schema'!$C$3*(1+B244)^4-'Data Schema'!$C$3*(1+B244)^3)*$I$12)/(1+C244)^4+(('Data Schema'!$C$3*(1+B244)^5)*((1-$I$4-$I$5+E244)*(1-$I$10)+$I$6-$I$11)-('Data Schema'!$C$3*(1+B244)^5-'Data Schema'!$C$3*(1+B244)^4)*$I$12)/(1+C244)^5+((('Data Schema'!$C$3*(1+B244)^5)*((1-$I$4-$I$5+E244)*(1-$I$10)+$I$6-$I$11)-('Data Schema'!$C$3*(1+B244)^5-'Data Schema'!$C$3*(1+B244)^4)*$I$12)*(1+D244)/(C244-D244))/(1+C244)^5-'Data Schema'!$C$31+'Data Schema'!$C$21)/'Data Schema'!$B$17,0),"INVALID")</f>
        <v>-17.872845043555234</v>
      </c>
      <c r="H244" s="189" t="b">
        <f t="shared" ca="1" si="17"/>
        <v>0</v>
      </c>
      <c r="I244" s="188" t="str">
        <f t="shared" ca="1" si="18"/>
        <v/>
      </c>
      <c r="J244" s="349" t="str">
        <f t="shared" ref="J244:J307" ca="1" si="20">IF(AND(F244=TRUE,H244=TRUE,ISNUMBER(G244),G244&gt;=$B$153,G244&lt;=$B$154),G244,"")</f>
        <v/>
      </c>
    </row>
    <row r="245" spans="1:10">
      <c r="A245" s="187">
        <v>66</v>
      </c>
      <c r="B245" s="190">
        <f t="shared" ref="B245:B308" ca="1" si="21">MAX($D$139,MIN($E$139,NORMINV(RAND(),$B$139,$C$139)))</f>
        <v>0.10654740206036581</v>
      </c>
      <c r="C245" s="190">
        <f t="shared" ref="C245:C308" ca="1" si="22">MAX($D$140,MIN($E$140,NORMINV(RAND(),$B$140,$C$140)))</f>
        <v>5.9115434320976844E-2</v>
      </c>
      <c r="D245" s="190">
        <f t="shared" ref="D245:D308" ca="1" si="23">MAX($D$141,MIN($E$141,NORMINV(RAND(),$B$141,$C$141)))</f>
        <v>1.6682449674556739E-2</v>
      </c>
      <c r="E245" s="190">
        <f t="shared" ref="E245:E308" ca="1" si="24">MAX($D$142,MIN($E$142,NORMINV(RAND(),$B$142,$C$142)))</f>
        <v>-1.3824321861872432E-2</v>
      </c>
      <c r="F245" s="189" t="b">
        <f t="shared" ref="F245:F308" ca="1" si="25">C245&gt;D245+$B$144</f>
        <v>1</v>
      </c>
      <c r="G245" s="188">
        <f ca="1">IF(F245,IFERROR(((('Data Schema'!$C$3*(1+B245)^1)*((1-$I$4-$I$5+E245)*(1-$I$10)+$I$6-$I$11)-('Data Schema'!$C$3*(1+B245)^1-'Data Schema'!$C$3)*$I$12)/(1+C245)^1+(('Data Schema'!$C$3*(1+B245)^2)*((1-$I$4-$I$5+E245)*(1-$I$10)+$I$6-$I$11)-('Data Schema'!$C$3*(1+B245)^2-'Data Schema'!$C$3*(1+B245)^1)*$I$12)/(1+C245)^2+(('Data Schema'!$C$3*(1+B245)^3)*((1-$I$4-$I$5+E245)*(1-$I$10)+$I$6-$I$11)-('Data Schema'!$C$3*(1+B245)^3-'Data Schema'!$C$3*(1+B245)^2)*$I$12)/(1+C245)^3+(('Data Schema'!$C$3*(1+B245)^4)*((1-$I$4-$I$5+E245)*(1-$I$10)+$I$6-$I$11)-('Data Schema'!$C$3*(1+B245)^4-'Data Schema'!$C$3*(1+B245)^3)*$I$12)/(1+C245)^4+(('Data Schema'!$C$3*(1+B245)^5)*((1-$I$4-$I$5+E245)*(1-$I$10)+$I$6-$I$11)-('Data Schema'!$C$3*(1+B245)^5-'Data Schema'!$C$3*(1+B245)^4)*$I$12)/(1+C245)^5+((('Data Schema'!$C$3*(1+B245)^5)*((1-$I$4-$I$5+E245)*(1-$I$10)+$I$6-$I$11)-('Data Schema'!$C$3*(1+B245)^5-'Data Schema'!$C$3*(1+B245)^4)*$I$12)*(1+D245)/(C245-D245))/(1+C245)^5-'Data Schema'!$C$31+'Data Schema'!$C$21)/'Data Schema'!$B$17,0),"INVALID")</f>
        <v>40.228223642519836</v>
      </c>
      <c r="H245" s="189" t="b">
        <f t="shared" ref="H245:H308" ca="1" si="26">AND(ISNUMBER(G245),G245&gt;$F$29*$B$145,G245&lt;$F$29*$B$146)</f>
        <v>1</v>
      </c>
      <c r="I245" s="188">
        <f t="shared" ref="I245:I308" ca="1" si="27">IF(AND(F245=TRUE,H245=TRUE),G245,"")</f>
        <v>40.228223642519836</v>
      </c>
      <c r="J245" s="349">
        <f t="shared" ca="1" si="20"/>
        <v>40.228223642519836</v>
      </c>
    </row>
    <row r="246" spans="1:10">
      <c r="A246" s="191">
        <v>67</v>
      </c>
      <c r="B246" s="190">
        <f t="shared" ca="1" si="21"/>
        <v>0.10879899677274729</v>
      </c>
      <c r="C246" s="190">
        <f t="shared" ca="1" si="22"/>
        <v>4.4323361243955771E-2</v>
      </c>
      <c r="D246" s="190">
        <f t="shared" ca="1" si="23"/>
        <v>2.7689242131359659E-2</v>
      </c>
      <c r="E246" s="190">
        <f t="shared" ca="1" si="24"/>
        <v>4.5386480352905434E-2</v>
      </c>
      <c r="F246" s="189" t="b">
        <f t="shared" ca="1" si="25"/>
        <v>1</v>
      </c>
      <c r="G246" s="188">
        <f ca="1">IF(F246,IFERROR(((('Data Schema'!$C$3*(1+B246)^1)*((1-$I$4-$I$5+E246)*(1-$I$10)+$I$6-$I$11)-('Data Schema'!$C$3*(1+B246)^1-'Data Schema'!$C$3)*$I$12)/(1+C246)^1+(('Data Schema'!$C$3*(1+B246)^2)*((1-$I$4-$I$5+E246)*(1-$I$10)+$I$6-$I$11)-('Data Schema'!$C$3*(1+B246)^2-'Data Schema'!$C$3*(1+B246)^1)*$I$12)/(1+C246)^2+(('Data Schema'!$C$3*(1+B246)^3)*((1-$I$4-$I$5+E246)*(1-$I$10)+$I$6-$I$11)-('Data Schema'!$C$3*(1+B246)^3-'Data Schema'!$C$3*(1+B246)^2)*$I$12)/(1+C246)^3+(('Data Schema'!$C$3*(1+B246)^4)*((1-$I$4-$I$5+E246)*(1-$I$10)+$I$6-$I$11)-('Data Schema'!$C$3*(1+B246)^4-'Data Schema'!$C$3*(1+B246)^3)*$I$12)/(1+C246)^4+(('Data Schema'!$C$3*(1+B246)^5)*((1-$I$4-$I$5+E246)*(1-$I$10)+$I$6-$I$11)-('Data Schema'!$C$3*(1+B246)^5-'Data Schema'!$C$3*(1+B246)^4)*$I$12)/(1+C246)^5+((('Data Schema'!$C$3*(1+B246)^5)*((1-$I$4-$I$5+E246)*(1-$I$10)+$I$6-$I$11)-('Data Schema'!$C$3*(1+B246)^5-'Data Schema'!$C$3*(1+B246)^4)*$I$12)*(1+D246)/(C246-D246))/(1+C246)^5-'Data Schema'!$C$31+'Data Schema'!$C$21)/'Data Schema'!$B$17,0),"INVALID")</f>
        <v>464.30577457477574</v>
      </c>
      <c r="H246" s="189" t="b">
        <f t="shared" ca="1" si="26"/>
        <v>1</v>
      </c>
      <c r="I246" s="188">
        <f t="shared" ca="1" si="27"/>
        <v>464.30577457477574</v>
      </c>
      <c r="J246" s="349" t="str">
        <f t="shared" ca="1" si="20"/>
        <v/>
      </c>
    </row>
    <row r="247" spans="1:10">
      <c r="A247" s="187">
        <v>68</v>
      </c>
      <c r="B247" s="190">
        <f t="shared" ca="1" si="21"/>
        <v>0.10062779296356431</v>
      </c>
      <c r="C247" s="190">
        <f t="shared" ca="1" si="22"/>
        <v>7.0743614893083562E-2</v>
      </c>
      <c r="D247" s="190">
        <f t="shared" ca="1" si="23"/>
        <v>2.5375128036394887E-2</v>
      </c>
      <c r="E247" s="190">
        <f t="shared" ca="1" si="24"/>
        <v>-1.3362387883082321E-2</v>
      </c>
      <c r="F247" s="189" t="b">
        <f t="shared" ca="1" si="25"/>
        <v>1</v>
      </c>
      <c r="G247" s="188">
        <f ca="1">IF(F247,IFERROR(((('Data Schema'!$C$3*(1+B247)^1)*((1-$I$4-$I$5+E247)*(1-$I$10)+$I$6-$I$11)-('Data Schema'!$C$3*(1+B247)^1-'Data Schema'!$C$3)*$I$12)/(1+C247)^1+(('Data Schema'!$C$3*(1+B247)^2)*((1-$I$4-$I$5+E247)*(1-$I$10)+$I$6-$I$11)-('Data Schema'!$C$3*(1+B247)^2-'Data Schema'!$C$3*(1+B247)^1)*$I$12)/(1+C247)^2+(('Data Schema'!$C$3*(1+B247)^3)*((1-$I$4-$I$5+E247)*(1-$I$10)+$I$6-$I$11)-('Data Schema'!$C$3*(1+B247)^3-'Data Schema'!$C$3*(1+B247)^2)*$I$12)/(1+C247)^3+(('Data Schema'!$C$3*(1+B247)^4)*((1-$I$4-$I$5+E247)*(1-$I$10)+$I$6-$I$11)-('Data Schema'!$C$3*(1+B247)^4-'Data Schema'!$C$3*(1+B247)^3)*$I$12)/(1+C247)^4+(('Data Schema'!$C$3*(1+B247)^5)*((1-$I$4-$I$5+E247)*(1-$I$10)+$I$6-$I$11)-('Data Schema'!$C$3*(1+B247)^5-'Data Schema'!$C$3*(1+B247)^4)*$I$12)/(1+C247)^5+((('Data Schema'!$C$3*(1+B247)^5)*((1-$I$4-$I$5+E247)*(1-$I$10)+$I$6-$I$11)-('Data Schema'!$C$3*(1+B247)^5-'Data Schema'!$C$3*(1+B247)^4)*$I$12)*(1+D247)/(C247-D247))/(1+C247)^5-'Data Schema'!$C$31+'Data Schema'!$C$21)/'Data Schema'!$B$17,0),"INVALID")</f>
        <v>35.921003281075592</v>
      </c>
      <c r="H247" s="189" t="b">
        <f t="shared" ca="1" si="26"/>
        <v>1</v>
      </c>
      <c r="I247" s="188">
        <f t="shared" ca="1" si="27"/>
        <v>35.921003281075592</v>
      </c>
      <c r="J247" s="349">
        <f t="shared" ca="1" si="20"/>
        <v>35.921003281075592</v>
      </c>
    </row>
    <row r="248" spans="1:10">
      <c r="A248" s="191">
        <v>69</v>
      </c>
      <c r="B248" s="190">
        <f t="shared" ca="1" si="21"/>
        <v>7.9904449399400002E-2</v>
      </c>
      <c r="C248" s="190">
        <f t="shared" ca="1" si="22"/>
        <v>6.0298945115306007E-2</v>
      </c>
      <c r="D248" s="190">
        <f t="shared" ca="1" si="23"/>
        <v>2.1934801049616832E-2</v>
      </c>
      <c r="E248" s="190">
        <f t="shared" ca="1" si="24"/>
        <v>2.1120878408566052E-2</v>
      </c>
      <c r="F248" s="189" t="b">
        <f t="shared" ca="1" si="25"/>
        <v>1</v>
      </c>
      <c r="G248" s="188">
        <f ca="1">IF(F248,IFERROR(((('Data Schema'!$C$3*(1+B248)^1)*((1-$I$4-$I$5+E248)*(1-$I$10)+$I$6-$I$11)-('Data Schema'!$C$3*(1+B248)^1-'Data Schema'!$C$3)*$I$12)/(1+C248)^1+(('Data Schema'!$C$3*(1+B248)^2)*((1-$I$4-$I$5+E248)*(1-$I$10)+$I$6-$I$11)-('Data Schema'!$C$3*(1+B248)^2-'Data Schema'!$C$3*(1+B248)^1)*$I$12)/(1+C248)^2+(('Data Schema'!$C$3*(1+B248)^3)*((1-$I$4-$I$5+E248)*(1-$I$10)+$I$6-$I$11)-('Data Schema'!$C$3*(1+B248)^3-'Data Schema'!$C$3*(1+B248)^2)*$I$12)/(1+C248)^3+(('Data Schema'!$C$3*(1+B248)^4)*((1-$I$4-$I$5+E248)*(1-$I$10)+$I$6-$I$11)-('Data Schema'!$C$3*(1+B248)^4-'Data Schema'!$C$3*(1+B248)^3)*$I$12)/(1+C248)^4+(('Data Schema'!$C$3*(1+B248)^5)*((1-$I$4-$I$5+E248)*(1-$I$10)+$I$6-$I$11)-('Data Schema'!$C$3*(1+B248)^5-'Data Schema'!$C$3*(1+B248)^4)*$I$12)/(1+C248)^5+((('Data Schema'!$C$3*(1+B248)^5)*((1-$I$4-$I$5+E248)*(1-$I$10)+$I$6-$I$11)-('Data Schema'!$C$3*(1+B248)^5-'Data Schema'!$C$3*(1+B248)^4)*$I$12)*(1+D248)/(C248-D248))/(1+C248)^5-'Data Schema'!$C$31+'Data Schema'!$C$21)/'Data Schema'!$B$17,0),"INVALID")</f>
        <v>120.51404449849768</v>
      </c>
      <c r="H248" s="189" t="b">
        <f t="shared" ca="1" si="26"/>
        <v>1</v>
      </c>
      <c r="I248" s="188">
        <f t="shared" ca="1" si="27"/>
        <v>120.51404449849768</v>
      </c>
      <c r="J248" s="349">
        <f t="shared" ca="1" si="20"/>
        <v>120.51404449849768</v>
      </c>
    </row>
    <row r="249" spans="1:10">
      <c r="A249" s="187">
        <v>70</v>
      </c>
      <c r="B249" s="190">
        <f t="shared" ca="1" si="21"/>
        <v>0.10513054590732603</v>
      </c>
      <c r="C249" s="190">
        <f t="shared" ca="1" si="22"/>
        <v>6.2492339731411266E-2</v>
      </c>
      <c r="D249" s="190">
        <f t="shared" ca="1" si="23"/>
        <v>2.7578520335811457E-2</v>
      </c>
      <c r="E249" s="190">
        <f t="shared" ca="1" si="24"/>
        <v>-4.7241179076190484E-3</v>
      </c>
      <c r="F249" s="189" t="b">
        <f t="shared" ca="1" si="25"/>
        <v>1</v>
      </c>
      <c r="G249" s="188">
        <f ca="1">IF(F249,IFERROR(((('Data Schema'!$C$3*(1+B249)^1)*((1-$I$4-$I$5+E249)*(1-$I$10)+$I$6-$I$11)-('Data Schema'!$C$3*(1+B249)^1-'Data Schema'!$C$3)*$I$12)/(1+C249)^1+(('Data Schema'!$C$3*(1+B249)^2)*((1-$I$4-$I$5+E249)*(1-$I$10)+$I$6-$I$11)-('Data Schema'!$C$3*(1+B249)^2-'Data Schema'!$C$3*(1+B249)^1)*$I$12)/(1+C249)^2+(('Data Schema'!$C$3*(1+B249)^3)*((1-$I$4-$I$5+E249)*(1-$I$10)+$I$6-$I$11)-('Data Schema'!$C$3*(1+B249)^3-'Data Schema'!$C$3*(1+B249)^2)*$I$12)/(1+C249)^3+(('Data Schema'!$C$3*(1+B249)^4)*((1-$I$4-$I$5+E249)*(1-$I$10)+$I$6-$I$11)-('Data Schema'!$C$3*(1+B249)^4-'Data Schema'!$C$3*(1+B249)^3)*$I$12)/(1+C249)^4+(('Data Schema'!$C$3*(1+B249)^5)*((1-$I$4-$I$5+E249)*(1-$I$10)+$I$6-$I$11)-('Data Schema'!$C$3*(1+B249)^5-'Data Schema'!$C$3*(1+B249)^4)*$I$12)/(1+C249)^5+((('Data Schema'!$C$3*(1+B249)^5)*((1-$I$4-$I$5+E249)*(1-$I$10)+$I$6-$I$11)-('Data Schema'!$C$3*(1+B249)^5-'Data Schema'!$C$3*(1+B249)^4)*$I$12)*(1+D249)/(C249-D249))/(1+C249)^5-'Data Schema'!$C$31+'Data Schema'!$C$21)/'Data Schema'!$B$17,0),"INVALID")</f>
        <v>73.351907615288923</v>
      </c>
      <c r="H249" s="189" t="b">
        <f t="shared" ca="1" si="26"/>
        <v>1</v>
      </c>
      <c r="I249" s="188">
        <f t="shared" ca="1" si="27"/>
        <v>73.351907615288923</v>
      </c>
      <c r="J249" s="349">
        <f t="shared" ca="1" si="20"/>
        <v>73.351907615288923</v>
      </c>
    </row>
    <row r="250" spans="1:10">
      <c r="A250" s="191">
        <v>71</v>
      </c>
      <c r="B250" s="190">
        <f t="shared" ca="1" si="21"/>
        <v>0.1223256504721954</v>
      </c>
      <c r="C250" s="190">
        <f t="shared" ca="1" si="22"/>
        <v>6.6844788092539215E-2</v>
      </c>
      <c r="D250" s="190">
        <f t="shared" ca="1" si="23"/>
        <v>3.2176549600956103E-2</v>
      </c>
      <c r="E250" s="190">
        <f t="shared" ca="1" si="24"/>
        <v>1.7051707282534787E-2</v>
      </c>
      <c r="F250" s="189" t="b">
        <f t="shared" ca="1" si="25"/>
        <v>1</v>
      </c>
      <c r="G250" s="188">
        <f ca="1">IF(F250,IFERROR(((('Data Schema'!$C$3*(1+B250)^1)*((1-$I$4-$I$5+E250)*(1-$I$10)+$I$6-$I$11)-('Data Schema'!$C$3*(1+B250)^1-'Data Schema'!$C$3)*$I$12)/(1+C250)^1+(('Data Schema'!$C$3*(1+B250)^2)*((1-$I$4-$I$5+E250)*(1-$I$10)+$I$6-$I$11)-('Data Schema'!$C$3*(1+B250)^2-'Data Schema'!$C$3*(1+B250)^1)*$I$12)/(1+C250)^2+(('Data Schema'!$C$3*(1+B250)^3)*((1-$I$4-$I$5+E250)*(1-$I$10)+$I$6-$I$11)-('Data Schema'!$C$3*(1+B250)^3-'Data Schema'!$C$3*(1+B250)^2)*$I$12)/(1+C250)^3+(('Data Schema'!$C$3*(1+B250)^4)*((1-$I$4-$I$5+E250)*(1-$I$10)+$I$6-$I$11)-('Data Schema'!$C$3*(1+B250)^4-'Data Schema'!$C$3*(1+B250)^3)*$I$12)/(1+C250)^4+(('Data Schema'!$C$3*(1+B250)^5)*((1-$I$4-$I$5+E250)*(1-$I$10)+$I$6-$I$11)-('Data Schema'!$C$3*(1+B250)^5-'Data Schema'!$C$3*(1+B250)^4)*$I$12)/(1+C250)^5+((('Data Schema'!$C$3*(1+B250)^5)*((1-$I$4-$I$5+E250)*(1-$I$10)+$I$6-$I$11)-('Data Schema'!$C$3*(1+B250)^5-'Data Schema'!$C$3*(1+B250)^4)*$I$12)*(1+D250)/(C250-D250))/(1+C250)^5-'Data Schema'!$C$31+'Data Schema'!$C$21)/'Data Schema'!$B$17,0),"INVALID")</f>
        <v>141.7339710536132</v>
      </c>
      <c r="H250" s="189" t="b">
        <f t="shared" ca="1" si="26"/>
        <v>1</v>
      </c>
      <c r="I250" s="188">
        <f t="shared" ca="1" si="27"/>
        <v>141.7339710536132</v>
      </c>
      <c r="J250" s="349">
        <f t="shared" ca="1" si="20"/>
        <v>141.7339710536132</v>
      </c>
    </row>
    <row r="251" spans="1:10">
      <c r="A251" s="187">
        <v>72</v>
      </c>
      <c r="B251" s="190">
        <f t="shared" ca="1" si="21"/>
        <v>9.4322031843991405E-2</v>
      </c>
      <c r="C251" s="190">
        <f t="shared" ca="1" si="22"/>
        <v>5.3340253091451337E-2</v>
      </c>
      <c r="D251" s="190">
        <f t="shared" ca="1" si="23"/>
        <v>2.5506025785147476E-2</v>
      </c>
      <c r="E251" s="190">
        <f t="shared" ca="1" si="24"/>
        <v>-3.5367404653448647E-3</v>
      </c>
      <c r="F251" s="189" t="b">
        <f t="shared" ca="1" si="25"/>
        <v>1</v>
      </c>
      <c r="G251" s="188">
        <f ca="1">IF(F251,IFERROR(((('Data Schema'!$C$3*(1+B251)^1)*((1-$I$4-$I$5+E251)*(1-$I$10)+$I$6-$I$11)-('Data Schema'!$C$3*(1+B251)^1-'Data Schema'!$C$3)*$I$12)/(1+C251)^1+(('Data Schema'!$C$3*(1+B251)^2)*((1-$I$4-$I$5+E251)*(1-$I$10)+$I$6-$I$11)-('Data Schema'!$C$3*(1+B251)^2-'Data Schema'!$C$3*(1+B251)^1)*$I$12)/(1+C251)^2+(('Data Schema'!$C$3*(1+B251)^3)*((1-$I$4-$I$5+E251)*(1-$I$10)+$I$6-$I$11)-('Data Schema'!$C$3*(1+B251)^3-'Data Schema'!$C$3*(1+B251)^2)*$I$12)/(1+C251)^3+(('Data Schema'!$C$3*(1+B251)^4)*((1-$I$4-$I$5+E251)*(1-$I$10)+$I$6-$I$11)-('Data Schema'!$C$3*(1+B251)^4-'Data Schema'!$C$3*(1+B251)^3)*$I$12)/(1+C251)^4+(('Data Schema'!$C$3*(1+B251)^5)*((1-$I$4-$I$5+E251)*(1-$I$10)+$I$6-$I$11)-('Data Schema'!$C$3*(1+B251)^5-'Data Schema'!$C$3*(1+B251)^4)*$I$12)/(1+C251)^5+((('Data Schema'!$C$3*(1+B251)^5)*((1-$I$4-$I$5+E251)*(1-$I$10)+$I$6-$I$11)-('Data Schema'!$C$3*(1+B251)^5-'Data Schema'!$C$3*(1+B251)^4)*$I$12)*(1+D251)/(C251-D251))/(1+C251)^5-'Data Schema'!$C$31+'Data Schema'!$C$21)/'Data Schema'!$B$17,0),"INVALID")</f>
        <v>95.064709473042782</v>
      </c>
      <c r="H251" s="189" t="b">
        <f t="shared" ca="1" si="26"/>
        <v>1</v>
      </c>
      <c r="I251" s="188">
        <f t="shared" ca="1" si="27"/>
        <v>95.064709473042782</v>
      </c>
      <c r="J251" s="349">
        <f t="shared" ca="1" si="20"/>
        <v>95.064709473042782</v>
      </c>
    </row>
    <row r="252" spans="1:10">
      <c r="A252" s="191">
        <v>73</v>
      </c>
      <c r="B252" s="190">
        <f t="shared" ca="1" si="21"/>
        <v>0.10148629485313104</v>
      </c>
      <c r="C252" s="190">
        <f t="shared" ca="1" si="22"/>
        <v>4.8434168588071806E-2</v>
      </c>
      <c r="D252" s="190">
        <f t="shared" ca="1" si="23"/>
        <v>2.6375508409793812E-2</v>
      </c>
      <c r="E252" s="190">
        <f t="shared" ca="1" si="24"/>
        <v>4.1143638097612487E-3</v>
      </c>
      <c r="F252" s="189" t="b">
        <f t="shared" ca="1" si="25"/>
        <v>1</v>
      </c>
      <c r="G252" s="188">
        <f ca="1">IF(F252,IFERROR(((('Data Schema'!$C$3*(1+B252)^1)*((1-$I$4-$I$5+E252)*(1-$I$10)+$I$6-$I$11)-('Data Schema'!$C$3*(1+B252)^1-'Data Schema'!$C$3)*$I$12)/(1+C252)^1+(('Data Schema'!$C$3*(1+B252)^2)*((1-$I$4-$I$5+E252)*(1-$I$10)+$I$6-$I$11)-('Data Schema'!$C$3*(1+B252)^2-'Data Schema'!$C$3*(1+B252)^1)*$I$12)/(1+C252)^2+(('Data Schema'!$C$3*(1+B252)^3)*((1-$I$4-$I$5+E252)*(1-$I$10)+$I$6-$I$11)-('Data Schema'!$C$3*(1+B252)^3-'Data Schema'!$C$3*(1+B252)^2)*$I$12)/(1+C252)^3+(('Data Schema'!$C$3*(1+B252)^4)*((1-$I$4-$I$5+E252)*(1-$I$10)+$I$6-$I$11)-('Data Schema'!$C$3*(1+B252)^4-'Data Schema'!$C$3*(1+B252)^3)*$I$12)/(1+C252)^4+(('Data Schema'!$C$3*(1+B252)^5)*((1-$I$4-$I$5+E252)*(1-$I$10)+$I$6-$I$11)-('Data Schema'!$C$3*(1+B252)^5-'Data Schema'!$C$3*(1+B252)^4)*$I$12)/(1+C252)^5+((('Data Schema'!$C$3*(1+B252)^5)*((1-$I$4-$I$5+E252)*(1-$I$10)+$I$6-$I$11)-('Data Schema'!$C$3*(1+B252)^5-'Data Schema'!$C$3*(1+B252)^4)*$I$12)*(1+D252)/(C252-D252))/(1+C252)^5-'Data Schema'!$C$31+'Data Schema'!$C$21)/'Data Schema'!$B$17,0),"INVALID")</f>
        <v>158.55179426297826</v>
      </c>
      <c r="H252" s="189" t="b">
        <f t="shared" ca="1" si="26"/>
        <v>1</v>
      </c>
      <c r="I252" s="188">
        <f t="shared" ca="1" si="27"/>
        <v>158.55179426297826</v>
      </c>
      <c r="J252" s="349">
        <f t="shared" ca="1" si="20"/>
        <v>158.55179426297826</v>
      </c>
    </row>
    <row r="253" spans="1:10">
      <c r="A253" s="187">
        <v>74</v>
      </c>
      <c r="B253" s="190">
        <f t="shared" ca="1" si="21"/>
        <v>7.3905801456159104E-2</v>
      </c>
      <c r="C253" s="190">
        <f t="shared" ca="1" si="22"/>
        <v>6.6335014702425532E-2</v>
      </c>
      <c r="D253" s="190">
        <f t="shared" ca="1" si="23"/>
        <v>2.457008309979589E-2</v>
      </c>
      <c r="E253" s="190">
        <f t="shared" ca="1" si="24"/>
        <v>-1.753950598561408E-2</v>
      </c>
      <c r="F253" s="189" t="b">
        <f t="shared" ca="1" si="25"/>
        <v>1</v>
      </c>
      <c r="G253" s="188">
        <f ca="1">IF(F253,IFERROR(((('Data Schema'!$C$3*(1+B253)^1)*((1-$I$4-$I$5+E253)*(1-$I$10)+$I$6-$I$11)-('Data Schema'!$C$3*(1+B253)^1-'Data Schema'!$C$3)*$I$12)/(1+C253)^1+(('Data Schema'!$C$3*(1+B253)^2)*((1-$I$4-$I$5+E253)*(1-$I$10)+$I$6-$I$11)-('Data Schema'!$C$3*(1+B253)^2-'Data Schema'!$C$3*(1+B253)^1)*$I$12)/(1+C253)^2+(('Data Schema'!$C$3*(1+B253)^3)*((1-$I$4-$I$5+E253)*(1-$I$10)+$I$6-$I$11)-('Data Schema'!$C$3*(1+B253)^3-'Data Schema'!$C$3*(1+B253)^2)*$I$12)/(1+C253)^3+(('Data Schema'!$C$3*(1+B253)^4)*((1-$I$4-$I$5+E253)*(1-$I$10)+$I$6-$I$11)-('Data Schema'!$C$3*(1+B253)^4-'Data Schema'!$C$3*(1+B253)^3)*$I$12)/(1+C253)^4+(('Data Schema'!$C$3*(1+B253)^5)*((1-$I$4-$I$5+E253)*(1-$I$10)+$I$6-$I$11)-('Data Schema'!$C$3*(1+B253)^5-'Data Schema'!$C$3*(1+B253)^4)*$I$12)/(1+C253)^5+((('Data Schema'!$C$3*(1+B253)^5)*((1-$I$4-$I$5+E253)*(1-$I$10)+$I$6-$I$11)-('Data Schema'!$C$3*(1+B253)^5-'Data Schema'!$C$3*(1+B253)^4)*$I$12)*(1+D253)/(C253-D253))/(1+C253)^5-'Data Schema'!$C$31+'Data Schema'!$C$21)/'Data Schema'!$B$17,0),"INVALID")</f>
        <v>27.486154843538205</v>
      </c>
      <c r="H253" s="189" t="b">
        <f t="shared" ca="1" si="26"/>
        <v>1</v>
      </c>
      <c r="I253" s="188">
        <f t="shared" ca="1" si="27"/>
        <v>27.486154843538205</v>
      </c>
      <c r="J253" s="349">
        <f t="shared" ca="1" si="20"/>
        <v>27.486154843538205</v>
      </c>
    </row>
    <row r="254" spans="1:10">
      <c r="A254" s="191">
        <v>75</v>
      </c>
      <c r="B254" s="190">
        <f t="shared" ca="1" si="21"/>
        <v>8.7614977047144299E-2</v>
      </c>
      <c r="C254" s="190">
        <f t="shared" ca="1" si="22"/>
        <v>5.7039233492345152E-2</v>
      </c>
      <c r="D254" s="190">
        <f t="shared" ca="1" si="23"/>
        <v>3.1405871544925038E-2</v>
      </c>
      <c r="E254" s="190">
        <f t="shared" ca="1" si="24"/>
        <v>1.5424745796162572E-2</v>
      </c>
      <c r="F254" s="189" t="b">
        <f t="shared" ca="1" si="25"/>
        <v>1</v>
      </c>
      <c r="G254" s="188">
        <f ca="1">IF(F254,IFERROR(((('Data Schema'!$C$3*(1+B254)^1)*((1-$I$4-$I$5+E254)*(1-$I$10)+$I$6-$I$11)-('Data Schema'!$C$3*(1+B254)^1-'Data Schema'!$C$3)*$I$12)/(1+C254)^1+(('Data Schema'!$C$3*(1+B254)^2)*((1-$I$4-$I$5+E254)*(1-$I$10)+$I$6-$I$11)-('Data Schema'!$C$3*(1+B254)^2-'Data Schema'!$C$3*(1+B254)^1)*$I$12)/(1+C254)^2+(('Data Schema'!$C$3*(1+B254)^3)*((1-$I$4-$I$5+E254)*(1-$I$10)+$I$6-$I$11)-('Data Schema'!$C$3*(1+B254)^3-'Data Schema'!$C$3*(1+B254)^2)*$I$12)/(1+C254)^3+(('Data Schema'!$C$3*(1+B254)^4)*((1-$I$4-$I$5+E254)*(1-$I$10)+$I$6-$I$11)-('Data Schema'!$C$3*(1+B254)^4-'Data Schema'!$C$3*(1+B254)^3)*$I$12)/(1+C254)^4+(('Data Schema'!$C$3*(1+B254)^5)*((1-$I$4-$I$5+E254)*(1-$I$10)+$I$6-$I$11)-('Data Schema'!$C$3*(1+B254)^5-'Data Schema'!$C$3*(1+B254)^4)*$I$12)/(1+C254)^5+((('Data Schema'!$C$3*(1+B254)^5)*((1-$I$4-$I$5+E254)*(1-$I$10)+$I$6-$I$11)-('Data Schema'!$C$3*(1+B254)^5-'Data Schema'!$C$3*(1+B254)^4)*$I$12)*(1+D254)/(C254-D254))/(1+C254)^5-'Data Schema'!$C$31+'Data Schema'!$C$21)/'Data Schema'!$B$17,0),"INVALID")</f>
        <v>164.49395893885762</v>
      </c>
      <c r="H254" s="189" t="b">
        <f t="shared" ca="1" si="26"/>
        <v>1</v>
      </c>
      <c r="I254" s="188">
        <f t="shared" ca="1" si="27"/>
        <v>164.49395893885762</v>
      </c>
      <c r="J254" s="349">
        <f t="shared" ca="1" si="20"/>
        <v>164.49395893885762</v>
      </c>
    </row>
    <row r="255" spans="1:10">
      <c r="A255" s="187">
        <v>76</v>
      </c>
      <c r="B255" s="190">
        <f t="shared" ca="1" si="21"/>
        <v>9.5049959225041863E-2</v>
      </c>
      <c r="C255" s="190">
        <f t="shared" ca="1" si="22"/>
        <v>6.2978323705258674E-2</v>
      </c>
      <c r="D255" s="190">
        <f t="shared" ca="1" si="23"/>
        <v>2.6087800898893895E-2</v>
      </c>
      <c r="E255" s="190">
        <f t="shared" ca="1" si="24"/>
        <v>1.8067950838685693E-2</v>
      </c>
      <c r="F255" s="189" t="b">
        <f t="shared" ca="1" si="25"/>
        <v>1</v>
      </c>
      <c r="G255" s="188">
        <f ca="1">IF(F255,IFERROR(((('Data Schema'!$C$3*(1+B255)^1)*((1-$I$4-$I$5+E255)*(1-$I$10)+$I$6-$I$11)-('Data Schema'!$C$3*(1+B255)^1-'Data Schema'!$C$3)*$I$12)/(1+C255)^1+(('Data Schema'!$C$3*(1+B255)^2)*((1-$I$4-$I$5+E255)*(1-$I$10)+$I$6-$I$11)-('Data Schema'!$C$3*(1+B255)^2-'Data Schema'!$C$3*(1+B255)^1)*$I$12)/(1+C255)^2+(('Data Schema'!$C$3*(1+B255)^3)*((1-$I$4-$I$5+E255)*(1-$I$10)+$I$6-$I$11)-('Data Schema'!$C$3*(1+B255)^3-'Data Schema'!$C$3*(1+B255)^2)*$I$12)/(1+C255)^3+(('Data Schema'!$C$3*(1+B255)^4)*((1-$I$4-$I$5+E255)*(1-$I$10)+$I$6-$I$11)-('Data Schema'!$C$3*(1+B255)^4-'Data Schema'!$C$3*(1+B255)^3)*$I$12)/(1+C255)^4+(('Data Schema'!$C$3*(1+B255)^5)*((1-$I$4-$I$5+E255)*(1-$I$10)+$I$6-$I$11)-('Data Schema'!$C$3*(1+B255)^5-'Data Schema'!$C$3*(1+B255)^4)*$I$12)/(1+C255)^5+((('Data Schema'!$C$3*(1+B255)^5)*((1-$I$4-$I$5+E255)*(1-$I$10)+$I$6-$I$11)-('Data Schema'!$C$3*(1+B255)^5-'Data Schema'!$C$3*(1+B255)^4)*$I$12)*(1+D255)/(C255-D255))/(1+C255)^5-'Data Schema'!$C$31+'Data Schema'!$C$21)/'Data Schema'!$B$17,0),"INVALID")</f>
        <v>124.04987435211325</v>
      </c>
      <c r="H255" s="189" t="b">
        <f t="shared" ca="1" si="26"/>
        <v>1</v>
      </c>
      <c r="I255" s="188">
        <f t="shared" ca="1" si="27"/>
        <v>124.04987435211325</v>
      </c>
      <c r="J255" s="349">
        <f t="shared" ca="1" si="20"/>
        <v>124.04987435211325</v>
      </c>
    </row>
    <row r="256" spans="1:10">
      <c r="A256" s="191">
        <v>77</v>
      </c>
      <c r="B256" s="190">
        <f t="shared" ca="1" si="21"/>
        <v>9.2113306862660185E-2</v>
      </c>
      <c r="C256" s="190">
        <f t="shared" ca="1" si="22"/>
        <v>5.8949561305097604E-2</v>
      </c>
      <c r="D256" s="190">
        <f t="shared" ca="1" si="23"/>
        <v>1.8035773204874313E-2</v>
      </c>
      <c r="E256" s="190">
        <f t="shared" ca="1" si="24"/>
        <v>-1.6247220141113036E-3</v>
      </c>
      <c r="F256" s="189" t="b">
        <f t="shared" ca="1" si="25"/>
        <v>1</v>
      </c>
      <c r="G256" s="188">
        <f ca="1">IF(F256,IFERROR(((('Data Schema'!$C$3*(1+B256)^1)*((1-$I$4-$I$5+E256)*(1-$I$10)+$I$6-$I$11)-('Data Schema'!$C$3*(1+B256)^1-'Data Schema'!$C$3)*$I$12)/(1+C256)^1+(('Data Schema'!$C$3*(1+B256)^2)*((1-$I$4-$I$5+E256)*(1-$I$10)+$I$6-$I$11)-('Data Schema'!$C$3*(1+B256)^2-'Data Schema'!$C$3*(1+B256)^1)*$I$12)/(1+C256)^2+(('Data Schema'!$C$3*(1+B256)^3)*((1-$I$4-$I$5+E256)*(1-$I$10)+$I$6-$I$11)-('Data Schema'!$C$3*(1+B256)^3-'Data Schema'!$C$3*(1+B256)^2)*$I$12)/(1+C256)^3+(('Data Schema'!$C$3*(1+B256)^4)*((1-$I$4-$I$5+E256)*(1-$I$10)+$I$6-$I$11)-('Data Schema'!$C$3*(1+B256)^4-'Data Schema'!$C$3*(1+B256)^3)*$I$12)/(1+C256)^4+(('Data Schema'!$C$3*(1+B256)^5)*((1-$I$4-$I$5+E256)*(1-$I$10)+$I$6-$I$11)-('Data Schema'!$C$3*(1+B256)^5-'Data Schema'!$C$3*(1+B256)^4)*$I$12)/(1+C256)^5+((('Data Schema'!$C$3*(1+B256)^5)*((1-$I$4-$I$5+E256)*(1-$I$10)+$I$6-$I$11)-('Data Schema'!$C$3*(1+B256)^5-'Data Schema'!$C$3*(1+B256)^4)*$I$12)*(1+D256)/(C256-D256))/(1+C256)^5-'Data Schema'!$C$31+'Data Schema'!$C$21)/'Data Schema'!$B$17,0),"INVALID")</f>
        <v>67.684282930554375</v>
      </c>
      <c r="H256" s="189" t="b">
        <f t="shared" ca="1" si="26"/>
        <v>1</v>
      </c>
      <c r="I256" s="188">
        <f t="shared" ca="1" si="27"/>
        <v>67.684282930554375</v>
      </c>
      <c r="J256" s="349">
        <f t="shared" ca="1" si="20"/>
        <v>67.684282930554375</v>
      </c>
    </row>
    <row r="257" spans="1:10">
      <c r="A257" s="187">
        <v>78</v>
      </c>
      <c r="B257" s="190">
        <f t="shared" ca="1" si="21"/>
        <v>0.10485101254961926</v>
      </c>
      <c r="C257" s="190">
        <f t="shared" ca="1" si="22"/>
        <v>7.6914978982802751E-2</v>
      </c>
      <c r="D257" s="190">
        <f t="shared" ca="1" si="23"/>
        <v>3.0999283701191399E-2</v>
      </c>
      <c r="E257" s="190">
        <f t="shared" ca="1" si="24"/>
        <v>-1.2944486379049927E-2</v>
      </c>
      <c r="F257" s="189" t="b">
        <f t="shared" ca="1" si="25"/>
        <v>1</v>
      </c>
      <c r="G257" s="188">
        <f ca="1">IF(F257,IFERROR(((('Data Schema'!$C$3*(1+B257)^1)*((1-$I$4-$I$5+E257)*(1-$I$10)+$I$6-$I$11)-('Data Schema'!$C$3*(1+B257)^1-'Data Schema'!$C$3)*$I$12)/(1+C257)^1+(('Data Schema'!$C$3*(1+B257)^2)*((1-$I$4-$I$5+E257)*(1-$I$10)+$I$6-$I$11)-('Data Schema'!$C$3*(1+B257)^2-'Data Schema'!$C$3*(1+B257)^1)*$I$12)/(1+C257)^2+(('Data Schema'!$C$3*(1+B257)^3)*((1-$I$4-$I$5+E257)*(1-$I$10)+$I$6-$I$11)-('Data Schema'!$C$3*(1+B257)^3-'Data Schema'!$C$3*(1+B257)^2)*$I$12)/(1+C257)^3+(('Data Schema'!$C$3*(1+B257)^4)*((1-$I$4-$I$5+E257)*(1-$I$10)+$I$6-$I$11)-('Data Schema'!$C$3*(1+B257)^4-'Data Schema'!$C$3*(1+B257)^3)*$I$12)/(1+C257)^4+(('Data Schema'!$C$3*(1+B257)^5)*((1-$I$4-$I$5+E257)*(1-$I$10)+$I$6-$I$11)-('Data Schema'!$C$3*(1+B257)^5-'Data Schema'!$C$3*(1+B257)^4)*$I$12)/(1+C257)^5+((('Data Schema'!$C$3*(1+B257)^5)*((1-$I$4-$I$5+E257)*(1-$I$10)+$I$6-$I$11)-('Data Schema'!$C$3*(1+B257)^5-'Data Schema'!$C$3*(1+B257)^4)*$I$12)*(1+D257)/(C257-D257))/(1+C257)^5-'Data Schema'!$C$31+'Data Schema'!$C$21)/'Data Schema'!$B$17,0),"INVALID")</f>
        <v>35.98099538171509</v>
      </c>
      <c r="H257" s="189" t="b">
        <f t="shared" ca="1" si="26"/>
        <v>1</v>
      </c>
      <c r="I257" s="188">
        <f t="shared" ca="1" si="27"/>
        <v>35.98099538171509</v>
      </c>
      <c r="J257" s="349">
        <f t="shared" ca="1" si="20"/>
        <v>35.98099538171509</v>
      </c>
    </row>
    <row r="258" spans="1:10">
      <c r="A258" s="191">
        <v>79</v>
      </c>
      <c r="B258" s="190">
        <f t="shared" ca="1" si="21"/>
        <v>0.11615274967726903</v>
      </c>
      <c r="C258" s="190">
        <f t="shared" ca="1" si="22"/>
        <v>5.8146754167426512E-2</v>
      </c>
      <c r="D258" s="190">
        <f t="shared" ca="1" si="23"/>
        <v>2.8309062059708266E-2</v>
      </c>
      <c r="E258" s="190">
        <f t="shared" ca="1" si="24"/>
        <v>-6.4402459454714987E-3</v>
      </c>
      <c r="F258" s="189" t="b">
        <f t="shared" ca="1" si="25"/>
        <v>1</v>
      </c>
      <c r="G258" s="188">
        <f ca="1">IF(F258,IFERROR(((('Data Schema'!$C$3*(1+B258)^1)*((1-$I$4-$I$5+E258)*(1-$I$10)+$I$6-$I$11)-('Data Schema'!$C$3*(1+B258)^1-'Data Schema'!$C$3)*$I$12)/(1+C258)^1+(('Data Schema'!$C$3*(1+B258)^2)*((1-$I$4-$I$5+E258)*(1-$I$10)+$I$6-$I$11)-('Data Schema'!$C$3*(1+B258)^2-'Data Schema'!$C$3*(1+B258)^1)*$I$12)/(1+C258)^2+(('Data Schema'!$C$3*(1+B258)^3)*((1-$I$4-$I$5+E258)*(1-$I$10)+$I$6-$I$11)-('Data Schema'!$C$3*(1+B258)^3-'Data Schema'!$C$3*(1+B258)^2)*$I$12)/(1+C258)^3+(('Data Schema'!$C$3*(1+B258)^4)*((1-$I$4-$I$5+E258)*(1-$I$10)+$I$6-$I$11)-('Data Schema'!$C$3*(1+B258)^4-'Data Schema'!$C$3*(1+B258)^3)*$I$12)/(1+C258)^4+(('Data Schema'!$C$3*(1+B258)^5)*((1-$I$4-$I$5+E258)*(1-$I$10)+$I$6-$I$11)-('Data Schema'!$C$3*(1+B258)^5-'Data Schema'!$C$3*(1+B258)^4)*$I$12)/(1+C258)^5+((('Data Schema'!$C$3*(1+B258)^5)*((1-$I$4-$I$5+E258)*(1-$I$10)+$I$6-$I$11)-('Data Schema'!$C$3*(1+B258)^5-'Data Schema'!$C$3*(1+B258)^4)*$I$12)*(1+D258)/(C258-D258))/(1+C258)^5-'Data Schema'!$C$31+'Data Schema'!$C$21)/'Data Schema'!$B$17,0),"INVALID")</f>
        <v>84.985394919310636</v>
      </c>
      <c r="H258" s="189" t="b">
        <f t="shared" ca="1" si="26"/>
        <v>1</v>
      </c>
      <c r="I258" s="188">
        <f t="shared" ca="1" si="27"/>
        <v>84.985394919310636</v>
      </c>
      <c r="J258" s="349">
        <f t="shared" ca="1" si="20"/>
        <v>84.985394919310636</v>
      </c>
    </row>
    <row r="259" spans="1:10">
      <c r="A259" s="187">
        <v>80</v>
      </c>
      <c r="B259" s="190">
        <f t="shared" ca="1" si="21"/>
        <v>8.4423354550919497E-2</v>
      </c>
      <c r="C259" s="190">
        <f t="shared" ca="1" si="22"/>
        <v>5.2345555924496669E-2</v>
      </c>
      <c r="D259" s="190">
        <f t="shared" ca="1" si="23"/>
        <v>2.8495705802087389E-2</v>
      </c>
      <c r="E259" s="190">
        <f t="shared" ca="1" si="24"/>
        <v>-2.8053017083679521E-2</v>
      </c>
      <c r="F259" s="189" t="b">
        <f t="shared" ca="1" si="25"/>
        <v>1</v>
      </c>
      <c r="G259" s="188">
        <f ca="1">IF(F259,IFERROR(((('Data Schema'!$C$3*(1+B259)^1)*((1-$I$4-$I$5+E259)*(1-$I$10)+$I$6-$I$11)-('Data Schema'!$C$3*(1+B259)^1-'Data Schema'!$C$3)*$I$12)/(1+C259)^1+(('Data Schema'!$C$3*(1+B259)^2)*((1-$I$4-$I$5+E259)*(1-$I$10)+$I$6-$I$11)-('Data Schema'!$C$3*(1+B259)^2-'Data Schema'!$C$3*(1+B259)^1)*$I$12)/(1+C259)^2+(('Data Schema'!$C$3*(1+B259)^3)*((1-$I$4-$I$5+E259)*(1-$I$10)+$I$6-$I$11)-('Data Schema'!$C$3*(1+B259)^3-'Data Schema'!$C$3*(1+B259)^2)*$I$12)/(1+C259)^3+(('Data Schema'!$C$3*(1+B259)^4)*((1-$I$4-$I$5+E259)*(1-$I$10)+$I$6-$I$11)-('Data Schema'!$C$3*(1+B259)^4-'Data Schema'!$C$3*(1+B259)^3)*$I$12)/(1+C259)^4+(('Data Schema'!$C$3*(1+B259)^5)*((1-$I$4-$I$5+E259)*(1-$I$10)+$I$6-$I$11)-('Data Schema'!$C$3*(1+B259)^5-'Data Schema'!$C$3*(1+B259)^4)*$I$12)/(1+C259)^5+((('Data Schema'!$C$3*(1+B259)^5)*((1-$I$4-$I$5+E259)*(1-$I$10)+$I$6-$I$11)-('Data Schema'!$C$3*(1+B259)^5-'Data Schema'!$C$3*(1+B259)^4)*$I$12)*(1+D259)/(C259-D259))/(1+C259)^5-'Data Schema'!$C$31+'Data Schema'!$C$21)/'Data Schema'!$B$17,0),"INVALID")</f>
        <v>15.967737632804999</v>
      </c>
      <c r="H259" s="189" t="b">
        <f t="shared" ca="1" si="26"/>
        <v>1</v>
      </c>
      <c r="I259" s="188">
        <f t="shared" ca="1" si="27"/>
        <v>15.967737632804999</v>
      </c>
      <c r="J259" s="349" t="str">
        <f t="shared" ca="1" si="20"/>
        <v/>
      </c>
    </row>
    <row r="260" spans="1:10">
      <c r="A260" s="191">
        <v>81</v>
      </c>
      <c r="B260" s="190">
        <f t="shared" ca="1" si="21"/>
        <v>8.113202995108397E-2</v>
      </c>
      <c r="C260" s="190">
        <f t="shared" ca="1" si="22"/>
        <v>6.6414141789503653E-2</v>
      </c>
      <c r="D260" s="190">
        <f t="shared" ca="1" si="23"/>
        <v>2.0794992979953509E-2</v>
      </c>
      <c r="E260" s="190">
        <f t="shared" ca="1" si="24"/>
        <v>6.2274663749178538E-3</v>
      </c>
      <c r="F260" s="189" t="b">
        <f t="shared" ca="1" si="25"/>
        <v>1</v>
      </c>
      <c r="G260" s="188">
        <f ca="1">IF(F260,IFERROR(((('Data Schema'!$C$3*(1+B260)^1)*((1-$I$4-$I$5+E260)*(1-$I$10)+$I$6-$I$11)-('Data Schema'!$C$3*(1+B260)^1-'Data Schema'!$C$3)*$I$12)/(1+C260)^1+(('Data Schema'!$C$3*(1+B260)^2)*((1-$I$4-$I$5+E260)*(1-$I$10)+$I$6-$I$11)-('Data Schema'!$C$3*(1+B260)^2-'Data Schema'!$C$3*(1+B260)^1)*$I$12)/(1+C260)^2+(('Data Schema'!$C$3*(1+B260)^3)*((1-$I$4-$I$5+E260)*(1-$I$10)+$I$6-$I$11)-('Data Schema'!$C$3*(1+B260)^3-'Data Schema'!$C$3*(1+B260)^2)*$I$12)/(1+C260)^3+(('Data Schema'!$C$3*(1+B260)^4)*((1-$I$4-$I$5+E260)*(1-$I$10)+$I$6-$I$11)-('Data Schema'!$C$3*(1+B260)^4-'Data Schema'!$C$3*(1+B260)^3)*$I$12)/(1+C260)^4+(('Data Schema'!$C$3*(1+B260)^5)*((1-$I$4-$I$5+E260)*(1-$I$10)+$I$6-$I$11)-('Data Schema'!$C$3*(1+B260)^5-'Data Schema'!$C$3*(1+B260)^4)*$I$12)/(1+C260)^5+((('Data Schema'!$C$3*(1+B260)^5)*((1-$I$4-$I$5+E260)*(1-$I$10)+$I$6-$I$11)-('Data Schema'!$C$3*(1+B260)^5-'Data Schema'!$C$3*(1+B260)^4)*$I$12)*(1+D260)/(C260-D260))/(1+C260)^5-'Data Schema'!$C$31+'Data Schema'!$C$21)/'Data Schema'!$B$17,0),"INVALID")</f>
        <v>71.871557927147066</v>
      </c>
      <c r="H260" s="189" t="b">
        <f t="shared" ca="1" si="26"/>
        <v>1</v>
      </c>
      <c r="I260" s="188">
        <f t="shared" ca="1" si="27"/>
        <v>71.871557927147066</v>
      </c>
      <c r="J260" s="349">
        <f t="shared" ca="1" si="20"/>
        <v>71.871557927147066</v>
      </c>
    </row>
    <row r="261" spans="1:10">
      <c r="A261" s="187">
        <v>82</v>
      </c>
      <c r="B261" s="190">
        <f t="shared" ca="1" si="21"/>
        <v>0.14844973071159889</v>
      </c>
      <c r="C261" s="190">
        <f t="shared" ca="1" si="22"/>
        <v>5.9636624020364522E-2</v>
      </c>
      <c r="D261" s="190">
        <f t="shared" ca="1" si="23"/>
        <v>2.7868009196451063E-2</v>
      </c>
      <c r="E261" s="190">
        <f t="shared" ca="1" si="24"/>
        <v>9.2657775236164881E-3</v>
      </c>
      <c r="F261" s="189" t="b">
        <f t="shared" ca="1" si="25"/>
        <v>1</v>
      </c>
      <c r="G261" s="188">
        <f ca="1">IF(F261,IFERROR(((('Data Schema'!$C$3*(1+B261)^1)*((1-$I$4-$I$5+E261)*(1-$I$10)+$I$6-$I$11)-('Data Schema'!$C$3*(1+B261)^1-'Data Schema'!$C$3)*$I$12)/(1+C261)^1+(('Data Schema'!$C$3*(1+B261)^2)*((1-$I$4-$I$5+E261)*(1-$I$10)+$I$6-$I$11)-('Data Schema'!$C$3*(1+B261)^2-'Data Schema'!$C$3*(1+B261)^1)*$I$12)/(1+C261)^2+(('Data Schema'!$C$3*(1+B261)^3)*((1-$I$4-$I$5+E261)*(1-$I$10)+$I$6-$I$11)-('Data Schema'!$C$3*(1+B261)^3-'Data Schema'!$C$3*(1+B261)^2)*$I$12)/(1+C261)^3+(('Data Schema'!$C$3*(1+B261)^4)*((1-$I$4-$I$5+E261)*(1-$I$10)+$I$6-$I$11)-('Data Schema'!$C$3*(1+B261)^4-'Data Schema'!$C$3*(1+B261)^3)*$I$12)/(1+C261)^4+(('Data Schema'!$C$3*(1+B261)^5)*((1-$I$4-$I$5+E261)*(1-$I$10)+$I$6-$I$11)-('Data Schema'!$C$3*(1+B261)^5-'Data Schema'!$C$3*(1+B261)^4)*$I$12)/(1+C261)^5+((('Data Schema'!$C$3*(1+B261)^5)*((1-$I$4-$I$5+E261)*(1-$I$10)+$I$6-$I$11)-('Data Schema'!$C$3*(1+B261)^5-'Data Schema'!$C$3*(1+B261)^4)*$I$12)*(1+D261)/(C261-D261))/(1+C261)^5-'Data Schema'!$C$31+'Data Schema'!$C$21)/'Data Schema'!$B$17,0),"INVALID")</f>
        <v>146.96817127486548</v>
      </c>
      <c r="H261" s="189" t="b">
        <f t="shared" ca="1" si="26"/>
        <v>1</v>
      </c>
      <c r="I261" s="188">
        <f t="shared" ca="1" si="27"/>
        <v>146.96817127486548</v>
      </c>
      <c r="J261" s="349">
        <f t="shared" ca="1" si="20"/>
        <v>146.96817127486548</v>
      </c>
    </row>
    <row r="262" spans="1:10">
      <c r="A262" s="191">
        <v>83</v>
      </c>
      <c r="B262" s="190">
        <f t="shared" ca="1" si="21"/>
        <v>7.7121371052071591E-2</v>
      </c>
      <c r="C262" s="190">
        <f t="shared" ca="1" si="22"/>
        <v>4.3167455558343629E-2</v>
      </c>
      <c r="D262" s="190">
        <f t="shared" ca="1" si="23"/>
        <v>2.1484463489782338E-2</v>
      </c>
      <c r="E262" s="190">
        <f t="shared" ca="1" si="24"/>
        <v>-4.0259315702716033E-3</v>
      </c>
      <c r="F262" s="189" t="b">
        <f t="shared" ca="1" si="25"/>
        <v>1</v>
      </c>
      <c r="G262" s="188">
        <f ca="1">IF(F262,IFERROR(((('Data Schema'!$C$3*(1+B262)^1)*((1-$I$4-$I$5+E262)*(1-$I$10)+$I$6-$I$11)-('Data Schema'!$C$3*(1+B262)^1-'Data Schema'!$C$3)*$I$12)/(1+C262)^1+(('Data Schema'!$C$3*(1+B262)^2)*((1-$I$4-$I$5+E262)*(1-$I$10)+$I$6-$I$11)-('Data Schema'!$C$3*(1+B262)^2-'Data Schema'!$C$3*(1+B262)^1)*$I$12)/(1+C262)^2+(('Data Schema'!$C$3*(1+B262)^3)*((1-$I$4-$I$5+E262)*(1-$I$10)+$I$6-$I$11)-('Data Schema'!$C$3*(1+B262)^3-'Data Schema'!$C$3*(1+B262)^2)*$I$12)/(1+C262)^3+(('Data Schema'!$C$3*(1+B262)^4)*((1-$I$4-$I$5+E262)*(1-$I$10)+$I$6-$I$11)-('Data Schema'!$C$3*(1+B262)^4-'Data Schema'!$C$3*(1+B262)^3)*$I$12)/(1+C262)^4+(('Data Schema'!$C$3*(1+B262)^5)*((1-$I$4-$I$5+E262)*(1-$I$10)+$I$6-$I$11)-('Data Schema'!$C$3*(1+B262)^5-'Data Schema'!$C$3*(1+B262)^4)*$I$12)/(1+C262)^5+((('Data Schema'!$C$3*(1+B262)^5)*((1-$I$4-$I$5+E262)*(1-$I$10)+$I$6-$I$11)-('Data Schema'!$C$3*(1+B262)^5-'Data Schema'!$C$3*(1+B262)^4)*$I$12)*(1+D262)/(C262-D262))/(1+C262)^5-'Data Schema'!$C$31+'Data Schema'!$C$21)/'Data Schema'!$B$17,0),"INVALID")</f>
        <v>116.20832553189902</v>
      </c>
      <c r="H262" s="189" t="b">
        <f t="shared" ca="1" si="26"/>
        <v>1</v>
      </c>
      <c r="I262" s="188">
        <f t="shared" ca="1" si="27"/>
        <v>116.20832553189902</v>
      </c>
      <c r="J262" s="349">
        <f t="shared" ca="1" si="20"/>
        <v>116.20832553189902</v>
      </c>
    </row>
    <row r="263" spans="1:10">
      <c r="A263" s="187">
        <v>84</v>
      </c>
      <c r="B263" s="190">
        <f t="shared" ca="1" si="21"/>
        <v>9.7077280626048562E-2</v>
      </c>
      <c r="C263" s="190">
        <f t="shared" ca="1" si="22"/>
        <v>6.3240936301570655E-2</v>
      </c>
      <c r="D263" s="190">
        <f t="shared" ca="1" si="23"/>
        <v>1.8010240410165974E-2</v>
      </c>
      <c r="E263" s="190">
        <f t="shared" ca="1" si="24"/>
        <v>-3.8366459629030063E-2</v>
      </c>
      <c r="F263" s="189" t="b">
        <f t="shared" ca="1" si="25"/>
        <v>1</v>
      </c>
      <c r="G263" s="188">
        <f ca="1">IF(F263,IFERROR(((('Data Schema'!$C$3*(1+B263)^1)*((1-$I$4-$I$5+E263)*(1-$I$10)+$I$6-$I$11)-('Data Schema'!$C$3*(1+B263)^1-'Data Schema'!$C$3)*$I$12)/(1+C263)^1+(('Data Schema'!$C$3*(1+B263)^2)*((1-$I$4-$I$5+E263)*(1-$I$10)+$I$6-$I$11)-('Data Schema'!$C$3*(1+B263)^2-'Data Schema'!$C$3*(1+B263)^1)*$I$12)/(1+C263)^2+(('Data Schema'!$C$3*(1+B263)^3)*((1-$I$4-$I$5+E263)*(1-$I$10)+$I$6-$I$11)-('Data Schema'!$C$3*(1+B263)^3-'Data Schema'!$C$3*(1+B263)^2)*$I$12)/(1+C263)^3+(('Data Schema'!$C$3*(1+B263)^4)*((1-$I$4-$I$5+E263)*(1-$I$10)+$I$6-$I$11)-('Data Schema'!$C$3*(1+B263)^4-'Data Schema'!$C$3*(1+B263)^3)*$I$12)/(1+C263)^4+(('Data Schema'!$C$3*(1+B263)^5)*((1-$I$4-$I$5+E263)*(1-$I$10)+$I$6-$I$11)-('Data Schema'!$C$3*(1+B263)^5-'Data Schema'!$C$3*(1+B263)^4)*$I$12)/(1+C263)^5+((('Data Schema'!$C$3*(1+B263)^5)*((1-$I$4-$I$5+E263)*(1-$I$10)+$I$6-$I$11)-('Data Schema'!$C$3*(1+B263)^5-'Data Schema'!$C$3*(1+B263)^4)*$I$12)*(1+D263)/(C263-D263))/(1+C263)^5-'Data Schema'!$C$31+'Data Schema'!$C$21)/'Data Schema'!$B$17,0),"INVALID")</f>
        <v>-16.347016482136571</v>
      </c>
      <c r="H263" s="189" t="b">
        <f t="shared" ca="1" si="26"/>
        <v>0</v>
      </c>
      <c r="I263" s="188" t="str">
        <f t="shared" ca="1" si="27"/>
        <v/>
      </c>
      <c r="J263" s="349" t="str">
        <f t="shared" ca="1" si="20"/>
        <v/>
      </c>
    </row>
    <row r="264" spans="1:10">
      <c r="A264" s="191">
        <v>85</v>
      </c>
      <c r="B264" s="190">
        <f t="shared" ca="1" si="21"/>
        <v>0.12035352294877502</v>
      </c>
      <c r="C264" s="190">
        <f t="shared" ca="1" si="22"/>
        <v>7.8771443172596239E-2</v>
      </c>
      <c r="D264" s="190">
        <f t="shared" ca="1" si="23"/>
        <v>2.7858314464414401E-2</v>
      </c>
      <c r="E264" s="190">
        <f t="shared" ca="1" si="24"/>
        <v>-1.4268988053783554E-2</v>
      </c>
      <c r="F264" s="189" t="b">
        <f t="shared" ca="1" si="25"/>
        <v>1</v>
      </c>
      <c r="G264" s="188">
        <f ca="1">IF(F264,IFERROR(((('Data Schema'!$C$3*(1+B264)^1)*((1-$I$4-$I$5+E264)*(1-$I$10)+$I$6-$I$11)-('Data Schema'!$C$3*(1+B264)^1-'Data Schema'!$C$3)*$I$12)/(1+C264)^1+(('Data Schema'!$C$3*(1+B264)^2)*((1-$I$4-$I$5+E264)*(1-$I$10)+$I$6-$I$11)-('Data Schema'!$C$3*(1+B264)^2-'Data Schema'!$C$3*(1+B264)^1)*$I$12)/(1+C264)^2+(('Data Schema'!$C$3*(1+B264)^3)*((1-$I$4-$I$5+E264)*(1-$I$10)+$I$6-$I$11)-('Data Schema'!$C$3*(1+B264)^3-'Data Schema'!$C$3*(1+B264)^2)*$I$12)/(1+C264)^3+(('Data Schema'!$C$3*(1+B264)^4)*((1-$I$4-$I$5+E264)*(1-$I$10)+$I$6-$I$11)-('Data Schema'!$C$3*(1+B264)^4-'Data Schema'!$C$3*(1+B264)^3)*$I$12)/(1+C264)^4+(('Data Schema'!$C$3*(1+B264)^5)*((1-$I$4-$I$5+E264)*(1-$I$10)+$I$6-$I$11)-('Data Schema'!$C$3*(1+B264)^5-'Data Schema'!$C$3*(1+B264)^4)*$I$12)/(1+C264)^5+((('Data Schema'!$C$3*(1+B264)^5)*((1-$I$4-$I$5+E264)*(1-$I$10)+$I$6-$I$11)-('Data Schema'!$C$3*(1+B264)^5-'Data Schema'!$C$3*(1+B264)^4)*$I$12)*(1+D264)/(C264-D264))/(1+C264)^5-'Data Schema'!$C$31+'Data Schema'!$C$21)/'Data Schema'!$B$17,0),"INVALID")</f>
        <v>31.377750359017</v>
      </c>
      <c r="H264" s="189" t="b">
        <f t="shared" ca="1" si="26"/>
        <v>1</v>
      </c>
      <c r="I264" s="188">
        <f t="shared" ca="1" si="27"/>
        <v>31.377750359017</v>
      </c>
      <c r="J264" s="349">
        <f t="shared" ca="1" si="20"/>
        <v>31.377750359017</v>
      </c>
    </row>
    <row r="265" spans="1:10">
      <c r="A265" s="187">
        <v>86</v>
      </c>
      <c r="B265" s="190">
        <f t="shared" ca="1" si="21"/>
        <v>6.9843261897179709E-2</v>
      </c>
      <c r="C265" s="190">
        <f t="shared" ca="1" si="22"/>
        <v>5.7761542877603544E-2</v>
      </c>
      <c r="D265" s="190">
        <f t="shared" ca="1" si="23"/>
        <v>3.1739386008288448E-2</v>
      </c>
      <c r="E265" s="190">
        <f t="shared" ca="1" si="24"/>
        <v>-1.3014623649599107E-2</v>
      </c>
      <c r="F265" s="189" t="b">
        <f t="shared" ca="1" si="25"/>
        <v>1</v>
      </c>
      <c r="G265" s="188">
        <f ca="1">IF(F265,IFERROR(((('Data Schema'!$C$3*(1+B265)^1)*((1-$I$4-$I$5+E265)*(1-$I$10)+$I$6-$I$11)-('Data Schema'!$C$3*(1+B265)^1-'Data Schema'!$C$3)*$I$12)/(1+C265)^1+(('Data Schema'!$C$3*(1+B265)^2)*((1-$I$4-$I$5+E265)*(1-$I$10)+$I$6-$I$11)-('Data Schema'!$C$3*(1+B265)^2-'Data Schema'!$C$3*(1+B265)^1)*$I$12)/(1+C265)^2+(('Data Schema'!$C$3*(1+B265)^3)*((1-$I$4-$I$5+E265)*(1-$I$10)+$I$6-$I$11)-('Data Schema'!$C$3*(1+B265)^3-'Data Schema'!$C$3*(1+B265)^2)*$I$12)/(1+C265)^3+(('Data Schema'!$C$3*(1+B265)^4)*((1-$I$4-$I$5+E265)*(1-$I$10)+$I$6-$I$11)-('Data Schema'!$C$3*(1+B265)^4-'Data Schema'!$C$3*(1+B265)^3)*$I$12)/(1+C265)^4+(('Data Schema'!$C$3*(1+B265)^5)*((1-$I$4-$I$5+E265)*(1-$I$10)+$I$6-$I$11)-('Data Schema'!$C$3*(1+B265)^5-'Data Schema'!$C$3*(1+B265)^4)*$I$12)/(1+C265)^5+((('Data Schema'!$C$3*(1+B265)^5)*((1-$I$4-$I$5+E265)*(1-$I$10)+$I$6-$I$11)-('Data Schema'!$C$3*(1+B265)^5-'Data Schema'!$C$3*(1+B265)^4)*$I$12)*(1+D265)/(C265-D265))/(1+C265)^5-'Data Schema'!$C$31+'Data Schema'!$C$21)/'Data Schema'!$B$17,0),"INVALID")</f>
        <v>60.793057704082692</v>
      </c>
      <c r="H265" s="189" t="b">
        <f t="shared" ca="1" si="26"/>
        <v>1</v>
      </c>
      <c r="I265" s="188">
        <f t="shared" ca="1" si="27"/>
        <v>60.793057704082692</v>
      </c>
      <c r="J265" s="349">
        <f t="shared" ca="1" si="20"/>
        <v>60.793057704082692</v>
      </c>
    </row>
    <row r="266" spans="1:10">
      <c r="A266" s="191">
        <v>87</v>
      </c>
      <c r="B266" s="190">
        <f t="shared" ca="1" si="21"/>
        <v>0.10474187732661816</v>
      </c>
      <c r="C266" s="190">
        <f t="shared" ca="1" si="22"/>
        <v>7.1710997408843694E-2</v>
      </c>
      <c r="D266" s="190">
        <f t="shared" ca="1" si="23"/>
        <v>2.9210657876823268E-2</v>
      </c>
      <c r="E266" s="190">
        <f t="shared" ca="1" si="24"/>
        <v>-3.5276382100616261E-3</v>
      </c>
      <c r="F266" s="189" t="b">
        <f t="shared" ca="1" si="25"/>
        <v>1</v>
      </c>
      <c r="G266" s="188">
        <f ca="1">IF(F266,IFERROR(((('Data Schema'!$C$3*(1+B266)^1)*((1-$I$4-$I$5+E266)*(1-$I$10)+$I$6-$I$11)-('Data Schema'!$C$3*(1+B266)^1-'Data Schema'!$C$3)*$I$12)/(1+C266)^1+(('Data Schema'!$C$3*(1+B266)^2)*((1-$I$4-$I$5+E266)*(1-$I$10)+$I$6-$I$11)-('Data Schema'!$C$3*(1+B266)^2-'Data Schema'!$C$3*(1+B266)^1)*$I$12)/(1+C266)^2+(('Data Schema'!$C$3*(1+B266)^3)*((1-$I$4-$I$5+E266)*(1-$I$10)+$I$6-$I$11)-('Data Schema'!$C$3*(1+B266)^3-'Data Schema'!$C$3*(1+B266)^2)*$I$12)/(1+C266)^3+(('Data Schema'!$C$3*(1+B266)^4)*((1-$I$4-$I$5+E266)*(1-$I$10)+$I$6-$I$11)-('Data Schema'!$C$3*(1+B266)^4-'Data Schema'!$C$3*(1+B266)^3)*$I$12)/(1+C266)^4+(('Data Schema'!$C$3*(1+B266)^5)*((1-$I$4-$I$5+E266)*(1-$I$10)+$I$6-$I$11)-('Data Schema'!$C$3*(1+B266)^5-'Data Schema'!$C$3*(1+B266)^4)*$I$12)/(1+C266)^5+((('Data Schema'!$C$3*(1+B266)^5)*((1-$I$4-$I$5+E266)*(1-$I$10)+$I$6-$I$11)-('Data Schema'!$C$3*(1+B266)^5-'Data Schema'!$C$3*(1+B266)^4)*$I$12)*(1+D266)/(C266-D266))/(1+C266)^5-'Data Schema'!$C$31+'Data Schema'!$C$21)/'Data Schema'!$B$17,0),"INVALID")</f>
        <v>60.939857399047256</v>
      </c>
      <c r="H266" s="189" t="b">
        <f t="shared" ca="1" si="26"/>
        <v>1</v>
      </c>
      <c r="I266" s="188">
        <f t="shared" ca="1" si="27"/>
        <v>60.939857399047256</v>
      </c>
      <c r="J266" s="349">
        <f t="shared" ca="1" si="20"/>
        <v>60.939857399047256</v>
      </c>
    </row>
    <row r="267" spans="1:10">
      <c r="A267" s="187">
        <v>88</v>
      </c>
      <c r="B267" s="190">
        <f t="shared" ca="1" si="21"/>
        <v>0.11863874300563715</v>
      </c>
      <c r="C267" s="190">
        <f t="shared" ca="1" si="22"/>
        <v>5.1333948156444029E-2</v>
      </c>
      <c r="D267" s="190">
        <f t="shared" ca="1" si="23"/>
        <v>2.8478475702064937E-2</v>
      </c>
      <c r="E267" s="190">
        <f t="shared" ca="1" si="24"/>
        <v>-1.4073041743310408E-2</v>
      </c>
      <c r="F267" s="189" t="b">
        <f t="shared" ca="1" si="25"/>
        <v>1</v>
      </c>
      <c r="G267" s="188">
        <f ca="1">IF(F267,IFERROR(((('Data Schema'!$C$3*(1+B267)^1)*((1-$I$4-$I$5+E267)*(1-$I$10)+$I$6-$I$11)-('Data Schema'!$C$3*(1+B267)^1-'Data Schema'!$C$3)*$I$12)/(1+C267)^1+(('Data Schema'!$C$3*(1+B267)^2)*((1-$I$4-$I$5+E267)*(1-$I$10)+$I$6-$I$11)-('Data Schema'!$C$3*(1+B267)^2-'Data Schema'!$C$3*(1+B267)^1)*$I$12)/(1+C267)^2+(('Data Schema'!$C$3*(1+B267)^3)*((1-$I$4-$I$5+E267)*(1-$I$10)+$I$6-$I$11)-('Data Schema'!$C$3*(1+B267)^3-'Data Schema'!$C$3*(1+B267)^2)*$I$12)/(1+C267)^3+(('Data Schema'!$C$3*(1+B267)^4)*((1-$I$4-$I$5+E267)*(1-$I$10)+$I$6-$I$11)-('Data Schema'!$C$3*(1+B267)^4-'Data Schema'!$C$3*(1+B267)^3)*$I$12)/(1+C267)^4+(('Data Schema'!$C$3*(1+B267)^5)*((1-$I$4-$I$5+E267)*(1-$I$10)+$I$6-$I$11)-('Data Schema'!$C$3*(1+B267)^5-'Data Schema'!$C$3*(1+B267)^4)*$I$12)/(1+C267)^5+((('Data Schema'!$C$3*(1+B267)^5)*((1-$I$4-$I$5+E267)*(1-$I$10)+$I$6-$I$11)-('Data Schema'!$C$3*(1+B267)^5-'Data Schema'!$C$3*(1+B267)^4)*$I$12)*(1+D267)/(C267-D267))/(1+C267)^5-'Data Schema'!$C$31+'Data Schema'!$C$21)/'Data Schema'!$B$17,0),"INVALID")</f>
        <v>80.320251262327318</v>
      </c>
      <c r="H267" s="189" t="b">
        <f t="shared" ca="1" si="26"/>
        <v>1</v>
      </c>
      <c r="I267" s="188">
        <f t="shared" ca="1" si="27"/>
        <v>80.320251262327318</v>
      </c>
      <c r="J267" s="349">
        <f t="shared" ca="1" si="20"/>
        <v>80.320251262327318</v>
      </c>
    </row>
    <row r="268" spans="1:10">
      <c r="A268" s="191">
        <v>89</v>
      </c>
      <c r="B268" s="190">
        <f t="shared" ca="1" si="21"/>
        <v>0.10929345859097542</v>
      </c>
      <c r="C268" s="190">
        <f t="shared" ca="1" si="22"/>
        <v>5.8317824102843759E-2</v>
      </c>
      <c r="D268" s="190">
        <f t="shared" ca="1" si="23"/>
        <v>2.2451611416026845E-2</v>
      </c>
      <c r="E268" s="190">
        <f t="shared" ca="1" si="24"/>
        <v>5.2232653014643304E-3</v>
      </c>
      <c r="F268" s="189" t="b">
        <f t="shared" ca="1" si="25"/>
        <v>1</v>
      </c>
      <c r="G268" s="188">
        <f ca="1">IF(F268,IFERROR(((('Data Schema'!$C$3*(1+B268)^1)*((1-$I$4-$I$5+E268)*(1-$I$10)+$I$6-$I$11)-('Data Schema'!$C$3*(1+B268)^1-'Data Schema'!$C$3)*$I$12)/(1+C268)^1+(('Data Schema'!$C$3*(1+B268)^2)*((1-$I$4-$I$5+E268)*(1-$I$10)+$I$6-$I$11)-('Data Schema'!$C$3*(1+B268)^2-'Data Schema'!$C$3*(1+B268)^1)*$I$12)/(1+C268)^2+(('Data Schema'!$C$3*(1+B268)^3)*((1-$I$4-$I$5+E268)*(1-$I$10)+$I$6-$I$11)-('Data Schema'!$C$3*(1+B268)^3-'Data Schema'!$C$3*(1+B268)^2)*$I$12)/(1+C268)^3+(('Data Schema'!$C$3*(1+B268)^4)*((1-$I$4-$I$5+E268)*(1-$I$10)+$I$6-$I$11)-('Data Schema'!$C$3*(1+B268)^4-'Data Schema'!$C$3*(1+B268)^3)*$I$12)/(1+C268)^4+(('Data Schema'!$C$3*(1+B268)^5)*((1-$I$4-$I$5+E268)*(1-$I$10)+$I$6-$I$11)-('Data Schema'!$C$3*(1+B268)^5-'Data Schema'!$C$3*(1+B268)^4)*$I$12)/(1+C268)^5+((('Data Schema'!$C$3*(1+B268)^5)*((1-$I$4-$I$5+E268)*(1-$I$10)+$I$6-$I$11)-('Data Schema'!$C$3*(1+B268)^5-'Data Schema'!$C$3*(1+B268)^4)*$I$12)*(1+D268)/(C268-D268))/(1+C268)^5-'Data Schema'!$C$31+'Data Schema'!$C$21)/'Data Schema'!$B$17,0),"INVALID")</f>
        <v>101.56823306483501</v>
      </c>
      <c r="H268" s="189" t="b">
        <f t="shared" ca="1" si="26"/>
        <v>1</v>
      </c>
      <c r="I268" s="188">
        <f t="shared" ca="1" si="27"/>
        <v>101.56823306483501</v>
      </c>
      <c r="J268" s="349">
        <f t="shared" ca="1" si="20"/>
        <v>101.56823306483501</v>
      </c>
    </row>
    <row r="269" spans="1:10">
      <c r="A269" s="187">
        <v>90</v>
      </c>
      <c r="B269" s="190">
        <f t="shared" ca="1" si="21"/>
        <v>0.10876273477237482</v>
      </c>
      <c r="C269" s="190">
        <f t="shared" ca="1" si="22"/>
        <v>5.7494421934583442E-2</v>
      </c>
      <c r="D269" s="190">
        <f t="shared" ca="1" si="23"/>
        <v>2.7292850054118536E-2</v>
      </c>
      <c r="E269" s="190">
        <f t="shared" ca="1" si="24"/>
        <v>3.2538422198375452E-2</v>
      </c>
      <c r="F269" s="189" t="b">
        <f t="shared" ca="1" si="25"/>
        <v>1</v>
      </c>
      <c r="G269" s="188">
        <f ca="1">IF(F269,IFERROR(((('Data Schema'!$C$3*(1+B269)^1)*((1-$I$4-$I$5+E269)*(1-$I$10)+$I$6-$I$11)-('Data Schema'!$C$3*(1+B269)^1-'Data Schema'!$C$3)*$I$12)/(1+C269)^1+(('Data Schema'!$C$3*(1+B269)^2)*((1-$I$4-$I$5+E269)*(1-$I$10)+$I$6-$I$11)-('Data Schema'!$C$3*(1+B269)^2-'Data Schema'!$C$3*(1+B269)^1)*$I$12)/(1+C269)^2+(('Data Schema'!$C$3*(1+B269)^3)*((1-$I$4-$I$5+E269)*(1-$I$10)+$I$6-$I$11)-('Data Schema'!$C$3*(1+B269)^3-'Data Schema'!$C$3*(1+B269)^2)*$I$12)/(1+C269)^3+(('Data Schema'!$C$3*(1+B269)^4)*((1-$I$4-$I$5+E269)*(1-$I$10)+$I$6-$I$11)-('Data Schema'!$C$3*(1+B269)^4-'Data Schema'!$C$3*(1+B269)^3)*$I$12)/(1+C269)^4+(('Data Schema'!$C$3*(1+B269)^5)*((1-$I$4-$I$5+E269)*(1-$I$10)+$I$6-$I$11)-('Data Schema'!$C$3*(1+B269)^5-'Data Schema'!$C$3*(1+B269)^4)*$I$12)/(1+C269)^5+((('Data Schema'!$C$3*(1+B269)^5)*((1-$I$4-$I$5+E269)*(1-$I$10)+$I$6-$I$11)-('Data Schema'!$C$3*(1+B269)^5-'Data Schema'!$C$3*(1+B269)^4)*$I$12)*(1+D269)/(C269-D269))/(1+C269)^5-'Data Schema'!$C$31+'Data Schema'!$C$21)/'Data Schema'!$B$17,0),"INVALID")</f>
        <v>208.88629829977339</v>
      </c>
      <c r="H269" s="189" t="b">
        <f t="shared" ca="1" si="26"/>
        <v>1</v>
      </c>
      <c r="I269" s="188">
        <f t="shared" ca="1" si="27"/>
        <v>208.88629829977339</v>
      </c>
      <c r="J269" s="349">
        <f t="shared" ca="1" si="20"/>
        <v>208.88629829977339</v>
      </c>
    </row>
    <row r="270" spans="1:10">
      <c r="A270" s="191">
        <v>91</v>
      </c>
      <c r="B270" s="190">
        <f t="shared" ca="1" si="21"/>
        <v>0.10436905102416288</v>
      </c>
      <c r="C270" s="190">
        <f t="shared" ca="1" si="22"/>
        <v>5.3664552285593387E-2</v>
      </c>
      <c r="D270" s="190">
        <f t="shared" ca="1" si="23"/>
        <v>3.336171072801826E-2</v>
      </c>
      <c r="E270" s="190">
        <f t="shared" ca="1" si="24"/>
        <v>-6.6882951556413526E-3</v>
      </c>
      <c r="F270" s="189" t="b">
        <f t="shared" ca="1" si="25"/>
        <v>1</v>
      </c>
      <c r="G270" s="188">
        <f ca="1">IF(F270,IFERROR(((('Data Schema'!$C$3*(1+B270)^1)*((1-$I$4-$I$5+E270)*(1-$I$10)+$I$6-$I$11)-('Data Schema'!$C$3*(1+B270)^1-'Data Schema'!$C$3)*$I$12)/(1+C270)^1+(('Data Schema'!$C$3*(1+B270)^2)*((1-$I$4-$I$5+E270)*(1-$I$10)+$I$6-$I$11)-('Data Schema'!$C$3*(1+B270)^2-'Data Schema'!$C$3*(1+B270)^1)*$I$12)/(1+C270)^2+(('Data Schema'!$C$3*(1+B270)^3)*((1-$I$4-$I$5+E270)*(1-$I$10)+$I$6-$I$11)-('Data Schema'!$C$3*(1+B270)^3-'Data Schema'!$C$3*(1+B270)^2)*$I$12)/(1+C270)^3+(('Data Schema'!$C$3*(1+B270)^4)*((1-$I$4-$I$5+E270)*(1-$I$10)+$I$6-$I$11)-('Data Schema'!$C$3*(1+B270)^4-'Data Schema'!$C$3*(1+B270)^3)*$I$12)/(1+C270)^4+(('Data Schema'!$C$3*(1+B270)^5)*((1-$I$4-$I$5+E270)*(1-$I$10)+$I$6-$I$11)-('Data Schema'!$C$3*(1+B270)^5-'Data Schema'!$C$3*(1+B270)^4)*$I$12)/(1+C270)^5+((('Data Schema'!$C$3*(1+B270)^5)*((1-$I$4-$I$5+E270)*(1-$I$10)+$I$6-$I$11)-('Data Schema'!$C$3*(1+B270)^5-'Data Schema'!$C$3*(1+B270)^4)*$I$12)*(1+D270)/(C270-D270))/(1+C270)^5-'Data Schema'!$C$31+'Data Schema'!$C$21)/'Data Schema'!$B$17,0),"INVALID")</f>
        <v>119.84528709748032</v>
      </c>
      <c r="H270" s="189" t="b">
        <f t="shared" ca="1" si="26"/>
        <v>1</v>
      </c>
      <c r="I270" s="188">
        <f t="shared" ca="1" si="27"/>
        <v>119.84528709748032</v>
      </c>
      <c r="J270" s="349">
        <f t="shared" ca="1" si="20"/>
        <v>119.84528709748032</v>
      </c>
    </row>
    <row r="271" spans="1:10">
      <c r="A271" s="187">
        <v>92</v>
      </c>
      <c r="B271" s="190">
        <f t="shared" ca="1" si="21"/>
        <v>8.9670179310435583E-2</v>
      </c>
      <c r="C271" s="190">
        <f t="shared" ca="1" si="22"/>
        <v>6.8159323728922389E-2</v>
      </c>
      <c r="D271" s="190">
        <f t="shared" ca="1" si="23"/>
        <v>3.0797996629212863E-2</v>
      </c>
      <c r="E271" s="190">
        <f t="shared" ca="1" si="24"/>
        <v>9.9825649186066328E-3</v>
      </c>
      <c r="F271" s="189" t="b">
        <f t="shared" ca="1" si="25"/>
        <v>1</v>
      </c>
      <c r="G271" s="188">
        <f ca="1">IF(F271,IFERROR(((('Data Schema'!$C$3*(1+B271)^1)*((1-$I$4-$I$5+E271)*(1-$I$10)+$I$6-$I$11)-('Data Schema'!$C$3*(1+B271)^1-'Data Schema'!$C$3)*$I$12)/(1+C271)^1+(('Data Schema'!$C$3*(1+B271)^2)*((1-$I$4-$I$5+E271)*(1-$I$10)+$I$6-$I$11)-('Data Schema'!$C$3*(1+B271)^2-'Data Schema'!$C$3*(1+B271)^1)*$I$12)/(1+C271)^2+(('Data Schema'!$C$3*(1+B271)^3)*((1-$I$4-$I$5+E271)*(1-$I$10)+$I$6-$I$11)-('Data Schema'!$C$3*(1+B271)^3-'Data Schema'!$C$3*(1+B271)^2)*$I$12)/(1+C271)^3+(('Data Schema'!$C$3*(1+B271)^4)*((1-$I$4-$I$5+E271)*(1-$I$10)+$I$6-$I$11)-('Data Schema'!$C$3*(1+B271)^4-'Data Schema'!$C$3*(1+B271)^3)*$I$12)/(1+C271)^4+(('Data Schema'!$C$3*(1+B271)^5)*((1-$I$4-$I$5+E271)*(1-$I$10)+$I$6-$I$11)-('Data Schema'!$C$3*(1+B271)^5-'Data Schema'!$C$3*(1+B271)^4)*$I$12)/(1+C271)^5+((('Data Schema'!$C$3*(1+B271)^5)*((1-$I$4-$I$5+E271)*(1-$I$10)+$I$6-$I$11)-('Data Schema'!$C$3*(1+B271)^5-'Data Schema'!$C$3*(1+B271)^4)*$I$12)*(1+D271)/(C271-D271))/(1+C271)^5-'Data Schema'!$C$31+'Data Schema'!$C$21)/'Data Schema'!$B$17,0),"INVALID")</f>
        <v>98.26877129115455</v>
      </c>
      <c r="H271" s="189" t="b">
        <f t="shared" ca="1" si="26"/>
        <v>1</v>
      </c>
      <c r="I271" s="188">
        <f t="shared" ca="1" si="27"/>
        <v>98.26877129115455</v>
      </c>
      <c r="J271" s="349">
        <f t="shared" ca="1" si="20"/>
        <v>98.26877129115455</v>
      </c>
    </row>
    <row r="272" spans="1:10">
      <c r="A272" s="191">
        <v>93</v>
      </c>
      <c r="B272" s="190">
        <f t="shared" ca="1" si="21"/>
        <v>9.127734577744194E-2</v>
      </c>
      <c r="C272" s="190">
        <f t="shared" ca="1" si="22"/>
        <v>6.3640424284485936E-2</v>
      </c>
      <c r="D272" s="190">
        <f t="shared" ca="1" si="23"/>
        <v>2.6990721401355628E-2</v>
      </c>
      <c r="E272" s="190">
        <f t="shared" ca="1" si="24"/>
        <v>6.1665864864988576E-3</v>
      </c>
      <c r="F272" s="189" t="b">
        <f t="shared" ca="1" si="25"/>
        <v>1</v>
      </c>
      <c r="G272" s="188">
        <f ca="1">IF(F272,IFERROR(((('Data Schema'!$C$3*(1+B272)^1)*((1-$I$4-$I$5+E272)*(1-$I$10)+$I$6-$I$11)-('Data Schema'!$C$3*(1+B272)^1-'Data Schema'!$C$3)*$I$12)/(1+C272)^1+(('Data Schema'!$C$3*(1+B272)^2)*((1-$I$4-$I$5+E272)*(1-$I$10)+$I$6-$I$11)-('Data Schema'!$C$3*(1+B272)^2-'Data Schema'!$C$3*(1+B272)^1)*$I$12)/(1+C272)^2+(('Data Schema'!$C$3*(1+B272)^3)*((1-$I$4-$I$5+E272)*(1-$I$10)+$I$6-$I$11)-('Data Schema'!$C$3*(1+B272)^3-'Data Schema'!$C$3*(1+B272)^2)*$I$12)/(1+C272)^3+(('Data Schema'!$C$3*(1+B272)^4)*((1-$I$4-$I$5+E272)*(1-$I$10)+$I$6-$I$11)-('Data Schema'!$C$3*(1+B272)^4-'Data Schema'!$C$3*(1+B272)^3)*$I$12)/(1+C272)^4+(('Data Schema'!$C$3*(1+B272)^5)*((1-$I$4-$I$5+E272)*(1-$I$10)+$I$6-$I$11)-('Data Schema'!$C$3*(1+B272)^5-'Data Schema'!$C$3*(1+B272)^4)*$I$12)/(1+C272)^5+((('Data Schema'!$C$3*(1+B272)^5)*((1-$I$4-$I$5+E272)*(1-$I$10)+$I$6-$I$11)-('Data Schema'!$C$3*(1+B272)^5-'Data Schema'!$C$3*(1+B272)^4)*$I$12)*(1+D272)/(C272-D272))/(1+C272)^5-'Data Schema'!$C$31+'Data Schema'!$C$21)/'Data Schema'!$B$17,0),"INVALID")</f>
        <v>93.016104423987898</v>
      </c>
      <c r="H272" s="189" t="b">
        <f t="shared" ca="1" si="26"/>
        <v>1</v>
      </c>
      <c r="I272" s="188">
        <f t="shared" ca="1" si="27"/>
        <v>93.016104423987898</v>
      </c>
      <c r="J272" s="349">
        <f t="shared" ca="1" si="20"/>
        <v>93.016104423987898</v>
      </c>
    </row>
    <row r="273" spans="1:10">
      <c r="A273" s="187">
        <v>94</v>
      </c>
      <c r="B273" s="190">
        <f t="shared" ca="1" si="21"/>
        <v>0.12850652865587106</v>
      </c>
      <c r="C273" s="190">
        <f t="shared" ca="1" si="22"/>
        <v>6.1532675871647347E-2</v>
      </c>
      <c r="D273" s="190">
        <f t="shared" ca="1" si="23"/>
        <v>2.0638206233952266E-2</v>
      </c>
      <c r="E273" s="190">
        <f t="shared" ca="1" si="24"/>
        <v>-7.8073593762177287E-3</v>
      </c>
      <c r="F273" s="189" t="b">
        <f t="shared" ca="1" si="25"/>
        <v>1</v>
      </c>
      <c r="G273" s="188">
        <f ca="1">IF(F273,IFERROR(((('Data Schema'!$C$3*(1+B273)^1)*((1-$I$4-$I$5+E273)*(1-$I$10)+$I$6-$I$11)-('Data Schema'!$C$3*(1+B273)^1-'Data Schema'!$C$3)*$I$12)/(1+C273)^1+(('Data Schema'!$C$3*(1+B273)^2)*((1-$I$4-$I$5+E273)*(1-$I$10)+$I$6-$I$11)-('Data Schema'!$C$3*(1+B273)^2-'Data Schema'!$C$3*(1+B273)^1)*$I$12)/(1+C273)^2+(('Data Schema'!$C$3*(1+B273)^3)*((1-$I$4-$I$5+E273)*(1-$I$10)+$I$6-$I$11)-('Data Schema'!$C$3*(1+B273)^3-'Data Schema'!$C$3*(1+B273)^2)*$I$12)/(1+C273)^3+(('Data Schema'!$C$3*(1+B273)^4)*((1-$I$4-$I$5+E273)*(1-$I$10)+$I$6-$I$11)-('Data Schema'!$C$3*(1+B273)^4-'Data Schema'!$C$3*(1+B273)^3)*$I$12)/(1+C273)^4+(('Data Schema'!$C$3*(1+B273)^5)*((1-$I$4-$I$5+E273)*(1-$I$10)+$I$6-$I$11)-('Data Schema'!$C$3*(1+B273)^5-'Data Schema'!$C$3*(1+B273)^4)*$I$12)/(1+C273)^5+((('Data Schema'!$C$3*(1+B273)^5)*((1-$I$4-$I$5+E273)*(1-$I$10)+$I$6-$I$11)-('Data Schema'!$C$3*(1+B273)^5-'Data Schema'!$C$3*(1+B273)^4)*$I$12)*(1+D273)/(C273-D273))/(1+C273)^5-'Data Schema'!$C$31+'Data Schema'!$C$21)/'Data Schema'!$B$17,0),"INVALID")</f>
        <v>60.816479765753499</v>
      </c>
      <c r="H273" s="189" t="b">
        <f t="shared" ca="1" si="26"/>
        <v>1</v>
      </c>
      <c r="I273" s="188">
        <f t="shared" ca="1" si="27"/>
        <v>60.816479765753499</v>
      </c>
      <c r="J273" s="349">
        <f t="shared" ca="1" si="20"/>
        <v>60.816479765753499</v>
      </c>
    </row>
    <row r="274" spans="1:10">
      <c r="A274" s="191">
        <v>95</v>
      </c>
      <c r="B274" s="190">
        <f t="shared" ca="1" si="21"/>
        <v>0.11005334784139588</v>
      </c>
      <c r="C274" s="190">
        <f t="shared" ca="1" si="22"/>
        <v>7.1497584917922796E-2</v>
      </c>
      <c r="D274" s="190">
        <f t="shared" ca="1" si="23"/>
        <v>2.1922814174783905E-2</v>
      </c>
      <c r="E274" s="190">
        <f t="shared" ca="1" si="24"/>
        <v>2.9817027606332341E-2</v>
      </c>
      <c r="F274" s="189" t="b">
        <f t="shared" ca="1" si="25"/>
        <v>1</v>
      </c>
      <c r="G274" s="188">
        <f ca="1">IF(F274,IFERROR(((('Data Schema'!$C$3*(1+B274)^1)*((1-$I$4-$I$5+E274)*(1-$I$10)+$I$6-$I$11)-('Data Schema'!$C$3*(1+B274)^1-'Data Schema'!$C$3)*$I$12)/(1+C274)^1+(('Data Schema'!$C$3*(1+B274)^2)*((1-$I$4-$I$5+E274)*(1-$I$10)+$I$6-$I$11)-('Data Schema'!$C$3*(1+B274)^2-'Data Schema'!$C$3*(1+B274)^1)*$I$12)/(1+C274)^2+(('Data Schema'!$C$3*(1+B274)^3)*((1-$I$4-$I$5+E274)*(1-$I$10)+$I$6-$I$11)-('Data Schema'!$C$3*(1+B274)^3-'Data Schema'!$C$3*(1+B274)^2)*$I$12)/(1+C274)^3+(('Data Schema'!$C$3*(1+B274)^4)*((1-$I$4-$I$5+E274)*(1-$I$10)+$I$6-$I$11)-('Data Schema'!$C$3*(1+B274)^4-'Data Schema'!$C$3*(1+B274)^3)*$I$12)/(1+C274)^4+(('Data Schema'!$C$3*(1+B274)^5)*((1-$I$4-$I$5+E274)*(1-$I$10)+$I$6-$I$11)-('Data Schema'!$C$3*(1+B274)^5-'Data Schema'!$C$3*(1+B274)^4)*$I$12)/(1+C274)^5+((('Data Schema'!$C$3*(1+B274)^5)*((1-$I$4-$I$5+E274)*(1-$I$10)+$I$6-$I$11)-('Data Schema'!$C$3*(1+B274)^5-'Data Schema'!$C$3*(1+B274)^4)*$I$12)*(1+D274)/(C274-D274))/(1+C274)^5-'Data Schema'!$C$31+'Data Schema'!$C$21)/'Data Schema'!$B$17,0),"INVALID")</f>
        <v>120.70452815570563</v>
      </c>
      <c r="H274" s="189" t="b">
        <f t="shared" ca="1" si="26"/>
        <v>1</v>
      </c>
      <c r="I274" s="188">
        <f t="shared" ca="1" si="27"/>
        <v>120.70452815570563</v>
      </c>
      <c r="J274" s="349">
        <f t="shared" ca="1" si="20"/>
        <v>120.70452815570563</v>
      </c>
    </row>
    <row r="275" spans="1:10">
      <c r="A275" s="187">
        <v>96</v>
      </c>
      <c r="B275" s="190">
        <f t="shared" ca="1" si="21"/>
        <v>7.6693916792172884E-2</v>
      </c>
      <c r="C275" s="190">
        <f t="shared" ca="1" si="22"/>
        <v>5.33828193578227E-2</v>
      </c>
      <c r="D275" s="190">
        <f t="shared" ca="1" si="23"/>
        <v>2.4543832418716379E-2</v>
      </c>
      <c r="E275" s="190">
        <f t="shared" ca="1" si="24"/>
        <v>4.8057856986185456E-2</v>
      </c>
      <c r="F275" s="189" t="b">
        <f t="shared" ca="1" si="25"/>
        <v>1</v>
      </c>
      <c r="G275" s="188">
        <f ca="1">IF(F275,IFERROR(((('Data Schema'!$C$3*(1+B275)^1)*((1-$I$4-$I$5+E275)*(1-$I$10)+$I$6-$I$11)-('Data Schema'!$C$3*(1+B275)^1-'Data Schema'!$C$3)*$I$12)/(1+C275)^1+(('Data Schema'!$C$3*(1+B275)^2)*((1-$I$4-$I$5+E275)*(1-$I$10)+$I$6-$I$11)-('Data Schema'!$C$3*(1+B275)^2-'Data Schema'!$C$3*(1+B275)^1)*$I$12)/(1+C275)^2+(('Data Schema'!$C$3*(1+B275)^3)*((1-$I$4-$I$5+E275)*(1-$I$10)+$I$6-$I$11)-('Data Schema'!$C$3*(1+B275)^3-'Data Schema'!$C$3*(1+B275)^2)*$I$12)/(1+C275)^3+(('Data Schema'!$C$3*(1+B275)^4)*((1-$I$4-$I$5+E275)*(1-$I$10)+$I$6-$I$11)-('Data Schema'!$C$3*(1+B275)^4-'Data Schema'!$C$3*(1+B275)^3)*$I$12)/(1+C275)^4+(('Data Schema'!$C$3*(1+B275)^5)*((1-$I$4-$I$5+E275)*(1-$I$10)+$I$6-$I$11)-('Data Schema'!$C$3*(1+B275)^5-'Data Schema'!$C$3*(1+B275)^4)*$I$12)/(1+C275)^5+((('Data Schema'!$C$3*(1+B275)^5)*((1-$I$4-$I$5+E275)*(1-$I$10)+$I$6-$I$11)-('Data Schema'!$C$3*(1+B275)^5-'Data Schema'!$C$3*(1+B275)^4)*$I$12)*(1+D275)/(C275-D275))/(1+C275)^5-'Data Schema'!$C$31+'Data Schema'!$C$21)/'Data Schema'!$B$17,0),"INVALID")</f>
        <v>240.35573960414268</v>
      </c>
      <c r="H275" s="189" t="b">
        <f t="shared" ca="1" si="26"/>
        <v>1</v>
      </c>
      <c r="I275" s="188">
        <f t="shared" ca="1" si="27"/>
        <v>240.35573960414268</v>
      </c>
      <c r="J275" s="349" t="str">
        <f t="shared" ca="1" si="20"/>
        <v/>
      </c>
    </row>
    <row r="276" spans="1:10">
      <c r="A276" s="191">
        <v>97</v>
      </c>
      <c r="B276" s="190">
        <f t="shared" ca="1" si="21"/>
        <v>9.5148309827175037E-2</v>
      </c>
      <c r="C276" s="190">
        <f t="shared" ca="1" si="22"/>
        <v>5.5474041390436386E-2</v>
      </c>
      <c r="D276" s="190">
        <f t="shared" ca="1" si="23"/>
        <v>2.514263269032364E-2</v>
      </c>
      <c r="E276" s="190">
        <f t="shared" ca="1" si="24"/>
        <v>2.3937705106514603E-2</v>
      </c>
      <c r="F276" s="189" t="b">
        <f t="shared" ca="1" si="25"/>
        <v>1</v>
      </c>
      <c r="G276" s="188">
        <f ca="1">IF(F276,IFERROR(((('Data Schema'!$C$3*(1+B276)^1)*((1-$I$4-$I$5+E276)*(1-$I$10)+$I$6-$I$11)-('Data Schema'!$C$3*(1+B276)^1-'Data Schema'!$C$3)*$I$12)/(1+C276)^1+(('Data Schema'!$C$3*(1+B276)^2)*((1-$I$4-$I$5+E276)*(1-$I$10)+$I$6-$I$11)-('Data Schema'!$C$3*(1+B276)^2-'Data Schema'!$C$3*(1+B276)^1)*$I$12)/(1+C276)^2+(('Data Schema'!$C$3*(1+B276)^3)*((1-$I$4-$I$5+E276)*(1-$I$10)+$I$6-$I$11)-('Data Schema'!$C$3*(1+B276)^3-'Data Schema'!$C$3*(1+B276)^2)*$I$12)/(1+C276)^3+(('Data Schema'!$C$3*(1+B276)^4)*((1-$I$4-$I$5+E276)*(1-$I$10)+$I$6-$I$11)-('Data Schema'!$C$3*(1+B276)^4-'Data Schema'!$C$3*(1+B276)^3)*$I$12)/(1+C276)^4+(('Data Schema'!$C$3*(1+B276)^5)*((1-$I$4-$I$5+E276)*(1-$I$10)+$I$6-$I$11)-('Data Schema'!$C$3*(1+B276)^5-'Data Schema'!$C$3*(1+B276)^4)*$I$12)/(1+C276)^5+((('Data Schema'!$C$3*(1+B276)^5)*((1-$I$4-$I$5+E276)*(1-$I$10)+$I$6-$I$11)-('Data Schema'!$C$3*(1+B276)^5-'Data Schema'!$C$3*(1+B276)^4)*$I$12)*(1+D276)/(C276-D276))/(1+C276)^5-'Data Schema'!$C$31+'Data Schema'!$C$21)/'Data Schema'!$B$17,0),"INVALID")</f>
        <v>171.64697379647737</v>
      </c>
      <c r="H276" s="189" t="b">
        <f t="shared" ca="1" si="26"/>
        <v>1</v>
      </c>
      <c r="I276" s="188">
        <f t="shared" ca="1" si="27"/>
        <v>171.64697379647737</v>
      </c>
      <c r="J276" s="349">
        <f t="shared" ca="1" si="20"/>
        <v>171.64697379647737</v>
      </c>
    </row>
    <row r="277" spans="1:10">
      <c r="A277" s="187">
        <v>98</v>
      </c>
      <c r="B277" s="190">
        <f t="shared" ca="1" si="21"/>
        <v>0.13624521060313433</v>
      </c>
      <c r="C277" s="190">
        <f t="shared" ca="1" si="22"/>
        <v>5.864249095539039E-2</v>
      </c>
      <c r="D277" s="190">
        <f t="shared" ca="1" si="23"/>
        <v>2.7415341514062348E-2</v>
      </c>
      <c r="E277" s="190">
        <f t="shared" ca="1" si="24"/>
        <v>2.8791268494341261E-2</v>
      </c>
      <c r="F277" s="189" t="b">
        <f t="shared" ca="1" si="25"/>
        <v>1</v>
      </c>
      <c r="G277" s="188">
        <f ca="1">IF(F277,IFERROR(((('Data Schema'!$C$3*(1+B277)^1)*((1-$I$4-$I$5+E277)*(1-$I$10)+$I$6-$I$11)-('Data Schema'!$C$3*(1+B277)^1-'Data Schema'!$C$3)*$I$12)/(1+C277)^1+(('Data Schema'!$C$3*(1+B277)^2)*((1-$I$4-$I$5+E277)*(1-$I$10)+$I$6-$I$11)-('Data Schema'!$C$3*(1+B277)^2-'Data Schema'!$C$3*(1+B277)^1)*$I$12)/(1+C277)^2+(('Data Schema'!$C$3*(1+B277)^3)*((1-$I$4-$I$5+E277)*(1-$I$10)+$I$6-$I$11)-('Data Schema'!$C$3*(1+B277)^3-'Data Schema'!$C$3*(1+B277)^2)*$I$12)/(1+C277)^3+(('Data Schema'!$C$3*(1+B277)^4)*((1-$I$4-$I$5+E277)*(1-$I$10)+$I$6-$I$11)-('Data Schema'!$C$3*(1+B277)^4-'Data Schema'!$C$3*(1+B277)^3)*$I$12)/(1+C277)^4+(('Data Schema'!$C$3*(1+B277)^5)*((1-$I$4-$I$5+E277)*(1-$I$10)+$I$6-$I$11)-('Data Schema'!$C$3*(1+B277)^5-'Data Schema'!$C$3*(1+B277)^4)*$I$12)/(1+C277)^5+((('Data Schema'!$C$3*(1+B277)^5)*((1-$I$4-$I$5+E277)*(1-$I$10)+$I$6-$I$11)-('Data Schema'!$C$3*(1+B277)^5-'Data Schema'!$C$3*(1+B277)^4)*$I$12)*(1+D277)/(C277-D277))/(1+C277)^5-'Data Schema'!$C$31+'Data Schema'!$C$21)/'Data Schema'!$B$17,0),"INVALID")</f>
        <v>212.12487337509089</v>
      </c>
      <c r="H277" s="189" t="b">
        <f t="shared" ca="1" si="26"/>
        <v>1</v>
      </c>
      <c r="I277" s="188">
        <f t="shared" ca="1" si="27"/>
        <v>212.12487337509089</v>
      </c>
      <c r="J277" s="349">
        <f t="shared" ca="1" si="20"/>
        <v>212.12487337509089</v>
      </c>
    </row>
    <row r="278" spans="1:10">
      <c r="A278" s="191">
        <v>99</v>
      </c>
      <c r="B278" s="190">
        <f t="shared" ca="1" si="21"/>
        <v>8.0716007218969044E-2</v>
      </c>
      <c r="C278" s="190">
        <f t="shared" ca="1" si="22"/>
        <v>5.1579277230694748E-2</v>
      </c>
      <c r="D278" s="190">
        <f t="shared" ca="1" si="23"/>
        <v>2.2309123179755825E-2</v>
      </c>
      <c r="E278" s="190">
        <f t="shared" ca="1" si="24"/>
        <v>-5.0447495371217874E-3</v>
      </c>
      <c r="F278" s="189" t="b">
        <f t="shared" ca="1" si="25"/>
        <v>1</v>
      </c>
      <c r="G278" s="188">
        <f ca="1">IF(F278,IFERROR(((('Data Schema'!$C$3*(1+B278)^1)*((1-$I$4-$I$5+E278)*(1-$I$10)+$I$6-$I$11)-('Data Schema'!$C$3*(1+B278)^1-'Data Schema'!$C$3)*$I$12)/(1+C278)^1+(('Data Schema'!$C$3*(1+B278)^2)*((1-$I$4-$I$5+E278)*(1-$I$10)+$I$6-$I$11)-('Data Schema'!$C$3*(1+B278)^2-'Data Schema'!$C$3*(1+B278)^1)*$I$12)/(1+C278)^2+(('Data Schema'!$C$3*(1+B278)^3)*((1-$I$4-$I$5+E278)*(1-$I$10)+$I$6-$I$11)-('Data Schema'!$C$3*(1+B278)^3-'Data Schema'!$C$3*(1+B278)^2)*$I$12)/(1+C278)^3+(('Data Schema'!$C$3*(1+B278)^4)*((1-$I$4-$I$5+E278)*(1-$I$10)+$I$6-$I$11)-('Data Schema'!$C$3*(1+B278)^4-'Data Schema'!$C$3*(1+B278)^3)*$I$12)/(1+C278)^4+(('Data Schema'!$C$3*(1+B278)^5)*((1-$I$4-$I$5+E278)*(1-$I$10)+$I$6-$I$11)-('Data Schema'!$C$3*(1+B278)^5-'Data Schema'!$C$3*(1+B278)^4)*$I$12)/(1+C278)^5+((('Data Schema'!$C$3*(1+B278)^5)*((1-$I$4-$I$5+E278)*(1-$I$10)+$I$6-$I$11)-('Data Schema'!$C$3*(1+B278)^5-'Data Schema'!$C$3*(1+B278)^4)*$I$12)*(1+D278)/(C278-D278))/(1+C278)^5-'Data Schema'!$C$31+'Data Schema'!$C$21)/'Data Schema'!$B$17,0),"INVALID")</f>
        <v>81.7985398954267</v>
      </c>
      <c r="H278" s="189" t="b">
        <f t="shared" ca="1" si="26"/>
        <v>1</v>
      </c>
      <c r="I278" s="188">
        <f t="shared" ca="1" si="27"/>
        <v>81.7985398954267</v>
      </c>
      <c r="J278" s="349">
        <f t="shared" ca="1" si="20"/>
        <v>81.7985398954267</v>
      </c>
    </row>
    <row r="279" spans="1:10">
      <c r="A279" s="187">
        <v>100</v>
      </c>
      <c r="B279" s="190">
        <f t="shared" ca="1" si="21"/>
        <v>8.5282021443817316E-2</v>
      </c>
      <c r="C279" s="190">
        <f t="shared" ca="1" si="22"/>
        <v>6.8013241481645059E-2</v>
      </c>
      <c r="D279" s="190">
        <f t="shared" ca="1" si="23"/>
        <v>1.7254125847246182E-2</v>
      </c>
      <c r="E279" s="190">
        <f t="shared" ca="1" si="24"/>
        <v>-1.5217444957913044E-2</v>
      </c>
      <c r="F279" s="189" t="b">
        <f t="shared" ca="1" si="25"/>
        <v>1</v>
      </c>
      <c r="G279" s="188">
        <f ca="1">IF(F279,IFERROR(((('Data Schema'!$C$3*(1+B279)^1)*((1-$I$4-$I$5+E279)*(1-$I$10)+$I$6-$I$11)-('Data Schema'!$C$3*(1+B279)^1-'Data Schema'!$C$3)*$I$12)/(1+C279)^1+(('Data Schema'!$C$3*(1+B279)^2)*((1-$I$4-$I$5+E279)*(1-$I$10)+$I$6-$I$11)-('Data Schema'!$C$3*(1+B279)^2-'Data Schema'!$C$3*(1+B279)^1)*$I$12)/(1+C279)^2+(('Data Schema'!$C$3*(1+B279)^3)*((1-$I$4-$I$5+E279)*(1-$I$10)+$I$6-$I$11)-('Data Schema'!$C$3*(1+B279)^3-'Data Schema'!$C$3*(1+B279)^2)*$I$12)/(1+C279)^3+(('Data Schema'!$C$3*(1+B279)^4)*((1-$I$4-$I$5+E279)*(1-$I$10)+$I$6-$I$11)-('Data Schema'!$C$3*(1+B279)^4-'Data Schema'!$C$3*(1+B279)^3)*$I$12)/(1+C279)^4+(('Data Schema'!$C$3*(1+B279)^5)*((1-$I$4-$I$5+E279)*(1-$I$10)+$I$6-$I$11)-('Data Schema'!$C$3*(1+B279)^5-'Data Schema'!$C$3*(1+B279)^4)*$I$12)/(1+C279)^5+((('Data Schema'!$C$3*(1+B279)^5)*((1-$I$4-$I$5+E279)*(1-$I$10)+$I$6-$I$11)-('Data Schema'!$C$3*(1+B279)^5-'Data Schema'!$C$3*(1+B279)^4)*$I$12)*(1+D279)/(C279-D279))/(1+C279)^5-'Data Schema'!$C$31+'Data Schema'!$C$21)/'Data Schema'!$B$17,0),"INVALID")</f>
        <v>27.16661881129065</v>
      </c>
      <c r="H279" s="189" t="b">
        <f t="shared" ca="1" si="26"/>
        <v>1</v>
      </c>
      <c r="I279" s="188">
        <f t="shared" ca="1" si="27"/>
        <v>27.16661881129065</v>
      </c>
      <c r="J279" s="349">
        <f t="shared" ca="1" si="20"/>
        <v>27.16661881129065</v>
      </c>
    </row>
    <row r="280" spans="1:10">
      <c r="A280" s="191">
        <v>101</v>
      </c>
      <c r="B280" s="190">
        <f t="shared" ca="1" si="21"/>
        <v>9.2713825353003279E-2</v>
      </c>
      <c r="C280" s="190">
        <f t="shared" ca="1" si="22"/>
        <v>5.5422398888563498E-2</v>
      </c>
      <c r="D280" s="190">
        <f t="shared" ca="1" si="23"/>
        <v>2.0896740441848083E-2</v>
      </c>
      <c r="E280" s="190">
        <f t="shared" ca="1" si="24"/>
        <v>-2.123863956009513E-2</v>
      </c>
      <c r="F280" s="189" t="b">
        <f t="shared" ca="1" si="25"/>
        <v>1</v>
      </c>
      <c r="G280" s="188">
        <f ca="1">IF(F280,IFERROR(((('Data Schema'!$C$3*(1+B280)^1)*((1-$I$4-$I$5+E280)*(1-$I$10)+$I$6-$I$11)-('Data Schema'!$C$3*(1+B280)^1-'Data Schema'!$C$3)*$I$12)/(1+C280)^1+(('Data Schema'!$C$3*(1+B280)^2)*((1-$I$4-$I$5+E280)*(1-$I$10)+$I$6-$I$11)-('Data Schema'!$C$3*(1+B280)^2-'Data Schema'!$C$3*(1+B280)^1)*$I$12)/(1+C280)^2+(('Data Schema'!$C$3*(1+B280)^3)*((1-$I$4-$I$5+E280)*(1-$I$10)+$I$6-$I$11)-('Data Schema'!$C$3*(1+B280)^3-'Data Schema'!$C$3*(1+B280)^2)*$I$12)/(1+C280)^3+(('Data Schema'!$C$3*(1+B280)^4)*((1-$I$4-$I$5+E280)*(1-$I$10)+$I$6-$I$11)-('Data Schema'!$C$3*(1+B280)^4-'Data Schema'!$C$3*(1+B280)^3)*$I$12)/(1+C280)^4+(('Data Schema'!$C$3*(1+B280)^5)*((1-$I$4-$I$5+E280)*(1-$I$10)+$I$6-$I$11)-('Data Schema'!$C$3*(1+B280)^5-'Data Schema'!$C$3*(1+B280)^4)*$I$12)/(1+C280)^5+((('Data Schema'!$C$3*(1+B280)^5)*((1-$I$4-$I$5+E280)*(1-$I$10)+$I$6-$I$11)-('Data Schema'!$C$3*(1+B280)^5-'Data Schema'!$C$3*(1+B280)^4)*$I$12)*(1+D280)/(C280-D280))/(1+C280)^5-'Data Schema'!$C$31+'Data Schema'!$C$21)/'Data Schema'!$B$17,0),"INVALID")</f>
        <v>27.822445178333385</v>
      </c>
      <c r="H280" s="189" t="b">
        <f t="shared" ca="1" si="26"/>
        <v>1</v>
      </c>
      <c r="I280" s="188">
        <f t="shared" ca="1" si="27"/>
        <v>27.822445178333385</v>
      </c>
      <c r="J280" s="349">
        <f t="shared" ca="1" si="20"/>
        <v>27.822445178333385</v>
      </c>
    </row>
    <row r="281" spans="1:10">
      <c r="A281" s="187">
        <v>102</v>
      </c>
      <c r="B281" s="190">
        <f t="shared" ca="1" si="21"/>
        <v>0.10000241700851815</v>
      </c>
      <c r="C281" s="190">
        <f t="shared" ca="1" si="22"/>
        <v>7.4208897040328126E-2</v>
      </c>
      <c r="D281" s="190">
        <f t="shared" ca="1" si="23"/>
        <v>2.5982402624570636E-2</v>
      </c>
      <c r="E281" s="190">
        <f t="shared" ca="1" si="24"/>
        <v>-5.1920066051532937E-3</v>
      </c>
      <c r="F281" s="189" t="b">
        <f t="shared" ca="1" si="25"/>
        <v>1</v>
      </c>
      <c r="G281" s="188">
        <f ca="1">IF(F281,IFERROR(((('Data Schema'!$C$3*(1+B281)^1)*((1-$I$4-$I$5+E281)*(1-$I$10)+$I$6-$I$11)-('Data Schema'!$C$3*(1+B281)^1-'Data Schema'!$C$3)*$I$12)/(1+C281)^1+(('Data Schema'!$C$3*(1+B281)^2)*((1-$I$4-$I$5+E281)*(1-$I$10)+$I$6-$I$11)-('Data Schema'!$C$3*(1+B281)^2-'Data Schema'!$C$3*(1+B281)^1)*$I$12)/(1+C281)^2+(('Data Schema'!$C$3*(1+B281)^3)*((1-$I$4-$I$5+E281)*(1-$I$10)+$I$6-$I$11)-('Data Schema'!$C$3*(1+B281)^3-'Data Schema'!$C$3*(1+B281)^2)*$I$12)/(1+C281)^3+(('Data Schema'!$C$3*(1+B281)^4)*((1-$I$4-$I$5+E281)*(1-$I$10)+$I$6-$I$11)-('Data Schema'!$C$3*(1+B281)^4-'Data Schema'!$C$3*(1+B281)^3)*$I$12)/(1+C281)^4+(('Data Schema'!$C$3*(1+B281)^5)*((1-$I$4-$I$5+E281)*(1-$I$10)+$I$6-$I$11)-('Data Schema'!$C$3*(1+B281)^5-'Data Schema'!$C$3*(1+B281)^4)*$I$12)/(1+C281)^5+((('Data Schema'!$C$3*(1+B281)^5)*((1-$I$4-$I$5+E281)*(1-$I$10)+$I$6-$I$11)-('Data Schema'!$C$3*(1+B281)^5-'Data Schema'!$C$3*(1+B281)^4)*$I$12)*(1+D281)/(C281-D281))/(1+C281)^5-'Data Schema'!$C$31+'Data Schema'!$C$21)/'Data Schema'!$B$17,0),"INVALID")</f>
        <v>49.124524582729336</v>
      </c>
      <c r="H281" s="189" t="b">
        <f t="shared" ca="1" si="26"/>
        <v>1</v>
      </c>
      <c r="I281" s="188">
        <f t="shared" ca="1" si="27"/>
        <v>49.124524582729336</v>
      </c>
      <c r="J281" s="349">
        <f t="shared" ca="1" si="20"/>
        <v>49.124524582729336</v>
      </c>
    </row>
    <row r="282" spans="1:10">
      <c r="A282" s="191">
        <v>103</v>
      </c>
      <c r="B282" s="190">
        <f t="shared" ca="1" si="21"/>
        <v>6.841249056035642E-2</v>
      </c>
      <c r="C282" s="190">
        <f t="shared" ca="1" si="22"/>
        <v>5.8089465685826042E-2</v>
      </c>
      <c r="D282" s="190">
        <f t="shared" ca="1" si="23"/>
        <v>2.1578310651348798E-2</v>
      </c>
      <c r="E282" s="190">
        <f t="shared" ca="1" si="24"/>
        <v>-2.1169369588027773E-2</v>
      </c>
      <c r="F282" s="189" t="b">
        <f t="shared" ca="1" si="25"/>
        <v>1</v>
      </c>
      <c r="G282" s="188">
        <f ca="1">IF(F282,IFERROR(((('Data Schema'!$C$3*(1+B282)^1)*((1-$I$4-$I$5+E282)*(1-$I$10)+$I$6-$I$11)-('Data Schema'!$C$3*(1+B282)^1-'Data Schema'!$C$3)*$I$12)/(1+C282)^1+(('Data Schema'!$C$3*(1+B282)^2)*((1-$I$4-$I$5+E282)*(1-$I$10)+$I$6-$I$11)-('Data Schema'!$C$3*(1+B282)^2-'Data Schema'!$C$3*(1+B282)^1)*$I$12)/(1+C282)^2+(('Data Schema'!$C$3*(1+B282)^3)*((1-$I$4-$I$5+E282)*(1-$I$10)+$I$6-$I$11)-('Data Schema'!$C$3*(1+B282)^3-'Data Schema'!$C$3*(1+B282)^2)*$I$12)/(1+C282)^3+(('Data Schema'!$C$3*(1+B282)^4)*((1-$I$4-$I$5+E282)*(1-$I$10)+$I$6-$I$11)-('Data Schema'!$C$3*(1+B282)^4-'Data Schema'!$C$3*(1+B282)^3)*$I$12)/(1+C282)^4+(('Data Schema'!$C$3*(1+B282)^5)*((1-$I$4-$I$5+E282)*(1-$I$10)+$I$6-$I$11)-('Data Schema'!$C$3*(1+B282)^5-'Data Schema'!$C$3*(1+B282)^4)*$I$12)/(1+C282)^5+((('Data Schema'!$C$3*(1+B282)^5)*((1-$I$4-$I$5+E282)*(1-$I$10)+$I$6-$I$11)-('Data Schema'!$C$3*(1+B282)^5-'Data Schema'!$C$3*(1+B282)^4)*$I$12)*(1+D282)/(C282-D282))/(1+C282)^5-'Data Schema'!$C$31+'Data Schema'!$C$21)/'Data Schema'!$B$17,0),"INVALID")</f>
        <v>23.945231268779835</v>
      </c>
      <c r="H282" s="189" t="b">
        <f t="shared" ca="1" si="26"/>
        <v>1</v>
      </c>
      <c r="I282" s="188">
        <f t="shared" ca="1" si="27"/>
        <v>23.945231268779835</v>
      </c>
      <c r="J282" s="349" t="str">
        <f t="shared" ca="1" si="20"/>
        <v/>
      </c>
    </row>
    <row r="283" spans="1:10">
      <c r="A283" s="187">
        <v>104</v>
      </c>
      <c r="B283" s="190">
        <f t="shared" ca="1" si="21"/>
        <v>9.3435496450893343E-2</v>
      </c>
      <c r="C283" s="190">
        <f t="shared" ca="1" si="22"/>
        <v>5.0632386005540396E-2</v>
      </c>
      <c r="D283" s="190">
        <f t="shared" ca="1" si="23"/>
        <v>2.19671507602942E-2</v>
      </c>
      <c r="E283" s="190">
        <f t="shared" ca="1" si="24"/>
        <v>-2.4428467216298197E-2</v>
      </c>
      <c r="F283" s="189" t="b">
        <f t="shared" ca="1" si="25"/>
        <v>1</v>
      </c>
      <c r="G283" s="188">
        <f ca="1">IF(F283,IFERROR(((('Data Schema'!$C$3*(1+B283)^1)*((1-$I$4-$I$5+E283)*(1-$I$10)+$I$6-$I$11)-('Data Schema'!$C$3*(1+B283)^1-'Data Schema'!$C$3)*$I$12)/(1+C283)^1+(('Data Schema'!$C$3*(1+B283)^2)*((1-$I$4-$I$5+E283)*(1-$I$10)+$I$6-$I$11)-('Data Schema'!$C$3*(1+B283)^2-'Data Schema'!$C$3*(1+B283)^1)*$I$12)/(1+C283)^2+(('Data Schema'!$C$3*(1+B283)^3)*((1-$I$4-$I$5+E283)*(1-$I$10)+$I$6-$I$11)-('Data Schema'!$C$3*(1+B283)^3-'Data Schema'!$C$3*(1+B283)^2)*$I$12)/(1+C283)^3+(('Data Schema'!$C$3*(1+B283)^4)*((1-$I$4-$I$5+E283)*(1-$I$10)+$I$6-$I$11)-('Data Schema'!$C$3*(1+B283)^4-'Data Schema'!$C$3*(1+B283)^3)*$I$12)/(1+C283)^4+(('Data Schema'!$C$3*(1+B283)^5)*((1-$I$4-$I$5+E283)*(1-$I$10)+$I$6-$I$11)-('Data Schema'!$C$3*(1+B283)^5-'Data Schema'!$C$3*(1+B283)^4)*$I$12)/(1+C283)^5+((('Data Schema'!$C$3*(1+B283)^5)*((1-$I$4-$I$5+E283)*(1-$I$10)+$I$6-$I$11)-('Data Schema'!$C$3*(1+B283)^5-'Data Schema'!$C$3*(1+B283)^4)*$I$12)*(1+D283)/(C283-D283))/(1+C283)^5-'Data Schema'!$C$31+'Data Schema'!$C$21)/'Data Schema'!$B$17,0),"INVALID")</f>
        <v>24.535876525470009</v>
      </c>
      <c r="H283" s="189" t="b">
        <f t="shared" ca="1" si="26"/>
        <v>1</v>
      </c>
      <c r="I283" s="188">
        <f t="shared" ca="1" si="27"/>
        <v>24.535876525470009</v>
      </c>
      <c r="J283" s="349">
        <f t="shared" ca="1" si="20"/>
        <v>24.535876525470009</v>
      </c>
    </row>
    <row r="284" spans="1:10">
      <c r="A284" s="191">
        <v>105</v>
      </c>
      <c r="B284" s="190">
        <f t="shared" ca="1" si="21"/>
        <v>0.14581387788414915</v>
      </c>
      <c r="C284" s="190">
        <f t="shared" ca="1" si="22"/>
        <v>8.0364180734689039E-2</v>
      </c>
      <c r="D284" s="190">
        <f t="shared" ca="1" si="23"/>
        <v>2.5975117317953125E-2</v>
      </c>
      <c r="E284" s="190">
        <f t="shared" ca="1" si="24"/>
        <v>-2.6542820724734613E-3</v>
      </c>
      <c r="F284" s="189" t="b">
        <f t="shared" ca="1" si="25"/>
        <v>1</v>
      </c>
      <c r="G284" s="188">
        <f ca="1">IF(F284,IFERROR(((('Data Schema'!$C$3*(1+B284)^1)*((1-$I$4-$I$5+E284)*(1-$I$10)+$I$6-$I$11)-('Data Schema'!$C$3*(1+B284)^1-'Data Schema'!$C$3)*$I$12)/(1+C284)^1+(('Data Schema'!$C$3*(1+B284)^2)*((1-$I$4-$I$5+E284)*(1-$I$10)+$I$6-$I$11)-('Data Schema'!$C$3*(1+B284)^2-'Data Schema'!$C$3*(1+B284)^1)*$I$12)/(1+C284)^2+(('Data Schema'!$C$3*(1+B284)^3)*((1-$I$4-$I$5+E284)*(1-$I$10)+$I$6-$I$11)-('Data Schema'!$C$3*(1+B284)^3-'Data Schema'!$C$3*(1+B284)^2)*$I$12)/(1+C284)^3+(('Data Schema'!$C$3*(1+B284)^4)*((1-$I$4-$I$5+E284)*(1-$I$10)+$I$6-$I$11)-('Data Schema'!$C$3*(1+B284)^4-'Data Schema'!$C$3*(1+B284)^3)*$I$12)/(1+C284)^4+(('Data Schema'!$C$3*(1+B284)^5)*((1-$I$4-$I$5+E284)*(1-$I$10)+$I$6-$I$11)-('Data Schema'!$C$3*(1+B284)^5-'Data Schema'!$C$3*(1+B284)^4)*$I$12)/(1+C284)^5+((('Data Schema'!$C$3*(1+B284)^5)*((1-$I$4-$I$5+E284)*(1-$I$10)+$I$6-$I$11)-('Data Schema'!$C$3*(1+B284)^5-'Data Schema'!$C$3*(1+B284)^4)*$I$12)*(1+D284)/(C284-D284))/(1+C284)^5-'Data Schema'!$C$31+'Data Schema'!$C$21)/'Data Schema'!$B$17,0),"INVALID")</f>
        <v>56.174794896962261</v>
      </c>
      <c r="H284" s="189" t="b">
        <f t="shared" ca="1" si="26"/>
        <v>1</v>
      </c>
      <c r="I284" s="188">
        <f t="shared" ca="1" si="27"/>
        <v>56.174794896962261</v>
      </c>
      <c r="J284" s="349">
        <f t="shared" ca="1" si="20"/>
        <v>56.174794896962261</v>
      </c>
    </row>
    <row r="285" spans="1:10">
      <c r="A285" s="187">
        <v>106</v>
      </c>
      <c r="B285" s="190">
        <f t="shared" ca="1" si="21"/>
        <v>0.11852346761702805</v>
      </c>
      <c r="C285" s="190">
        <f t="shared" ca="1" si="22"/>
        <v>6.0552034618286642E-2</v>
      </c>
      <c r="D285" s="190">
        <f t="shared" ca="1" si="23"/>
        <v>2.1371060169668173E-2</v>
      </c>
      <c r="E285" s="190">
        <f t="shared" ca="1" si="24"/>
        <v>-1.4394047309808644E-2</v>
      </c>
      <c r="F285" s="189" t="b">
        <f t="shared" ca="1" si="25"/>
        <v>1</v>
      </c>
      <c r="G285" s="188">
        <f ca="1">IF(F285,IFERROR(((('Data Schema'!$C$3*(1+B285)^1)*((1-$I$4-$I$5+E285)*(1-$I$10)+$I$6-$I$11)-('Data Schema'!$C$3*(1+B285)^1-'Data Schema'!$C$3)*$I$12)/(1+C285)^1+(('Data Schema'!$C$3*(1+B285)^2)*((1-$I$4-$I$5+E285)*(1-$I$10)+$I$6-$I$11)-('Data Schema'!$C$3*(1+B285)^2-'Data Schema'!$C$3*(1+B285)^1)*$I$12)/(1+C285)^2+(('Data Schema'!$C$3*(1+B285)^3)*((1-$I$4-$I$5+E285)*(1-$I$10)+$I$6-$I$11)-('Data Schema'!$C$3*(1+B285)^3-'Data Schema'!$C$3*(1+B285)^2)*$I$12)/(1+C285)^3+(('Data Schema'!$C$3*(1+B285)^4)*((1-$I$4-$I$5+E285)*(1-$I$10)+$I$6-$I$11)-('Data Schema'!$C$3*(1+B285)^4-'Data Schema'!$C$3*(1+B285)^3)*$I$12)/(1+C285)^4+(('Data Schema'!$C$3*(1+B285)^5)*((1-$I$4-$I$5+E285)*(1-$I$10)+$I$6-$I$11)-('Data Schema'!$C$3*(1+B285)^5-'Data Schema'!$C$3*(1+B285)^4)*$I$12)/(1+C285)^5+((('Data Schema'!$C$3*(1+B285)^5)*((1-$I$4-$I$5+E285)*(1-$I$10)+$I$6-$I$11)-('Data Schema'!$C$3*(1+B285)^5-'Data Schema'!$C$3*(1+B285)^4)*$I$12)*(1+D285)/(C285-D285))/(1+C285)^5-'Data Schema'!$C$31+'Data Schema'!$C$21)/'Data Schema'!$B$17,0),"INVALID")</f>
        <v>43.819052904700513</v>
      </c>
      <c r="H285" s="189" t="b">
        <f t="shared" ca="1" si="26"/>
        <v>1</v>
      </c>
      <c r="I285" s="188">
        <f t="shared" ca="1" si="27"/>
        <v>43.819052904700513</v>
      </c>
      <c r="J285" s="349">
        <f t="shared" ca="1" si="20"/>
        <v>43.819052904700513</v>
      </c>
    </row>
    <row r="286" spans="1:10">
      <c r="A286" s="191">
        <v>107</v>
      </c>
      <c r="B286" s="190">
        <f t="shared" ca="1" si="21"/>
        <v>7.2661724407721937E-2</v>
      </c>
      <c r="C286" s="190">
        <f t="shared" ca="1" si="22"/>
        <v>6.3084447937301169E-2</v>
      </c>
      <c r="D286" s="190">
        <f t="shared" ca="1" si="23"/>
        <v>2.7336141767174169E-2</v>
      </c>
      <c r="E286" s="190">
        <f t="shared" ca="1" si="24"/>
        <v>3.5339339769249856E-2</v>
      </c>
      <c r="F286" s="189" t="b">
        <f t="shared" ca="1" si="25"/>
        <v>1</v>
      </c>
      <c r="G286" s="188">
        <f ca="1">IF(F286,IFERROR(((('Data Schema'!$C$3*(1+B286)^1)*((1-$I$4-$I$5+E286)*(1-$I$10)+$I$6-$I$11)-('Data Schema'!$C$3*(1+B286)^1-'Data Schema'!$C$3)*$I$12)/(1+C286)^1+(('Data Schema'!$C$3*(1+B286)^2)*((1-$I$4-$I$5+E286)*(1-$I$10)+$I$6-$I$11)-('Data Schema'!$C$3*(1+B286)^2-'Data Schema'!$C$3*(1+B286)^1)*$I$12)/(1+C286)^2+(('Data Schema'!$C$3*(1+B286)^3)*((1-$I$4-$I$5+E286)*(1-$I$10)+$I$6-$I$11)-('Data Schema'!$C$3*(1+B286)^3-'Data Schema'!$C$3*(1+B286)^2)*$I$12)/(1+C286)^3+(('Data Schema'!$C$3*(1+B286)^4)*((1-$I$4-$I$5+E286)*(1-$I$10)+$I$6-$I$11)-('Data Schema'!$C$3*(1+B286)^4-'Data Schema'!$C$3*(1+B286)^3)*$I$12)/(1+C286)^4+(('Data Schema'!$C$3*(1+B286)^5)*((1-$I$4-$I$5+E286)*(1-$I$10)+$I$6-$I$11)-('Data Schema'!$C$3*(1+B286)^5-'Data Schema'!$C$3*(1+B286)^4)*$I$12)/(1+C286)^5+((('Data Schema'!$C$3*(1+B286)^5)*((1-$I$4-$I$5+E286)*(1-$I$10)+$I$6-$I$11)-('Data Schema'!$C$3*(1+B286)^5-'Data Schema'!$C$3*(1+B286)^4)*$I$12)*(1+D286)/(C286-D286))/(1+C286)^5-'Data Schema'!$C$31+'Data Schema'!$C$21)/'Data Schema'!$B$17,0),"INVALID")</f>
        <v>156.91498862335709</v>
      </c>
      <c r="H286" s="189" t="b">
        <f t="shared" ca="1" si="26"/>
        <v>1</v>
      </c>
      <c r="I286" s="188">
        <f t="shared" ca="1" si="27"/>
        <v>156.91498862335709</v>
      </c>
      <c r="J286" s="349">
        <f t="shared" ca="1" si="20"/>
        <v>156.91498862335709</v>
      </c>
    </row>
    <row r="287" spans="1:10">
      <c r="A287" s="187">
        <v>108</v>
      </c>
      <c r="B287" s="190">
        <f t="shared" ca="1" si="21"/>
        <v>0.10721368831211664</v>
      </c>
      <c r="C287" s="190">
        <f t="shared" ca="1" si="22"/>
        <v>4.2606160728815269E-2</v>
      </c>
      <c r="D287" s="190">
        <f t="shared" ca="1" si="23"/>
        <v>2.6135434404421013E-2</v>
      </c>
      <c r="E287" s="190">
        <f t="shared" ca="1" si="24"/>
        <v>-4.4530185648832162E-3</v>
      </c>
      <c r="F287" s="189" t="b">
        <f t="shared" ca="1" si="25"/>
        <v>1</v>
      </c>
      <c r="G287" s="188">
        <f ca="1">IF(F287,IFERROR(((('Data Schema'!$C$3*(1+B287)^1)*((1-$I$4-$I$5+E287)*(1-$I$10)+$I$6-$I$11)-('Data Schema'!$C$3*(1+B287)^1-'Data Schema'!$C$3)*$I$12)/(1+C287)^1+(('Data Schema'!$C$3*(1+B287)^2)*((1-$I$4-$I$5+E287)*(1-$I$10)+$I$6-$I$11)-('Data Schema'!$C$3*(1+B287)^2-'Data Schema'!$C$3*(1+B287)^1)*$I$12)/(1+C287)^2+(('Data Schema'!$C$3*(1+B287)^3)*((1-$I$4-$I$5+E287)*(1-$I$10)+$I$6-$I$11)-('Data Schema'!$C$3*(1+B287)^3-'Data Schema'!$C$3*(1+B287)^2)*$I$12)/(1+C287)^3+(('Data Schema'!$C$3*(1+B287)^4)*((1-$I$4-$I$5+E287)*(1-$I$10)+$I$6-$I$11)-('Data Schema'!$C$3*(1+B287)^4-'Data Schema'!$C$3*(1+B287)^3)*$I$12)/(1+C287)^4+(('Data Schema'!$C$3*(1+B287)^5)*((1-$I$4-$I$5+E287)*(1-$I$10)+$I$6-$I$11)-('Data Schema'!$C$3*(1+B287)^5-'Data Schema'!$C$3*(1+B287)^4)*$I$12)/(1+C287)^5+((('Data Schema'!$C$3*(1+B287)^5)*((1-$I$4-$I$5+E287)*(1-$I$10)+$I$6-$I$11)-('Data Schema'!$C$3*(1+B287)^5-'Data Schema'!$C$3*(1+B287)^4)*$I$12)*(1+D287)/(C287-D287))/(1+C287)^5-'Data Schema'!$C$31+'Data Schema'!$C$21)/'Data Schema'!$B$17,0),"INVALID")</f>
        <v>169.09591868122342</v>
      </c>
      <c r="H287" s="189" t="b">
        <f t="shared" ca="1" si="26"/>
        <v>1</v>
      </c>
      <c r="I287" s="188">
        <f t="shared" ca="1" si="27"/>
        <v>169.09591868122342</v>
      </c>
      <c r="J287" s="349">
        <f t="shared" ca="1" si="20"/>
        <v>169.09591868122342</v>
      </c>
    </row>
    <row r="288" spans="1:10">
      <c r="A288" s="191">
        <v>109</v>
      </c>
      <c r="B288" s="190">
        <f t="shared" ca="1" si="21"/>
        <v>0.10696893791766084</v>
      </c>
      <c r="C288" s="190">
        <f t="shared" ca="1" si="22"/>
        <v>6.8781278549281857E-2</v>
      </c>
      <c r="D288" s="190">
        <f t="shared" ca="1" si="23"/>
        <v>2.2956383760418593E-2</v>
      </c>
      <c r="E288" s="190">
        <f t="shared" ca="1" si="24"/>
        <v>-1.3570124668498757E-2</v>
      </c>
      <c r="F288" s="189" t="b">
        <f t="shared" ca="1" si="25"/>
        <v>1</v>
      </c>
      <c r="G288" s="188">
        <f ca="1">IF(F288,IFERROR(((('Data Schema'!$C$3*(1+B288)^1)*((1-$I$4-$I$5+E288)*(1-$I$10)+$I$6-$I$11)-('Data Schema'!$C$3*(1+B288)^1-'Data Schema'!$C$3)*$I$12)/(1+C288)^1+(('Data Schema'!$C$3*(1+B288)^2)*((1-$I$4-$I$5+E288)*(1-$I$10)+$I$6-$I$11)-('Data Schema'!$C$3*(1+B288)^2-'Data Schema'!$C$3*(1+B288)^1)*$I$12)/(1+C288)^2+(('Data Schema'!$C$3*(1+B288)^3)*((1-$I$4-$I$5+E288)*(1-$I$10)+$I$6-$I$11)-('Data Schema'!$C$3*(1+B288)^3-'Data Schema'!$C$3*(1+B288)^2)*$I$12)/(1+C288)^3+(('Data Schema'!$C$3*(1+B288)^4)*((1-$I$4-$I$5+E288)*(1-$I$10)+$I$6-$I$11)-('Data Schema'!$C$3*(1+B288)^4-'Data Schema'!$C$3*(1+B288)^3)*$I$12)/(1+C288)^4+(('Data Schema'!$C$3*(1+B288)^5)*((1-$I$4-$I$5+E288)*(1-$I$10)+$I$6-$I$11)-('Data Schema'!$C$3*(1+B288)^5-'Data Schema'!$C$3*(1+B288)^4)*$I$12)/(1+C288)^5+((('Data Schema'!$C$3*(1+B288)^5)*((1-$I$4-$I$5+E288)*(1-$I$10)+$I$6-$I$11)-('Data Schema'!$C$3*(1+B288)^5-'Data Schema'!$C$3*(1+B288)^4)*$I$12)*(1+D288)/(C288-D288))/(1+C288)^5-'Data Schema'!$C$31+'Data Schema'!$C$21)/'Data Schema'!$B$17,0),"INVALID")</f>
        <v>36.270452525839197</v>
      </c>
      <c r="H288" s="189" t="b">
        <f t="shared" ca="1" si="26"/>
        <v>1</v>
      </c>
      <c r="I288" s="188">
        <f t="shared" ca="1" si="27"/>
        <v>36.270452525839197</v>
      </c>
      <c r="J288" s="349">
        <f t="shared" ca="1" si="20"/>
        <v>36.270452525839197</v>
      </c>
    </row>
    <row r="289" spans="1:10">
      <c r="A289" s="187">
        <v>110</v>
      </c>
      <c r="B289" s="190">
        <f t="shared" ca="1" si="21"/>
        <v>0.11787470800994895</v>
      </c>
      <c r="C289" s="190">
        <f t="shared" ca="1" si="22"/>
        <v>6.3810853365911108E-2</v>
      </c>
      <c r="D289" s="190">
        <f t="shared" ca="1" si="23"/>
        <v>2.9672944310807657E-2</v>
      </c>
      <c r="E289" s="190">
        <f t="shared" ca="1" si="24"/>
        <v>1.1135874889772071E-2</v>
      </c>
      <c r="F289" s="189" t="b">
        <f t="shared" ca="1" si="25"/>
        <v>1</v>
      </c>
      <c r="G289" s="188">
        <f ca="1">IF(F289,IFERROR(((('Data Schema'!$C$3*(1+B289)^1)*((1-$I$4-$I$5+E289)*(1-$I$10)+$I$6-$I$11)-('Data Schema'!$C$3*(1+B289)^1-'Data Schema'!$C$3)*$I$12)/(1+C289)^1+(('Data Schema'!$C$3*(1+B289)^2)*((1-$I$4-$I$5+E289)*(1-$I$10)+$I$6-$I$11)-('Data Schema'!$C$3*(1+B289)^2-'Data Schema'!$C$3*(1+B289)^1)*$I$12)/(1+C289)^2+(('Data Schema'!$C$3*(1+B289)^3)*((1-$I$4-$I$5+E289)*(1-$I$10)+$I$6-$I$11)-('Data Schema'!$C$3*(1+B289)^3-'Data Schema'!$C$3*(1+B289)^2)*$I$12)/(1+C289)^3+(('Data Schema'!$C$3*(1+B289)^4)*((1-$I$4-$I$5+E289)*(1-$I$10)+$I$6-$I$11)-('Data Schema'!$C$3*(1+B289)^4-'Data Schema'!$C$3*(1+B289)^3)*$I$12)/(1+C289)^4+(('Data Schema'!$C$3*(1+B289)^5)*((1-$I$4-$I$5+E289)*(1-$I$10)+$I$6-$I$11)-('Data Schema'!$C$3*(1+B289)^5-'Data Schema'!$C$3*(1+B289)^4)*$I$12)/(1+C289)^5+((('Data Schema'!$C$3*(1+B289)^5)*((1-$I$4-$I$5+E289)*(1-$I$10)+$I$6-$I$11)-('Data Schema'!$C$3*(1+B289)^5-'Data Schema'!$C$3*(1+B289)^4)*$I$12)*(1+D289)/(C289-D289))/(1+C289)^5-'Data Schema'!$C$31+'Data Schema'!$C$21)/'Data Schema'!$B$17,0),"INVALID")</f>
        <v>125.36179945160904</v>
      </c>
      <c r="H289" s="189" t="b">
        <f t="shared" ca="1" si="26"/>
        <v>1</v>
      </c>
      <c r="I289" s="188">
        <f t="shared" ca="1" si="27"/>
        <v>125.36179945160904</v>
      </c>
      <c r="J289" s="349">
        <f t="shared" ca="1" si="20"/>
        <v>125.36179945160904</v>
      </c>
    </row>
    <row r="290" spans="1:10">
      <c r="A290" s="191">
        <v>111</v>
      </c>
      <c r="B290" s="190">
        <f t="shared" ca="1" si="21"/>
        <v>0.10304231376412601</v>
      </c>
      <c r="C290" s="190">
        <f t="shared" ca="1" si="22"/>
        <v>6.0287210137727393E-2</v>
      </c>
      <c r="D290" s="190">
        <f t="shared" ca="1" si="23"/>
        <v>1.8761531507141847E-2</v>
      </c>
      <c r="E290" s="190">
        <f t="shared" ca="1" si="24"/>
        <v>2.8831065237028688E-2</v>
      </c>
      <c r="F290" s="189" t="b">
        <f t="shared" ca="1" si="25"/>
        <v>1</v>
      </c>
      <c r="G290" s="188">
        <f ca="1">IF(F290,IFERROR(((('Data Schema'!$C$3*(1+B290)^1)*((1-$I$4-$I$5+E290)*(1-$I$10)+$I$6-$I$11)-('Data Schema'!$C$3*(1+B290)^1-'Data Schema'!$C$3)*$I$12)/(1+C290)^1+(('Data Schema'!$C$3*(1+B290)^2)*((1-$I$4-$I$5+E290)*(1-$I$10)+$I$6-$I$11)-('Data Schema'!$C$3*(1+B290)^2-'Data Schema'!$C$3*(1+B290)^1)*$I$12)/(1+C290)^2+(('Data Schema'!$C$3*(1+B290)^3)*((1-$I$4-$I$5+E290)*(1-$I$10)+$I$6-$I$11)-('Data Schema'!$C$3*(1+B290)^3-'Data Schema'!$C$3*(1+B290)^2)*$I$12)/(1+C290)^3+(('Data Schema'!$C$3*(1+B290)^4)*((1-$I$4-$I$5+E290)*(1-$I$10)+$I$6-$I$11)-('Data Schema'!$C$3*(1+B290)^4-'Data Schema'!$C$3*(1+B290)^3)*$I$12)/(1+C290)^4+(('Data Schema'!$C$3*(1+B290)^5)*((1-$I$4-$I$5+E290)*(1-$I$10)+$I$6-$I$11)-('Data Schema'!$C$3*(1+B290)^5-'Data Schema'!$C$3*(1+B290)^4)*$I$12)/(1+C290)^5+((('Data Schema'!$C$3*(1+B290)^5)*((1-$I$4-$I$5+E290)*(1-$I$10)+$I$6-$I$11)-('Data Schema'!$C$3*(1+B290)^5-'Data Schema'!$C$3*(1+B290)^4)*$I$12)*(1+D290)/(C290-D290))/(1+C290)^5-'Data Schema'!$C$31+'Data Schema'!$C$21)/'Data Schema'!$B$17,0),"INVALID")</f>
        <v>141.4597894311176</v>
      </c>
      <c r="H290" s="189" t="b">
        <f t="shared" ca="1" si="26"/>
        <v>1</v>
      </c>
      <c r="I290" s="188">
        <f t="shared" ca="1" si="27"/>
        <v>141.4597894311176</v>
      </c>
      <c r="J290" s="349">
        <f t="shared" ca="1" si="20"/>
        <v>141.4597894311176</v>
      </c>
    </row>
    <row r="291" spans="1:10">
      <c r="A291" s="187">
        <v>112</v>
      </c>
      <c r="B291" s="190">
        <f t="shared" ca="1" si="21"/>
        <v>0.12306100430393974</v>
      </c>
      <c r="C291" s="190">
        <f t="shared" ca="1" si="22"/>
        <v>5.484985621854057E-2</v>
      </c>
      <c r="D291" s="190">
        <f t="shared" ca="1" si="23"/>
        <v>2.726631454854575E-2</v>
      </c>
      <c r="E291" s="190">
        <f t="shared" ca="1" si="24"/>
        <v>-9.683907988260336E-4</v>
      </c>
      <c r="F291" s="189" t="b">
        <f t="shared" ca="1" si="25"/>
        <v>1</v>
      </c>
      <c r="G291" s="188">
        <f ca="1">IF(F291,IFERROR(((('Data Schema'!$C$3*(1+B291)^1)*((1-$I$4-$I$5+E291)*(1-$I$10)+$I$6-$I$11)-('Data Schema'!$C$3*(1+B291)^1-'Data Schema'!$C$3)*$I$12)/(1+C291)^1+(('Data Schema'!$C$3*(1+B291)^2)*((1-$I$4-$I$5+E291)*(1-$I$10)+$I$6-$I$11)-('Data Schema'!$C$3*(1+B291)^2-'Data Schema'!$C$3*(1+B291)^1)*$I$12)/(1+C291)^2+(('Data Schema'!$C$3*(1+B291)^3)*((1-$I$4-$I$5+E291)*(1-$I$10)+$I$6-$I$11)-('Data Schema'!$C$3*(1+B291)^3-'Data Schema'!$C$3*(1+B291)^2)*$I$12)/(1+C291)^3+(('Data Schema'!$C$3*(1+B291)^4)*((1-$I$4-$I$5+E291)*(1-$I$10)+$I$6-$I$11)-('Data Schema'!$C$3*(1+B291)^4-'Data Schema'!$C$3*(1+B291)^3)*$I$12)/(1+C291)^4+(('Data Schema'!$C$3*(1+B291)^5)*((1-$I$4-$I$5+E291)*(1-$I$10)+$I$6-$I$11)-('Data Schema'!$C$3*(1+B291)^5-'Data Schema'!$C$3*(1+B291)^4)*$I$12)/(1+C291)^5+((('Data Schema'!$C$3*(1+B291)^5)*((1-$I$4-$I$5+E291)*(1-$I$10)+$I$6-$I$11)-('Data Schema'!$C$3*(1+B291)^5-'Data Schema'!$C$3*(1+B291)^4)*$I$12)*(1+D291)/(C291-D291))/(1+C291)^5-'Data Schema'!$C$31+'Data Schema'!$C$21)/'Data Schema'!$B$17,0),"INVALID")</f>
        <v>116.27769715530546</v>
      </c>
      <c r="H291" s="189" t="b">
        <f t="shared" ca="1" si="26"/>
        <v>1</v>
      </c>
      <c r="I291" s="188">
        <f t="shared" ca="1" si="27"/>
        <v>116.27769715530546</v>
      </c>
      <c r="J291" s="349">
        <f t="shared" ca="1" si="20"/>
        <v>116.27769715530546</v>
      </c>
    </row>
    <row r="292" spans="1:10">
      <c r="A292" s="191">
        <v>113</v>
      </c>
      <c r="B292" s="190">
        <f t="shared" ca="1" si="21"/>
        <v>0.10105140036325694</v>
      </c>
      <c r="C292" s="190">
        <f t="shared" ca="1" si="22"/>
        <v>5.2435280985781249E-2</v>
      </c>
      <c r="D292" s="190">
        <f t="shared" ca="1" si="23"/>
        <v>3.5465746373097976E-2</v>
      </c>
      <c r="E292" s="190">
        <f t="shared" ca="1" si="24"/>
        <v>4.6238686788535537E-2</v>
      </c>
      <c r="F292" s="189" t="b">
        <f t="shared" ca="1" si="25"/>
        <v>1</v>
      </c>
      <c r="G292" s="188">
        <f ca="1">IF(F292,IFERROR(((('Data Schema'!$C$3*(1+B292)^1)*((1-$I$4-$I$5+E292)*(1-$I$10)+$I$6-$I$11)-('Data Schema'!$C$3*(1+B292)^1-'Data Schema'!$C$3)*$I$12)/(1+C292)^1+(('Data Schema'!$C$3*(1+B292)^2)*((1-$I$4-$I$5+E292)*(1-$I$10)+$I$6-$I$11)-('Data Schema'!$C$3*(1+B292)^2-'Data Schema'!$C$3*(1+B292)^1)*$I$12)/(1+C292)^2+(('Data Schema'!$C$3*(1+B292)^3)*((1-$I$4-$I$5+E292)*(1-$I$10)+$I$6-$I$11)-('Data Schema'!$C$3*(1+B292)^3-'Data Schema'!$C$3*(1+B292)^2)*$I$12)/(1+C292)^3+(('Data Schema'!$C$3*(1+B292)^4)*((1-$I$4-$I$5+E292)*(1-$I$10)+$I$6-$I$11)-('Data Schema'!$C$3*(1+B292)^4-'Data Schema'!$C$3*(1+B292)^3)*$I$12)/(1+C292)^4+(('Data Schema'!$C$3*(1+B292)^5)*((1-$I$4-$I$5+E292)*(1-$I$10)+$I$6-$I$11)-('Data Schema'!$C$3*(1+B292)^5-'Data Schema'!$C$3*(1+B292)^4)*$I$12)/(1+C292)^5+((('Data Schema'!$C$3*(1+B292)^5)*((1-$I$4-$I$5+E292)*(1-$I$10)+$I$6-$I$11)-('Data Schema'!$C$3*(1+B292)^5-'Data Schema'!$C$3*(1+B292)^4)*$I$12)*(1+D292)/(C292-D292))/(1+C292)^5-'Data Schema'!$C$31+'Data Schema'!$C$21)/'Data Schema'!$B$17,0),"INVALID")</f>
        <v>432.18707138813721</v>
      </c>
      <c r="H292" s="189" t="b">
        <f t="shared" ca="1" si="26"/>
        <v>1</v>
      </c>
      <c r="I292" s="188">
        <f t="shared" ca="1" si="27"/>
        <v>432.18707138813721</v>
      </c>
      <c r="J292" s="349" t="str">
        <f t="shared" ca="1" si="20"/>
        <v/>
      </c>
    </row>
    <row r="293" spans="1:10">
      <c r="A293" s="187">
        <v>114</v>
      </c>
      <c r="B293" s="190">
        <f t="shared" ca="1" si="21"/>
        <v>8.3824782263045183E-2</v>
      </c>
      <c r="C293" s="190">
        <f t="shared" ca="1" si="22"/>
        <v>5.856786049682592E-2</v>
      </c>
      <c r="D293" s="190">
        <f t="shared" ca="1" si="23"/>
        <v>2.8346292393448047E-2</v>
      </c>
      <c r="E293" s="190">
        <f t="shared" ca="1" si="24"/>
        <v>-1.3397589938111057E-2</v>
      </c>
      <c r="F293" s="189" t="b">
        <f t="shared" ca="1" si="25"/>
        <v>1</v>
      </c>
      <c r="G293" s="188">
        <f ca="1">IF(F293,IFERROR(((('Data Schema'!$C$3*(1+B293)^1)*((1-$I$4-$I$5+E293)*(1-$I$10)+$I$6-$I$11)-('Data Schema'!$C$3*(1+B293)^1-'Data Schema'!$C$3)*$I$12)/(1+C293)^1+(('Data Schema'!$C$3*(1+B293)^2)*((1-$I$4-$I$5+E293)*(1-$I$10)+$I$6-$I$11)-('Data Schema'!$C$3*(1+B293)^2-'Data Schema'!$C$3*(1+B293)^1)*$I$12)/(1+C293)^2+(('Data Schema'!$C$3*(1+B293)^3)*((1-$I$4-$I$5+E293)*(1-$I$10)+$I$6-$I$11)-('Data Schema'!$C$3*(1+B293)^3-'Data Schema'!$C$3*(1+B293)^2)*$I$12)/(1+C293)^3+(('Data Schema'!$C$3*(1+B293)^4)*((1-$I$4-$I$5+E293)*(1-$I$10)+$I$6-$I$11)-('Data Schema'!$C$3*(1+B293)^4-'Data Schema'!$C$3*(1+B293)^3)*$I$12)/(1+C293)^4+(('Data Schema'!$C$3*(1+B293)^5)*((1-$I$4-$I$5+E293)*(1-$I$10)+$I$6-$I$11)-('Data Schema'!$C$3*(1+B293)^5-'Data Schema'!$C$3*(1+B293)^4)*$I$12)/(1+C293)^5+((('Data Schema'!$C$3*(1+B293)^5)*((1-$I$4-$I$5+E293)*(1-$I$10)+$I$6-$I$11)-('Data Schema'!$C$3*(1+B293)^5-'Data Schema'!$C$3*(1+B293)^4)*$I$12)*(1+D293)/(C293-D293))/(1+C293)^5-'Data Schema'!$C$31+'Data Schema'!$C$21)/'Data Schema'!$B$17,0),"INVALID")</f>
        <v>53.728533133551046</v>
      </c>
      <c r="H293" s="189" t="b">
        <f t="shared" ca="1" si="26"/>
        <v>1</v>
      </c>
      <c r="I293" s="188">
        <f t="shared" ca="1" si="27"/>
        <v>53.728533133551046</v>
      </c>
      <c r="J293" s="349">
        <f t="shared" ca="1" si="20"/>
        <v>53.728533133551046</v>
      </c>
    </row>
    <row r="294" spans="1:10">
      <c r="A294" s="191">
        <v>115</v>
      </c>
      <c r="B294" s="190">
        <f t="shared" ca="1" si="21"/>
        <v>0.11057847608882333</v>
      </c>
      <c r="C294" s="190">
        <f t="shared" ca="1" si="22"/>
        <v>5.8333811995187022E-2</v>
      </c>
      <c r="D294" s="190">
        <f t="shared" ca="1" si="23"/>
        <v>1.6093167560393046E-2</v>
      </c>
      <c r="E294" s="190">
        <f t="shared" ca="1" si="24"/>
        <v>-2.2023736197108082E-2</v>
      </c>
      <c r="F294" s="189" t="b">
        <f t="shared" ca="1" si="25"/>
        <v>1</v>
      </c>
      <c r="G294" s="188">
        <f ca="1">IF(F294,IFERROR(((('Data Schema'!$C$3*(1+B294)^1)*((1-$I$4-$I$5+E294)*(1-$I$10)+$I$6-$I$11)-('Data Schema'!$C$3*(1+B294)^1-'Data Schema'!$C$3)*$I$12)/(1+C294)^1+(('Data Schema'!$C$3*(1+B294)^2)*((1-$I$4-$I$5+E294)*(1-$I$10)+$I$6-$I$11)-('Data Schema'!$C$3*(1+B294)^2-'Data Schema'!$C$3*(1+B294)^1)*$I$12)/(1+C294)^2+(('Data Schema'!$C$3*(1+B294)^3)*((1-$I$4-$I$5+E294)*(1-$I$10)+$I$6-$I$11)-('Data Schema'!$C$3*(1+B294)^3-'Data Schema'!$C$3*(1+B294)^2)*$I$12)/(1+C294)^3+(('Data Schema'!$C$3*(1+B294)^4)*((1-$I$4-$I$5+E294)*(1-$I$10)+$I$6-$I$11)-('Data Schema'!$C$3*(1+B294)^4-'Data Schema'!$C$3*(1+B294)^3)*$I$12)/(1+C294)^4+(('Data Schema'!$C$3*(1+B294)^5)*((1-$I$4-$I$5+E294)*(1-$I$10)+$I$6-$I$11)-('Data Schema'!$C$3*(1+B294)^5-'Data Schema'!$C$3*(1+B294)^4)*$I$12)/(1+C294)^5+((('Data Schema'!$C$3*(1+B294)^5)*((1-$I$4-$I$5+E294)*(1-$I$10)+$I$6-$I$11)-('Data Schema'!$C$3*(1+B294)^5-'Data Schema'!$C$3*(1+B294)^4)*$I$12)*(1+D294)/(C294-D294))/(1+C294)^5-'Data Schema'!$C$31+'Data Schema'!$C$21)/'Data Schema'!$B$17,0),"INVALID")</f>
        <v>21.257903928282722</v>
      </c>
      <c r="H294" s="189" t="b">
        <f t="shared" ca="1" si="26"/>
        <v>1</v>
      </c>
      <c r="I294" s="188">
        <f t="shared" ca="1" si="27"/>
        <v>21.257903928282722</v>
      </c>
      <c r="J294" s="349" t="str">
        <f t="shared" ca="1" si="20"/>
        <v/>
      </c>
    </row>
    <row r="295" spans="1:10">
      <c r="A295" s="187">
        <v>116</v>
      </c>
      <c r="B295" s="190">
        <f t="shared" ca="1" si="21"/>
        <v>0.12480267816906654</v>
      </c>
      <c r="C295" s="190">
        <f t="shared" ca="1" si="22"/>
        <v>7.6036837738801405E-2</v>
      </c>
      <c r="D295" s="190">
        <f t="shared" ca="1" si="23"/>
        <v>3.6940911430527849E-2</v>
      </c>
      <c r="E295" s="190">
        <f t="shared" ca="1" si="24"/>
        <v>-8.638418582578692E-3</v>
      </c>
      <c r="F295" s="189" t="b">
        <f t="shared" ca="1" si="25"/>
        <v>1</v>
      </c>
      <c r="G295" s="188">
        <f ca="1">IF(F295,IFERROR(((('Data Schema'!$C$3*(1+B295)^1)*((1-$I$4-$I$5+E295)*(1-$I$10)+$I$6-$I$11)-('Data Schema'!$C$3*(1+B295)^1-'Data Schema'!$C$3)*$I$12)/(1+C295)^1+(('Data Schema'!$C$3*(1+B295)^2)*((1-$I$4-$I$5+E295)*(1-$I$10)+$I$6-$I$11)-('Data Schema'!$C$3*(1+B295)^2-'Data Schema'!$C$3*(1+B295)^1)*$I$12)/(1+C295)^2+(('Data Schema'!$C$3*(1+B295)^3)*((1-$I$4-$I$5+E295)*(1-$I$10)+$I$6-$I$11)-('Data Schema'!$C$3*(1+B295)^3-'Data Schema'!$C$3*(1+B295)^2)*$I$12)/(1+C295)^3+(('Data Schema'!$C$3*(1+B295)^4)*((1-$I$4-$I$5+E295)*(1-$I$10)+$I$6-$I$11)-('Data Schema'!$C$3*(1+B295)^4-'Data Schema'!$C$3*(1+B295)^3)*$I$12)/(1+C295)^4+(('Data Schema'!$C$3*(1+B295)^5)*((1-$I$4-$I$5+E295)*(1-$I$10)+$I$6-$I$11)-('Data Schema'!$C$3*(1+B295)^5-'Data Schema'!$C$3*(1+B295)^4)*$I$12)/(1+C295)^5+((('Data Schema'!$C$3*(1+B295)^5)*((1-$I$4-$I$5+E295)*(1-$I$10)+$I$6-$I$11)-('Data Schema'!$C$3*(1+B295)^5-'Data Schema'!$C$3*(1+B295)^4)*$I$12)*(1+D295)/(C295-D295))/(1+C295)^5-'Data Schema'!$C$31+'Data Schema'!$C$21)/'Data Schema'!$B$17,0),"INVALID")</f>
        <v>57.007907568326154</v>
      </c>
      <c r="H295" s="189" t="b">
        <f t="shared" ca="1" si="26"/>
        <v>1</v>
      </c>
      <c r="I295" s="188">
        <f t="shared" ca="1" si="27"/>
        <v>57.007907568326154</v>
      </c>
      <c r="J295" s="349">
        <f t="shared" ca="1" si="20"/>
        <v>57.007907568326154</v>
      </c>
    </row>
    <row r="296" spans="1:10">
      <c r="A296" s="191">
        <v>117</v>
      </c>
      <c r="B296" s="190">
        <f t="shared" ca="1" si="21"/>
        <v>8.4258315150932184E-2</v>
      </c>
      <c r="C296" s="190">
        <f t="shared" ca="1" si="22"/>
        <v>5.842019260008819E-2</v>
      </c>
      <c r="D296" s="190">
        <f t="shared" ca="1" si="23"/>
        <v>2.5638519979619603E-2</v>
      </c>
      <c r="E296" s="190">
        <f t="shared" ca="1" si="24"/>
        <v>-1.5890171627275133E-2</v>
      </c>
      <c r="F296" s="189" t="b">
        <f t="shared" ca="1" si="25"/>
        <v>1</v>
      </c>
      <c r="G296" s="188">
        <f ca="1">IF(F296,IFERROR(((('Data Schema'!$C$3*(1+B296)^1)*((1-$I$4-$I$5+E296)*(1-$I$10)+$I$6-$I$11)-('Data Schema'!$C$3*(1+B296)^1-'Data Schema'!$C$3)*$I$12)/(1+C296)^1+(('Data Schema'!$C$3*(1+B296)^2)*((1-$I$4-$I$5+E296)*(1-$I$10)+$I$6-$I$11)-('Data Schema'!$C$3*(1+B296)^2-'Data Schema'!$C$3*(1+B296)^1)*$I$12)/(1+C296)^2+(('Data Schema'!$C$3*(1+B296)^3)*((1-$I$4-$I$5+E296)*(1-$I$10)+$I$6-$I$11)-('Data Schema'!$C$3*(1+B296)^3-'Data Schema'!$C$3*(1+B296)^2)*$I$12)/(1+C296)^3+(('Data Schema'!$C$3*(1+B296)^4)*((1-$I$4-$I$5+E296)*(1-$I$10)+$I$6-$I$11)-('Data Schema'!$C$3*(1+B296)^4-'Data Schema'!$C$3*(1+B296)^3)*$I$12)/(1+C296)^4+(('Data Schema'!$C$3*(1+B296)^5)*((1-$I$4-$I$5+E296)*(1-$I$10)+$I$6-$I$11)-('Data Schema'!$C$3*(1+B296)^5-'Data Schema'!$C$3*(1+B296)^4)*$I$12)/(1+C296)^5+((('Data Schema'!$C$3*(1+B296)^5)*((1-$I$4-$I$5+E296)*(1-$I$10)+$I$6-$I$11)-('Data Schema'!$C$3*(1+B296)^5-'Data Schema'!$C$3*(1+B296)^4)*$I$12)*(1+D296)/(C296-D296))/(1+C296)^5-'Data Schema'!$C$31+'Data Schema'!$C$21)/'Data Schema'!$B$17,0),"INVALID")</f>
        <v>42.796012328507111</v>
      </c>
      <c r="H296" s="189" t="b">
        <f t="shared" ca="1" si="26"/>
        <v>1</v>
      </c>
      <c r="I296" s="188">
        <f t="shared" ca="1" si="27"/>
        <v>42.796012328507111</v>
      </c>
      <c r="J296" s="349">
        <f t="shared" ca="1" si="20"/>
        <v>42.796012328507111</v>
      </c>
    </row>
    <row r="297" spans="1:10">
      <c r="A297" s="187">
        <v>118</v>
      </c>
      <c r="B297" s="190">
        <f t="shared" ca="1" si="21"/>
        <v>0.12208353058407043</v>
      </c>
      <c r="C297" s="190">
        <f t="shared" ca="1" si="22"/>
        <v>6.2422268992650166E-2</v>
      </c>
      <c r="D297" s="190">
        <f t="shared" ca="1" si="23"/>
        <v>3.1633074702152916E-2</v>
      </c>
      <c r="E297" s="190">
        <f t="shared" ca="1" si="24"/>
        <v>1.9565828348326687E-2</v>
      </c>
      <c r="F297" s="189" t="b">
        <f t="shared" ca="1" si="25"/>
        <v>1</v>
      </c>
      <c r="G297" s="188">
        <f ca="1">IF(F297,IFERROR(((('Data Schema'!$C$3*(1+B297)^1)*((1-$I$4-$I$5+E297)*(1-$I$10)+$I$6-$I$11)-('Data Schema'!$C$3*(1+B297)^1-'Data Schema'!$C$3)*$I$12)/(1+C297)^1+(('Data Schema'!$C$3*(1+B297)^2)*((1-$I$4-$I$5+E297)*(1-$I$10)+$I$6-$I$11)-('Data Schema'!$C$3*(1+B297)^2-'Data Schema'!$C$3*(1+B297)^1)*$I$12)/(1+C297)^2+(('Data Schema'!$C$3*(1+B297)^3)*((1-$I$4-$I$5+E297)*(1-$I$10)+$I$6-$I$11)-('Data Schema'!$C$3*(1+B297)^3-'Data Schema'!$C$3*(1+B297)^2)*$I$12)/(1+C297)^3+(('Data Schema'!$C$3*(1+B297)^4)*((1-$I$4-$I$5+E297)*(1-$I$10)+$I$6-$I$11)-('Data Schema'!$C$3*(1+B297)^4-'Data Schema'!$C$3*(1+B297)^3)*$I$12)/(1+C297)^4+(('Data Schema'!$C$3*(1+B297)^5)*((1-$I$4-$I$5+E297)*(1-$I$10)+$I$6-$I$11)-('Data Schema'!$C$3*(1+B297)^5-'Data Schema'!$C$3*(1+B297)^4)*$I$12)/(1+C297)^5+((('Data Schema'!$C$3*(1+B297)^5)*((1-$I$4-$I$5+E297)*(1-$I$10)+$I$6-$I$11)-('Data Schema'!$C$3*(1+B297)^5-'Data Schema'!$C$3*(1+B297)^4)*$I$12)*(1+D297)/(C297-D297))/(1+C297)^5-'Data Schema'!$C$31+'Data Schema'!$C$21)/'Data Schema'!$B$17,0),"INVALID")</f>
        <v>169.44448159873866</v>
      </c>
      <c r="H297" s="189" t="b">
        <f t="shared" ca="1" si="26"/>
        <v>1</v>
      </c>
      <c r="I297" s="188">
        <f t="shared" ca="1" si="27"/>
        <v>169.44448159873866</v>
      </c>
      <c r="J297" s="349">
        <f t="shared" ca="1" si="20"/>
        <v>169.44448159873866</v>
      </c>
    </row>
    <row r="298" spans="1:10">
      <c r="A298" s="191">
        <v>119</v>
      </c>
      <c r="B298" s="190">
        <f t="shared" ca="1" si="21"/>
        <v>0.10202426321059423</v>
      </c>
      <c r="C298" s="190">
        <f t="shared" ca="1" si="22"/>
        <v>6.266035525690454E-2</v>
      </c>
      <c r="D298" s="190">
        <f t="shared" ca="1" si="23"/>
        <v>1.6018448568594256E-2</v>
      </c>
      <c r="E298" s="190">
        <f t="shared" ca="1" si="24"/>
        <v>4.6508430620102147E-3</v>
      </c>
      <c r="F298" s="189" t="b">
        <f t="shared" ca="1" si="25"/>
        <v>1</v>
      </c>
      <c r="G298" s="188">
        <f ca="1">IF(F298,IFERROR(((('Data Schema'!$C$3*(1+B298)^1)*((1-$I$4-$I$5+E298)*(1-$I$10)+$I$6-$I$11)-('Data Schema'!$C$3*(1+B298)^1-'Data Schema'!$C$3)*$I$12)/(1+C298)^1+(('Data Schema'!$C$3*(1+B298)^2)*((1-$I$4-$I$5+E298)*(1-$I$10)+$I$6-$I$11)-('Data Schema'!$C$3*(1+B298)^2-'Data Schema'!$C$3*(1+B298)^1)*$I$12)/(1+C298)^2+(('Data Schema'!$C$3*(1+B298)^3)*((1-$I$4-$I$5+E298)*(1-$I$10)+$I$6-$I$11)-('Data Schema'!$C$3*(1+B298)^3-'Data Schema'!$C$3*(1+B298)^2)*$I$12)/(1+C298)^3+(('Data Schema'!$C$3*(1+B298)^4)*((1-$I$4-$I$5+E298)*(1-$I$10)+$I$6-$I$11)-('Data Schema'!$C$3*(1+B298)^4-'Data Schema'!$C$3*(1+B298)^3)*$I$12)/(1+C298)^4+(('Data Schema'!$C$3*(1+B298)^5)*((1-$I$4-$I$5+E298)*(1-$I$10)+$I$6-$I$11)-('Data Schema'!$C$3*(1+B298)^5-'Data Schema'!$C$3*(1+B298)^4)*$I$12)/(1+C298)^5+((('Data Schema'!$C$3*(1+B298)^5)*((1-$I$4-$I$5+E298)*(1-$I$10)+$I$6-$I$11)-('Data Schema'!$C$3*(1+B298)^5-'Data Schema'!$C$3*(1+B298)^4)*$I$12)*(1+D298)/(C298-D298))/(1+C298)^5-'Data Schema'!$C$31+'Data Schema'!$C$21)/'Data Schema'!$B$17,0),"INVALID")</f>
        <v>74.411050843999988</v>
      </c>
      <c r="H298" s="189" t="b">
        <f t="shared" ca="1" si="26"/>
        <v>1</v>
      </c>
      <c r="I298" s="188">
        <f t="shared" ca="1" si="27"/>
        <v>74.411050843999988</v>
      </c>
      <c r="J298" s="349">
        <f t="shared" ca="1" si="20"/>
        <v>74.411050843999988</v>
      </c>
    </row>
    <row r="299" spans="1:10">
      <c r="A299" s="187">
        <v>120</v>
      </c>
      <c r="B299" s="190">
        <f t="shared" ca="1" si="21"/>
        <v>0.1199235429606206</v>
      </c>
      <c r="C299" s="190">
        <f t="shared" ca="1" si="22"/>
        <v>5.8712880135954069E-2</v>
      </c>
      <c r="D299" s="190">
        <f t="shared" ca="1" si="23"/>
        <v>3.0376001906438761E-2</v>
      </c>
      <c r="E299" s="190">
        <f t="shared" ca="1" si="24"/>
        <v>4.3205256922138634E-2</v>
      </c>
      <c r="F299" s="189" t="b">
        <f t="shared" ca="1" si="25"/>
        <v>1</v>
      </c>
      <c r="G299" s="188">
        <f ca="1">IF(F299,IFERROR(((('Data Schema'!$C$3*(1+B299)^1)*((1-$I$4-$I$5+E299)*(1-$I$10)+$I$6-$I$11)-('Data Schema'!$C$3*(1+B299)^1-'Data Schema'!$C$3)*$I$12)/(1+C299)^1+(('Data Schema'!$C$3*(1+B299)^2)*((1-$I$4-$I$5+E299)*(1-$I$10)+$I$6-$I$11)-('Data Schema'!$C$3*(1+B299)^2-'Data Schema'!$C$3*(1+B299)^1)*$I$12)/(1+C299)^2+(('Data Schema'!$C$3*(1+B299)^3)*((1-$I$4-$I$5+E299)*(1-$I$10)+$I$6-$I$11)-('Data Schema'!$C$3*(1+B299)^3-'Data Schema'!$C$3*(1+B299)^2)*$I$12)/(1+C299)^3+(('Data Schema'!$C$3*(1+B299)^4)*((1-$I$4-$I$5+E299)*(1-$I$10)+$I$6-$I$11)-('Data Schema'!$C$3*(1+B299)^4-'Data Schema'!$C$3*(1+B299)^3)*$I$12)/(1+C299)^4+(('Data Schema'!$C$3*(1+B299)^5)*((1-$I$4-$I$5+E299)*(1-$I$10)+$I$6-$I$11)-('Data Schema'!$C$3*(1+B299)^5-'Data Schema'!$C$3*(1+B299)^4)*$I$12)/(1+C299)^5+((('Data Schema'!$C$3*(1+B299)^5)*((1-$I$4-$I$5+E299)*(1-$I$10)+$I$6-$I$11)-('Data Schema'!$C$3*(1+B299)^5-'Data Schema'!$C$3*(1+B299)^4)*$I$12)*(1+D299)/(C299-D299))/(1+C299)^5-'Data Schema'!$C$31+'Data Schema'!$C$21)/'Data Schema'!$B$17,0),"INVALID")</f>
        <v>269.57056657569234</v>
      </c>
      <c r="H299" s="189" t="b">
        <f t="shared" ca="1" si="26"/>
        <v>1</v>
      </c>
      <c r="I299" s="188">
        <f t="shared" ca="1" si="27"/>
        <v>269.57056657569234</v>
      </c>
      <c r="J299" s="349" t="str">
        <f t="shared" ca="1" si="20"/>
        <v/>
      </c>
    </row>
    <row r="300" spans="1:10">
      <c r="A300" s="191">
        <v>121</v>
      </c>
      <c r="B300" s="190">
        <f t="shared" ca="1" si="21"/>
        <v>0.11194913635071992</v>
      </c>
      <c r="C300" s="190">
        <f t="shared" ca="1" si="22"/>
        <v>6.3251003915013745E-2</v>
      </c>
      <c r="D300" s="190">
        <f t="shared" ca="1" si="23"/>
        <v>2.8941855515110273E-2</v>
      </c>
      <c r="E300" s="190">
        <f t="shared" ca="1" si="24"/>
        <v>4.136120660093049E-2</v>
      </c>
      <c r="F300" s="189" t="b">
        <f t="shared" ca="1" si="25"/>
        <v>1</v>
      </c>
      <c r="G300" s="188">
        <f ca="1">IF(F300,IFERROR(((('Data Schema'!$C$3*(1+B300)^1)*((1-$I$4-$I$5+E300)*(1-$I$10)+$I$6-$I$11)-('Data Schema'!$C$3*(1+B300)^1-'Data Schema'!$C$3)*$I$12)/(1+C300)^1+(('Data Schema'!$C$3*(1+B300)^2)*((1-$I$4-$I$5+E300)*(1-$I$10)+$I$6-$I$11)-('Data Schema'!$C$3*(1+B300)^2-'Data Schema'!$C$3*(1+B300)^1)*$I$12)/(1+C300)^2+(('Data Schema'!$C$3*(1+B300)^3)*((1-$I$4-$I$5+E300)*(1-$I$10)+$I$6-$I$11)-('Data Schema'!$C$3*(1+B300)^3-'Data Schema'!$C$3*(1+B300)^2)*$I$12)/(1+C300)^3+(('Data Schema'!$C$3*(1+B300)^4)*((1-$I$4-$I$5+E300)*(1-$I$10)+$I$6-$I$11)-('Data Schema'!$C$3*(1+B300)^4-'Data Schema'!$C$3*(1+B300)^3)*$I$12)/(1+C300)^4+(('Data Schema'!$C$3*(1+B300)^5)*((1-$I$4-$I$5+E300)*(1-$I$10)+$I$6-$I$11)-('Data Schema'!$C$3*(1+B300)^5-'Data Schema'!$C$3*(1+B300)^4)*$I$12)/(1+C300)^5+((('Data Schema'!$C$3*(1+B300)^5)*((1-$I$4-$I$5+E300)*(1-$I$10)+$I$6-$I$11)-('Data Schema'!$C$3*(1+B300)^5-'Data Schema'!$C$3*(1+B300)^4)*$I$12)*(1+D300)/(C300-D300))/(1+C300)^5-'Data Schema'!$C$31+'Data Schema'!$C$21)/'Data Schema'!$B$17,0),"INVALID")</f>
        <v>209.26726069920991</v>
      </c>
      <c r="H300" s="189" t="b">
        <f t="shared" ca="1" si="26"/>
        <v>1</v>
      </c>
      <c r="I300" s="188">
        <f t="shared" ca="1" si="27"/>
        <v>209.26726069920991</v>
      </c>
      <c r="J300" s="349">
        <f t="shared" ca="1" si="20"/>
        <v>209.26726069920991</v>
      </c>
    </row>
    <row r="301" spans="1:10">
      <c r="A301" s="187">
        <v>122</v>
      </c>
      <c r="B301" s="190">
        <f t="shared" ca="1" si="21"/>
        <v>9.2094556292989405E-2</v>
      </c>
      <c r="C301" s="190">
        <f t="shared" ca="1" si="22"/>
        <v>3.0178649112042134E-2</v>
      </c>
      <c r="D301" s="190">
        <f t="shared" ca="1" si="23"/>
        <v>2.0677620392669103E-2</v>
      </c>
      <c r="E301" s="190">
        <f t="shared" ca="1" si="24"/>
        <v>2.4692634932484123E-2</v>
      </c>
      <c r="F301" s="189" t="b">
        <f t="shared" ca="1" si="25"/>
        <v>0</v>
      </c>
      <c r="G301" s="188" t="str">
        <f ca="1">IF(F301,IFERROR(((('Data Schema'!$C$3*(1+B301)^1)*((1-$I$4-$I$5+E301)*(1-$I$10)+$I$6-$I$11)-('Data Schema'!$C$3*(1+B301)^1-'Data Schema'!$C$3)*$I$12)/(1+C301)^1+(('Data Schema'!$C$3*(1+B301)^2)*((1-$I$4-$I$5+E301)*(1-$I$10)+$I$6-$I$11)-('Data Schema'!$C$3*(1+B301)^2-'Data Schema'!$C$3*(1+B301)^1)*$I$12)/(1+C301)^2+(('Data Schema'!$C$3*(1+B301)^3)*((1-$I$4-$I$5+E301)*(1-$I$10)+$I$6-$I$11)-('Data Schema'!$C$3*(1+B301)^3-'Data Schema'!$C$3*(1+B301)^2)*$I$12)/(1+C301)^3+(('Data Schema'!$C$3*(1+B301)^4)*((1-$I$4-$I$5+E301)*(1-$I$10)+$I$6-$I$11)-('Data Schema'!$C$3*(1+B301)^4-'Data Schema'!$C$3*(1+B301)^3)*$I$12)/(1+C301)^4+(('Data Schema'!$C$3*(1+B301)^5)*((1-$I$4-$I$5+E301)*(1-$I$10)+$I$6-$I$11)-('Data Schema'!$C$3*(1+B301)^5-'Data Schema'!$C$3*(1+B301)^4)*$I$12)/(1+C301)^5+((('Data Schema'!$C$3*(1+B301)^5)*((1-$I$4-$I$5+E301)*(1-$I$10)+$I$6-$I$11)-('Data Schema'!$C$3*(1+B301)^5-'Data Schema'!$C$3*(1+B301)^4)*$I$12)*(1+D301)/(C301-D301))/(1+C301)^5-'Data Schema'!$C$31+'Data Schema'!$C$21)/'Data Schema'!$B$17,0),"INVALID")</f>
        <v>INVALID</v>
      </c>
      <c r="H301" s="189" t="b">
        <f t="shared" ca="1" si="26"/>
        <v>0</v>
      </c>
      <c r="I301" s="188" t="str">
        <f t="shared" ca="1" si="27"/>
        <v/>
      </c>
      <c r="J301" s="349" t="str">
        <f t="shared" ca="1" si="20"/>
        <v/>
      </c>
    </row>
    <row r="302" spans="1:10">
      <c r="A302" s="191">
        <v>123</v>
      </c>
      <c r="B302" s="190">
        <f t="shared" ca="1" si="21"/>
        <v>0.10723371089649845</v>
      </c>
      <c r="C302" s="190">
        <f t="shared" ca="1" si="22"/>
        <v>5.0389205766931885E-2</v>
      </c>
      <c r="D302" s="190">
        <f t="shared" ca="1" si="23"/>
        <v>2.138671396840678E-2</v>
      </c>
      <c r="E302" s="190">
        <f t="shared" ca="1" si="24"/>
        <v>-1.3365577682689023E-2</v>
      </c>
      <c r="F302" s="189" t="b">
        <f t="shared" ca="1" si="25"/>
        <v>1</v>
      </c>
      <c r="G302" s="188">
        <f ca="1">IF(F302,IFERROR(((('Data Schema'!$C$3*(1+B302)^1)*((1-$I$4-$I$5+E302)*(1-$I$10)+$I$6-$I$11)-('Data Schema'!$C$3*(1+B302)^1-'Data Schema'!$C$3)*$I$12)/(1+C302)^1+(('Data Schema'!$C$3*(1+B302)^2)*((1-$I$4-$I$5+E302)*(1-$I$10)+$I$6-$I$11)-('Data Schema'!$C$3*(1+B302)^2-'Data Schema'!$C$3*(1+B302)^1)*$I$12)/(1+C302)^2+(('Data Schema'!$C$3*(1+B302)^3)*((1-$I$4-$I$5+E302)*(1-$I$10)+$I$6-$I$11)-('Data Schema'!$C$3*(1+B302)^3-'Data Schema'!$C$3*(1+B302)^2)*$I$12)/(1+C302)^3+(('Data Schema'!$C$3*(1+B302)^4)*((1-$I$4-$I$5+E302)*(1-$I$10)+$I$6-$I$11)-('Data Schema'!$C$3*(1+B302)^4-'Data Schema'!$C$3*(1+B302)^3)*$I$12)/(1+C302)^4+(('Data Schema'!$C$3*(1+B302)^5)*((1-$I$4-$I$5+E302)*(1-$I$10)+$I$6-$I$11)-('Data Schema'!$C$3*(1+B302)^5-'Data Schema'!$C$3*(1+B302)^4)*$I$12)/(1+C302)^5+((('Data Schema'!$C$3*(1+B302)^5)*((1-$I$4-$I$5+E302)*(1-$I$10)+$I$6-$I$11)-('Data Schema'!$C$3*(1+B302)^5-'Data Schema'!$C$3*(1+B302)^4)*$I$12)*(1+D302)/(C302-D302))/(1+C302)^5-'Data Schema'!$C$31+'Data Schema'!$C$21)/'Data Schema'!$B$17,0),"INVALID")</f>
        <v>63.254551216064144</v>
      </c>
      <c r="H302" s="189" t="b">
        <f t="shared" ca="1" si="26"/>
        <v>1</v>
      </c>
      <c r="I302" s="188">
        <f t="shared" ca="1" si="27"/>
        <v>63.254551216064144</v>
      </c>
      <c r="J302" s="349">
        <f t="shared" ca="1" si="20"/>
        <v>63.254551216064144</v>
      </c>
    </row>
    <row r="303" spans="1:10">
      <c r="A303" s="187">
        <v>124</v>
      </c>
      <c r="B303" s="190">
        <f t="shared" ca="1" si="21"/>
        <v>8.1625249209763676E-2</v>
      </c>
      <c r="C303" s="190">
        <f t="shared" ca="1" si="22"/>
        <v>6.0665425282041441E-2</v>
      </c>
      <c r="D303" s="190">
        <f t="shared" ca="1" si="23"/>
        <v>3.0316169169040199E-2</v>
      </c>
      <c r="E303" s="190">
        <f t="shared" ca="1" si="24"/>
        <v>1.5818982476712408E-4</v>
      </c>
      <c r="F303" s="189" t="b">
        <f t="shared" ca="1" si="25"/>
        <v>1</v>
      </c>
      <c r="G303" s="188">
        <f ca="1">IF(F303,IFERROR(((('Data Schema'!$C$3*(1+B303)^1)*((1-$I$4-$I$5+E303)*(1-$I$10)+$I$6-$I$11)-('Data Schema'!$C$3*(1+B303)^1-'Data Schema'!$C$3)*$I$12)/(1+C303)^1+(('Data Schema'!$C$3*(1+B303)^2)*((1-$I$4-$I$5+E303)*(1-$I$10)+$I$6-$I$11)-('Data Schema'!$C$3*(1+B303)^2-'Data Schema'!$C$3*(1+B303)^1)*$I$12)/(1+C303)^2+(('Data Schema'!$C$3*(1+B303)^3)*((1-$I$4-$I$5+E303)*(1-$I$10)+$I$6-$I$11)-('Data Schema'!$C$3*(1+B303)^3-'Data Schema'!$C$3*(1+B303)^2)*$I$12)/(1+C303)^3+(('Data Schema'!$C$3*(1+B303)^4)*((1-$I$4-$I$5+E303)*(1-$I$10)+$I$6-$I$11)-('Data Schema'!$C$3*(1+B303)^4-'Data Schema'!$C$3*(1+B303)^3)*$I$12)/(1+C303)^4+(('Data Schema'!$C$3*(1+B303)^5)*((1-$I$4-$I$5+E303)*(1-$I$10)+$I$6-$I$11)-('Data Schema'!$C$3*(1+B303)^5-'Data Schema'!$C$3*(1+B303)^4)*$I$12)/(1+C303)^5+((('Data Schema'!$C$3*(1+B303)^5)*((1-$I$4-$I$5+E303)*(1-$I$10)+$I$6-$I$11)-('Data Schema'!$C$3*(1+B303)^5-'Data Schema'!$C$3*(1+B303)^4)*$I$12)*(1+D303)/(C303-D303))/(1+C303)^5-'Data Schema'!$C$31+'Data Schema'!$C$21)/'Data Schema'!$B$17,0),"INVALID")</f>
        <v>91.234832241496377</v>
      </c>
      <c r="H303" s="189" t="b">
        <f t="shared" ca="1" si="26"/>
        <v>1</v>
      </c>
      <c r="I303" s="188">
        <f t="shared" ca="1" si="27"/>
        <v>91.234832241496377</v>
      </c>
      <c r="J303" s="349">
        <f t="shared" ca="1" si="20"/>
        <v>91.234832241496377</v>
      </c>
    </row>
    <row r="304" spans="1:10">
      <c r="A304" s="191">
        <v>125</v>
      </c>
      <c r="B304" s="190">
        <f t="shared" ca="1" si="21"/>
        <v>5.3047054474271819E-2</v>
      </c>
      <c r="C304" s="190">
        <f t="shared" ca="1" si="22"/>
        <v>7.2175250795016271E-2</v>
      </c>
      <c r="D304" s="190">
        <f t="shared" ca="1" si="23"/>
        <v>2.6011176029276977E-2</v>
      </c>
      <c r="E304" s="190">
        <f t="shared" ca="1" si="24"/>
        <v>1.7590631566385715E-2</v>
      </c>
      <c r="F304" s="189" t="b">
        <f t="shared" ca="1" si="25"/>
        <v>1</v>
      </c>
      <c r="G304" s="188">
        <f ca="1">IF(F304,IFERROR(((('Data Schema'!$C$3*(1+B304)^1)*((1-$I$4-$I$5+E304)*(1-$I$10)+$I$6-$I$11)-('Data Schema'!$C$3*(1+B304)^1-'Data Schema'!$C$3)*$I$12)/(1+C304)^1+(('Data Schema'!$C$3*(1+B304)^2)*((1-$I$4-$I$5+E304)*(1-$I$10)+$I$6-$I$11)-('Data Schema'!$C$3*(1+B304)^2-'Data Schema'!$C$3*(1+B304)^1)*$I$12)/(1+C304)^2+(('Data Schema'!$C$3*(1+B304)^3)*((1-$I$4-$I$5+E304)*(1-$I$10)+$I$6-$I$11)-('Data Schema'!$C$3*(1+B304)^3-'Data Schema'!$C$3*(1+B304)^2)*$I$12)/(1+C304)^3+(('Data Schema'!$C$3*(1+B304)^4)*((1-$I$4-$I$5+E304)*(1-$I$10)+$I$6-$I$11)-('Data Schema'!$C$3*(1+B304)^4-'Data Schema'!$C$3*(1+B304)^3)*$I$12)/(1+C304)^4+(('Data Schema'!$C$3*(1+B304)^5)*((1-$I$4-$I$5+E304)*(1-$I$10)+$I$6-$I$11)-('Data Schema'!$C$3*(1+B304)^5-'Data Schema'!$C$3*(1+B304)^4)*$I$12)/(1+C304)^5+((('Data Schema'!$C$3*(1+B304)^5)*((1-$I$4-$I$5+E304)*(1-$I$10)+$I$6-$I$11)-('Data Schema'!$C$3*(1+B304)^5-'Data Schema'!$C$3*(1+B304)^4)*$I$12)*(1+D304)/(C304-D304))/(1+C304)^5-'Data Schema'!$C$31+'Data Schema'!$C$21)/'Data Schema'!$B$17,0),"INVALID")</f>
        <v>80.798071435900596</v>
      </c>
      <c r="H304" s="189" t="b">
        <f t="shared" ca="1" si="26"/>
        <v>1</v>
      </c>
      <c r="I304" s="188">
        <f t="shared" ca="1" si="27"/>
        <v>80.798071435900596</v>
      </c>
      <c r="J304" s="349">
        <f t="shared" ca="1" si="20"/>
        <v>80.798071435900596</v>
      </c>
    </row>
    <row r="305" spans="1:10">
      <c r="A305" s="187">
        <v>126</v>
      </c>
      <c r="B305" s="190">
        <f t="shared" ca="1" si="21"/>
        <v>0.14624384784539729</v>
      </c>
      <c r="C305" s="190">
        <f t="shared" ca="1" si="22"/>
        <v>4.8369484069555213E-2</v>
      </c>
      <c r="D305" s="190">
        <f t="shared" ca="1" si="23"/>
        <v>2.5572255592766917E-2</v>
      </c>
      <c r="E305" s="190">
        <f t="shared" ca="1" si="24"/>
        <v>1.4589354166420123E-3</v>
      </c>
      <c r="F305" s="189" t="b">
        <f t="shared" ca="1" si="25"/>
        <v>1</v>
      </c>
      <c r="G305" s="188">
        <f ca="1">IF(F305,IFERROR(((('Data Schema'!$C$3*(1+B305)^1)*((1-$I$4-$I$5+E305)*(1-$I$10)+$I$6-$I$11)-('Data Schema'!$C$3*(1+B305)^1-'Data Schema'!$C$3)*$I$12)/(1+C305)^1+(('Data Schema'!$C$3*(1+B305)^2)*((1-$I$4-$I$5+E305)*(1-$I$10)+$I$6-$I$11)-('Data Schema'!$C$3*(1+B305)^2-'Data Schema'!$C$3*(1+B305)^1)*$I$12)/(1+C305)^2+(('Data Schema'!$C$3*(1+B305)^3)*((1-$I$4-$I$5+E305)*(1-$I$10)+$I$6-$I$11)-('Data Schema'!$C$3*(1+B305)^3-'Data Schema'!$C$3*(1+B305)^2)*$I$12)/(1+C305)^3+(('Data Schema'!$C$3*(1+B305)^4)*((1-$I$4-$I$5+E305)*(1-$I$10)+$I$6-$I$11)-('Data Schema'!$C$3*(1+B305)^4-'Data Schema'!$C$3*(1+B305)^3)*$I$12)/(1+C305)^4+(('Data Schema'!$C$3*(1+B305)^5)*((1-$I$4-$I$5+E305)*(1-$I$10)+$I$6-$I$11)-('Data Schema'!$C$3*(1+B305)^5-'Data Schema'!$C$3*(1+B305)^4)*$I$12)/(1+C305)^5+((('Data Schema'!$C$3*(1+B305)^5)*((1-$I$4-$I$5+E305)*(1-$I$10)+$I$6-$I$11)-('Data Schema'!$C$3*(1+B305)^5-'Data Schema'!$C$3*(1+B305)^4)*$I$12)*(1+D305)/(C305-D305))/(1+C305)^5-'Data Schema'!$C$31+'Data Schema'!$C$21)/'Data Schema'!$B$17,0),"INVALID")</f>
        <v>169.2527266596675</v>
      </c>
      <c r="H305" s="189" t="b">
        <f t="shared" ca="1" si="26"/>
        <v>1</v>
      </c>
      <c r="I305" s="188">
        <f t="shared" ca="1" si="27"/>
        <v>169.2527266596675</v>
      </c>
      <c r="J305" s="349">
        <f t="shared" ca="1" si="20"/>
        <v>169.2527266596675</v>
      </c>
    </row>
    <row r="306" spans="1:10">
      <c r="A306" s="191">
        <v>127</v>
      </c>
      <c r="B306" s="190">
        <f t="shared" ca="1" si="21"/>
        <v>7.4494255386210698E-2</v>
      </c>
      <c r="C306" s="190">
        <f t="shared" ca="1" si="22"/>
        <v>7.7745475148255E-2</v>
      </c>
      <c r="D306" s="190">
        <f t="shared" ca="1" si="23"/>
        <v>2.9134271146939429E-2</v>
      </c>
      <c r="E306" s="190">
        <f t="shared" ca="1" si="24"/>
        <v>4.2099921975933463E-3</v>
      </c>
      <c r="F306" s="189" t="b">
        <f t="shared" ca="1" si="25"/>
        <v>1</v>
      </c>
      <c r="G306" s="188">
        <f ca="1">IF(F306,IFERROR(((('Data Schema'!$C$3*(1+B306)^1)*((1-$I$4-$I$5+E306)*(1-$I$10)+$I$6-$I$11)-('Data Schema'!$C$3*(1+B306)^1-'Data Schema'!$C$3)*$I$12)/(1+C306)^1+(('Data Schema'!$C$3*(1+B306)^2)*((1-$I$4-$I$5+E306)*(1-$I$10)+$I$6-$I$11)-('Data Schema'!$C$3*(1+B306)^2-'Data Schema'!$C$3*(1+B306)^1)*$I$12)/(1+C306)^2+(('Data Schema'!$C$3*(1+B306)^3)*((1-$I$4-$I$5+E306)*(1-$I$10)+$I$6-$I$11)-('Data Schema'!$C$3*(1+B306)^3-'Data Schema'!$C$3*(1+B306)^2)*$I$12)/(1+C306)^3+(('Data Schema'!$C$3*(1+B306)^4)*((1-$I$4-$I$5+E306)*(1-$I$10)+$I$6-$I$11)-('Data Schema'!$C$3*(1+B306)^4-'Data Schema'!$C$3*(1+B306)^3)*$I$12)/(1+C306)^4+(('Data Schema'!$C$3*(1+B306)^5)*((1-$I$4-$I$5+E306)*(1-$I$10)+$I$6-$I$11)-('Data Schema'!$C$3*(1+B306)^5-'Data Schema'!$C$3*(1+B306)^4)*$I$12)/(1+C306)^5+((('Data Schema'!$C$3*(1+B306)^5)*((1-$I$4-$I$5+E306)*(1-$I$10)+$I$6-$I$11)-('Data Schema'!$C$3*(1+B306)^5-'Data Schema'!$C$3*(1+B306)^4)*$I$12)*(1+D306)/(C306-D306))/(1+C306)^5-'Data Schema'!$C$31+'Data Schema'!$C$21)/'Data Schema'!$B$17,0),"INVALID")</f>
        <v>59.558193410758328</v>
      </c>
      <c r="H306" s="189" t="b">
        <f t="shared" ca="1" si="26"/>
        <v>1</v>
      </c>
      <c r="I306" s="188">
        <f t="shared" ca="1" si="27"/>
        <v>59.558193410758328</v>
      </c>
      <c r="J306" s="349">
        <f t="shared" ca="1" si="20"/>
        <v>59.558193410758328</v>
      </c>
    </row>
    <row r="307" spans="1:10">
      <c r="A307" s="187">
        <v>128</v>
      </c>
      <c r="B307" s="190">
        <f t="shared" ca="1" si="21"/>
        <v>8.8574414446580665E-2</v>
      </c>
      <c r="C307" s="190">
        <f t="shared" ca="1" si="22"/>
        <v>6.0155419264241054E-2</v>
      </c>
      <c r="D307" s="190">
        <f t="shared" ca="1" si="23"/>
        <v>3.5425735838043128E-2</v>
      </c>
      <c r="E307" s="190">
        <f t="shared" ca="1" si="24"/>
        <v>5.7084934599914436E-3</v>
      </c>
      <c r="F307" s="189" t="b">
        <f t="shared" ca="1" si="25"/>
        <v>1</v>
      </c>
      <c r="G307" s="188">
        <f ca="1">IF(F307,IFERROR(((('Data Schema'!$C$3*(1+B307)^1)*((1-$I$4-$I$5+E307)*(1-$I$10)+$I$6-$I$11)-('Data Schema'!$C$3*(1+B307)^1-'Data Schema'!$C$3)*$I$12)/(1+C307)^1+(('Data Schema'!$C$3*(1+B307)^2)*((1-$I$4-$I$5+E307)*(1-$I$10)+$I$6-$I$11)-('Data Schema'!$C$3*(1+B307)^2-'Data Schema'!$C$3*(1+B307)^1)*$I$12)/(1+C307)^2+(('Data Schema'!$C$3*(1+B307)^3)*((1-$I$4-$I$5+E307)*(1-$I$10)+$I$6-$I$11)-('Data Schema'!$C$3*(1+B307)^3-'Data Schema'!$C$3*(1+B307)^2)*$I$12)/(1+C307)^3+(('Data Schema'!$C$3*(1+B307)^4)*((1-$I$4-$I$5+E307)*(1-$I$10)+$I$6-$I$11)-('Data Schema'!$C$3*(1+B307)^4-'Data Schema'!$C$3*(1+B307)^3)*$I$12)/(1+C307)^4+(('Data Schema'!$C$3*(1+B307)^5)*((1-$I$4-$I$5+E307)*(1-$I$10)+$I$6-$I$11)-('Data Schema'!$C$3*(1+B307)^5-'Data Schema'!$C$3*(1+B307)^4)*$I$12)/(1+C307)^5+((('Data Schema'!$C$3*(1+B307)^5)*((1-$I$4-$I$5+E307)*(1-$I$10)+$I$6-$I$11)-('Data Schema'!$C$3*(1+B307)^5-'Data Schema'!$C$3*(1+B307)^4)*$I$12)*(1+D307)/(C307-D307))/(1+C307)^5-'Data Schema'!$C$31+'Data Schema'!$C$21)/'Data Schema'!$B$17,0),"INVALID")</f>
        <v>134.42504371056626</v>
      </c>
      <c r="H307" s="189" t="b">
        <f t="shared" ca="1" si="26"/>
        <v>1</v>
      </c>
      <c r="I307" s="188">
        <f t="shared" ca="1" si="27"/>
        <v>134.42504371056626</v>
      </c>
      <c r="J307" s="349">
        <f t="shared" ca="1" si="20"/>
        <v>134.42504371056626</v>
      </c>
    </row>
    <row r="308" spans="1:10">
      <c r="A308" s="191">
        <v>129</v>
      </c>
      <c r="B308" s="190">
        <f t="shared" ca="1" si="21"/>
        <v>9.3352089612202635E-2</v>
      </c>
      <c r="C308" s="190">
        <f t="shared" ca="1" si="22"/>
        <v>5.576528728014065E-2</v>
      </c>
      <c r="D308" s="190">
        <f t="shared" ca="1" si="23"/>
        <v>2.2873942188289805E-2</v>
      </c>
      <c r="E308" s="190">
        <f t="shared" ca="1" si="24"/>
        <v>2.5557296652575258E-2</v>
      </c>
      <c r="F308" s="189" t="b">
        <f t="shared" ca="1" si="25"/>
        <v>1</v>
      </c>
      <c r="G308" s="188">
        <f ca="1">IF(F308,IFERROR(((('Data Schema'!$C$3*(1+B308)^1)*((1-$I$4-$I$5+E308)*(1-$I$10)+$I$6-$I$11)-('Data Schema'!$C$3*(1+B308)^1-'Data Schema'!$C$3)*$I$12)/(1+C308)^1+(('Data Schema'!$C$3*(1+B308)^2)*((1-$I$4-$I$5+E308)*(1-$I$10)+$I$6-$I$11)-('Data Schema'!$C$3*(1+B308)^2-'Data Schema'!$C$3*(1+B308)^1)*$I$12)/(1+C308)^2+(('Data Schema'!$C$3*(1+B308)^3)*((1-$I$4-$I$5+E308)*(1-$I$10)+$I$6-$I$11)-('Data Schema'!$C$3*(1+B308)^3-'Data Schema'!$C$3*(1+B308)^2)*$I$12)/(1+C308)^3+(('Data Schema'!$C$3*(1+B308)^4)*((1-$I$4-$I$5+E308)*(1-$I$10)+$I$6-$I$11)-('Data Schema'!$C$3*(1+B308)^4-'Data Schema'!$C$3*(1+B308)^3)*$I$12)/(1+C308)^4+(('Data Schema'!$C$3*(1+B308)^5)*((1-$I$4-$I$5+E308)*(1-$I$10)+$I$6-$I$11)-('Data Schema'!$C$3*(1+B308)^5-'Data Schema'!$C$3*(1+B308)^4)*$I$12)/(1+C308)^5+((('Data Schema'!$C$3*(1+B308)^5)*((1-$I$4-$I$5+E308)*(1-$I$10)+$I$6-$I$11)-('Data Schema'!$C$3*(1+B308)^5-'Data Schema'!$C$3*(1+B308)^4)*$I$12)*(1+D308)/(C308-D308))/(1+C308)^5-'Data Schema'!$C$31+'Data Schema'!$C$21)/'Data Schema'!$B$17,0),"INVALID")</f>
        <v>162.31070816374879</v>
      </c>
      <c r="H308" s="189" t="b">
        <f t="shared" ca="1" si="26"/>
        <v>1</v>
      </c>
      <c r="I308" s="188">
        <f t="shared" ca="1" si="27"/>
        <v>162.31070816374879</v>
      </c>
      <c r="J308" s="349">
        <f t="shared" ref="J308:J371" ca="1" si="28">IF(AND(F308=TRUE,H308=TRUE,ISNUMBER(G308),G308&gt;=$B$153,G308&lt;=$B$154),G308,"")</f>
        <v>162.31070816374879</v>
      </c>
    </row>
    <row r="309" spans="1:10">
      <c r="A309" s="187">
        <v>130</v>
      </c>
      <c r="B309" s="190">
        <f t="shared" ref="B309:B372" ca="1" si="29">MAX($D$139,MIN($E$139,NORMINV(RAND(),$B$139,$C$139)))</f>
        <v>0.13859589142984241</v>
      </c>
      <c r="C309" s="190">
        <f t="shared" ref="C309:C372" ca="1" si="30">MAX($D$140,MIN($E$140,NORMINV(RAND(),$B$140,$C$140)))</f>
        <v>5.6701555322803326E-2</v>
      </c>
      <c r="D309" s="190">
        <f t="shared" ref="D309:D372" ca="1" si="31">MAX($D$141,MIN($E$141,NORMINV(RAND(),$B$141,$C$141)))</f>
        <v>2.4621334577270122E-2</v>
      </c>
      <c r="E309" s="190">
        <f t="shared" ref="E309:E372" ca="1" si="32">MAX($D$142,MIN($E$142,NORMINV(RAND(),$B$142,$C$142)))</f>
        <v>-4.0018299591843873E-2</v>
      </c>
      <c r="F309" s="189" t="b">
        <f t="shared" ref="F309:F372" ca="1" si="33">C309&gt;D309+$B$144</f>
        <v>1</v>
      </c>
      <c r="G309" s="188">
        <f ca="1">IF(F309,IFERROR(((('Data Schema'!$C$3*(1+B309)^1)*((1-$I$4-$I$5+E309)*(1-$I$10)+$I$6-$I$11)-('Data Schema'!$C$3*(1+B309)^1-'Data Schema'!$C$3)*$I$12)/(1+C309)^1+(('Data Schema'!$C$3*(1+B309)^2)*((1-$I$4-$I$5+E309)*(1-$I$10)+$I$6-$I$11)-('Data Schema'!$C$3*(1+B309)^2-'Data Schema'!$C$3*(1+B309)^1)*$I$12)/(1+C309)^2+(('Data Schema'!$C$3*(1+B309)^3)*((1-$I$4-$I$5+E309)*(1-$I$10)+$I$6-$I$11)-('Data Schema'!$C$3*(1+B309)^3-'Data Schema'!$C$3*(1+B309)^2)*$I$12)/(1+C309)^3+(('Data Schema'!$C$3*(1+B309)^4)*((1-$I$4-$I$5+E309)*(1-$I$10)+$I$6-$I$11)-('Data Schema'!$C$3*(1+B309)^4-'Data Schema'!$C$3*(1+B309)^3)*$I$12)/(1+C309)^4+(('Data Schema'!$C$3*(1+B309)^5)*((1-$I$4-$I$5+E309)*(1-$I$10)+$I$6-$I$11)-('Data Schema'!$C$3*(1+B309)^5-'Data Schema'!$C$3*(1+B309)^4)*$I$12)/(1+C309)^5+((('Data Schema'!$C$3*(1+B309)^5)*((1-$I$4-$I$5+E309)*(1-$I$10)+$I$6-$I$11)-('Data Schema'!$C$3*(1+B309)^5-'Data Schema'!$C$3*(1+B309)^4)*$I$12)*(1+D309)/(C309-D309))/(1+C309)^5-'Data Schema'!$C$31+'Data Schema'!$C$21)/'Data Schema'!$B$17,0),"INVALID")</f>
        <v>-31.370871155105743</v>
      </c>
      <c r="H309" s="189" t="b">
        <f t="shared" ref="H309:H372" ca="1" si="34">AND(ISNUMBER(G309),G309&gt;$F$29*$B$145,G309&lt;$F$29*$B$146)</f>
        <v>0</v>
      </c>
      <c r="I309" s="188" t="str">
        <f t="shared" ref="I309:I372" ca="1" si="35">IF(AND(F309=TRUE,H309=TRUE),G309,"")</f>
        <v/>
      </c>
      <c r="J309" s="349" t="str">
        <f t="shared" ca="1" si="28"/>
        <v/>
      </c>
    </row>
    <row r="310" spans="1:10">
      <c r="A310" s="191">
        <v>131</v>
      </c>
      <c r="B310" s="190">
        <f t="shared" ca="1" si="29"/>
        <v>9.7141661920659067E-2</v>
      </c>
      <c r="C310" s="190">
        <f t="shared" ca="1" si="30"/>
        <v>8.9408490970739829E-2</v>
      </c>
      <c r="D310" s="190">
        <f t="shared" ca="1" si="31"/>
        <v>3.2157787516206397E-2</v>
      </c>
      <c r="E310" s="190">
        <f t="shared" ca="1" si="32"/>
        <v>-4.675956801575747E-3</v>
      </c>
      <c r="F310" s="189" t="b">
        <f t="shared" ca="1" si="33"/>
        <v>1</v>
      </c>
      <c r="G310" s="188">
        <f ca="1">IF(F310,IFERROR(((('Data Schema'!$C$3*(1+B310)^1)*((1-$I$4-$I$5+E310)*(1-$I$10)+$I$6-$I$11)-('Data Schema'!$C$3*(1+B310)^1-'Data Schema'!$C$3)*$I$12)/(1+C310)^1+(('Data Schema'!$C$3*(1+B310)^2)*((1-$I$4-$I$5+E310)*(1-$I$10)+$I$6-$I$11)-('Data Schema'!$C$3*(1+B310)^2-'Data Schema'!$C$3*(1+B310)^1)*$I$12)/(1+C310)^2+(('Data Schema'!$C$3*(1+B310)^3)*((1-$I$4-$I$5+E310)*(1-$I$10)+$I$6-$I$11)-('Data Schema'!$C$3*(1+B310)^3-'Data Schema'!$C$3*(1+B310)^2)*$I$12)/(1+C310)^3+(('Data Schema'!$C$3*(1+B310)^4)*((1-$I$4-$I$5+E310)*(1-$I$10)+$I$6-$I$11)-('Data Schema'!$C$3*(1+B310)^4-'Data Schema'!$C$3*(1+B310)^3)*$I$12)/(1+C310)^4+(('Data Schema'!$C$3*(1+B310)^5)*((1-$I$4-$I$5+E310)*(1-$I$10)+$I$6-$I$11)-('Data Schema'!$C$3*(1+B310)^5-'Data Schema'!$C$3*(1+B310)^4)*$I$12)/(1+C310)^5+((('Data Schema'!$C$3*(1+B310)^5)*((1-$I$4-$I$5+E310)*(1-$I$10)+$I$6-$I$11)-('Data Schema'!$C$3*(1+B310)^5-'Data Schema'!$C$3*(1+B310)^4)*$I$12)*(1+D310)/(C310-D310))/(1+C310)^5-'Data Schema'!$C$31+'Data Schema'!$C$21)/'Data Schema'!$B$17,0),"INVALID")</f>
        <v>39.434261836792324</v>
      </c>
      <c r="H310" s="189" t="b">
        <f t="shared" ca="1" si="34"/>
        <v>1</v>
      </c>
      <c r="I310" s="188">
        <f t="shared" ca="1" si="35"/>
        <v>39.434261836792324</v>
      </c>
      <c r="J310" s="349">
        <f t="shared" ca="1" si="28"/>
        <v>39.434261836792324</v>
      </c>
    </row>
    <row r="311" spans="1:10">
      <c r="A311" s="187">
        <v>132</v>
      </c>
      <c r="B311" s="190">
        <f t="shared" ca="1" si="29"/>
        <v>0.10152348076639542</v>
      </c>
      <c r="C311" s="190">
        <f t="shared" ca="1" si="30"/>
        <v>4.9313006706608292E-2</v>
      </c>
      <c r="D311" s="190">
        <f t="shared" ca="1" si="31"/>
        <v>2.1555551515084953E-2</v>
      </c>
      <c r="E311" s="190">
        <f t="shared" ca="1" si="32"/>
        <v>1.2700817190793207E-2</v>
      </c>
      <c r="F311" s="189" t="b">
        <f t="shared" ca="1" si="33"/>
        <v>1</v>
      </c>
      <c r="G311" s="188">
        <f ca="1">IF(F311,IFERROR(((('Data Schema'!$C$3*(1+B311)^1)*((1-$I$4-$I$5+E311)*(1-$I$10)+$I$6-$I$11)-('Data Schema'!$C$3*(1+B311)^1-'Data Schema'!$C$3)*$I$12)/(1+C311)^1+(('Data Schema'!$C$3*(1+B311)^2)*((1-$I$4-$I$5+E311)*(1-$I$10)+$I$6-$I$11)-('Data Schema'!$C$3*(1+B311)^2-'Data Schema'!$C$3*(1+B311)^1)*$I$12)/(1+C311)^2+(('Data Schema'!$C$3*(1+B311)^3)*((1-$I$4-$I$5+E311)*(1-$I$10)+$I$6-$I$11)-('Data Schema'!$C$3*(1+B311)^3-'Data Schema'!$C$3*(1+B311)^2)*$I$12)/(1+C311)^3+(('Data Schema'!$C$3*(1+B311)^4)*((1-$I$4-$I$5+E311)*(1-$I$10)+$I$6-$I$11)-('Data Schema'!$C$3*(1+B311)^4-'Data Schema'!$C$3*(1+B311)^3)*$I$12)/(1+C311)^4+(('Data Schema'!$C$3*(1+B311)^5)*((1-$I$4-$I$5+E311)*(1-$I$10)+$I$6-$I$11)-('Data Schema'!$C$3*(1+B311)^5-'Data Schema'!$C$3*(1+B311)^4)*$I$12)/(1+C311)^5+((('Data Schema'!$C$3*(1+B311)^5)*((1-$I$4-$I$5+E311)*(1-$I$10)+$I$6-$I$11)-('Data Schema'!$C$3*(1+B311)^5-'Data Schema'!$C$3*(1+B311)^4)*$I$12)*(1+D311)/(C311-D311))/(1+C311)^5-'Data Schema'!$C$31+'Data Schema'!$C$21)/'Data Schema'!$B$17,0),"INVALID")</f>
        <v>156.6781195077547</v>
      </c>
      <c r="H311" s="189" t="b">
        <f t="shared" ca="1" si="34"/>
        <v>1</v>
      </c>
      <c r="I311" s="188">
        <f t="shared" ca="1" si="35"/>
        <v>156.6781195077547</v>
      </c>
      <c r="J311" s="349">
        <f t="shared" ca="1" si="28"/>
        <v>156.6781195077547</v>
      </c>
    </row>
    <row r="312" spans="1:10">
      <c r="A312" s="191">
        <v>133</v>
      </c>
      <c r="B312" s="190">
        <f t="shared" ca="1" si="29"/>
        <v>8.7527975259875379E-2</v>
      </c>
      <c r="C312" s="190">
        <f t="shared" ca="1" si="30"/>
        <v>5.179024063451311E-2</v>
      </c>
      <c r="D312" s="190">
        <f t="shared" ca="1" si="31"/>
        <v>2.115308654263344E-2</v>
      </c>
      <c r="E312" s="190">
        <f t="shared" ca="1" si="32"/>
        <v>3.0281241189066225E-2</v>
      </c>
      <c r="F312" s="189" t="b">
        <f t="shared" ca="1" si="33"/>
        <v>1</v>
      </c>
      <c r="G312" s="188">
        <f ca="1">IF(F312,IFERROR(((('Data Schema'!$C$3*(1+B312)^1)*((1-$I$4-$I$5+E312)*(1-$I$10)+$I$6-$I$11)-('Data Schema'!$C$3*(1+B312)^1-'Data Schema'!$C$3)*$I$12)/(1+C312)^1+(('Data Schema'!$C$3*(1+B312)^2)*((1-$I$4-$I$5+E312)*(1-$I$10)+$I$6-$I$11)-('Data Schema'!$C$3*(1+B312)^2-'Data Schema'!$C$3*(1+B312)^1)*$I$12)/(1+C312)^2+(('Data Schema'!$C$3*(1+B312)^3)*((1-$I$4-$I$5+E312)*(1-$I$10)+$I$6-$I$11)-('Data Schema'!$C$3*(1+B312)^3-'Data Schema'!$C$3*(1+B312)^2)*$I$12)/(1+C312)^3+(('Data Schema'!$C$3*(1+B312)^4)*((1-$I$4-$I$5+E312)*(1-$I$10)+$I$6-$I$11)-('Data Schema'!$C$3*(1+B312)^4-'Data Schema'!$C$3*(1+B312)^3)*$I$12)/(1+C312)^4+(('Data Schema'!$C$3*(1+B312)^5)*((1-$I$4-$I$5+E312)*(1-$I$10)+$I$6-$I$11)-('Data Schema'!$C$3*(1+B312)^5-'Data Schema'!$C$3*(1+B312)^4)*$I$12)/(1+C312)^5+((('Data Schema'!$C$3*(1+B312)^5)*((1-$I$4-$I$5+E312)*(1-$I$10)+$I$6-$I$11)-('Data Schema'!$C$3*(1+B312)^5-'Data Schema'!$C$3*(1+B312)^4)*$I$12)*(1+D312)/(C312-D312))/(1+C312)^5-'Data Schema'!$C$31+'Data Schema'!$C$21)/'Data Schema'!$B$17,0),"INVALID")</f>
        <v>186.0801034653646</v>
      </c>
      <c r="H312" s="189" t="b">
        <f t="shared" ca="1" si="34"/>
        <v>1</v>
      </c>
      <c r="I312" s="188">
        <f t="shared" ca="1" si="35"/>
        <v>186.0801034653646</v>
      </c>
      <c r="J312" s="349">
        <f t="shared" ca="1" si="28"/>
        <v>186.0801034653646</v>
      </c>
    </row>
    <row r="313" spans="1:10">
      <c r="A313" s="187">
        <v>134</v>
      </c>
      <c r="B313" s="190">
        <f t="shared" ca="1" si="29"/>
        <v>9.5775539559607686E-2</v>
      </c>
      <c r="C313" s="190">
        <f t="shared" ca="1" si="30"/>
        <v>5.3145790764254332E-2</v>
      </c>
      <c r="D313" s="190">
        <f t="shared" ca="1" si="31"/>
        <v>2.8763889170178934E-2</v>
      </c>
      <c r="E313" s="190">
        <f t="shared" ca="1" si="32"/>
        <v>-1.2106762180736245E-2</v>
      </c>
      <c r="F313" s="189" t="b">
        <f t="shared" ca="1" si="33"/>
        <v>1</v>
      </c>
      <c r="G313" s="188">
        <f ca="1">IF(F313,IFERROR(((('Data Schema'!$C$3*(1+B313)^1)*((1-$I$4-$I$5+E313)*(1-$I$10)+$I$6-$I$11)-('Data Schema'!$C$3*(1+B313)^1-'Data Schema'!$C$3)*$I$12)/(1+C313)^1+(('Data Schema'!$C$3*(1+B313)^2)*((1-$I$4-$I$5+E313)*(1-$I$10)+$I$6-$I$11)-('Data Schema'!$C$3*(1+B313)^2-'Data Schema'!$C$3*(1+B313)^1)*$I$12)/(1+C313)^2+(('Data Schema'!$C$3*(1+B313)^3)*((1-$I$4-$I$5+E313)*(1-$I$10)+$I$6-$I$11)-('Data Schema'!$C$3*(1+B313)^3-'Data Schema'!$C$3*(1+B313)^2)*$I$12)/(1+C313)^3+(('Data Schema'!$C$3*(1+B313)^4)*((1-$I$4-$I$5+E313)*(1-$I$10)+$I$6-$I$11)-('Data Schema'!$C$3*(1+B313)^4-'Data Schema'!$C$3*(1+B313)^3)*$I$12)/(1+C313)^4+(('Data Schema'!$C$3*(1+B313)^5)*((1-$I$4-$I$5+E313)*(1-$I$10)+$I$6-$I$11)-('Data Schema'!$C$3*(1+B313)^5-'Data Schema'!$C$3*(1+B313)^4)*$I$12)/(1+C313)^5+((('Data Schema'!$C$3*(1+B313)^5)*((1-$I$4-$I$5+E313)*(1-$I$10)+$I$6-$I$11)-('Data Schema'!$C$3*(1+B313)^5-'Data Schema'!$C$3*(1+B313)^4)*$I$12)*(1+D313)/(C313-D313))/(1+C313)^5-'Data Schema'!$C$31+'Data Schema'!$C$21)/'Data Schema'!$B$17,0),"INVALID")</f>
        <v>76.326245171280334</v>
      </c>
      <c r="H313" s="189" t="b">
        <f t="shared" ca="1" si="34"/>
        <v>1</v>
      </c>
      <c r="I313" s="188">
        <f t="shared" ca="1" si="35"/>
        <v>76.326245171280334</v>
      </c>
      <c r="J313" s="349">
        <f t="shared" ca="1" si="28"/>
        <v>76.326245171280334</v>
      </c>
    </row>
    <row r="314" spans="1:10">
      <c r="A314" s="191">
        <v>135</v>
      </c>
      <c r="B314" s="190">
        <f t="shared" ca="1" si="29"/>
        <v>0.14135992180962695</v>
      </c>
      <c r="C314" s="190">
        <f t="shared" ca="1" si="30"/>
        <v>7.0455401572685233E-2</v>
      </c>
      <c r="D314" s="190">
        <f t="shared" ca="1" si="31"/>
        <v>3.0011068691289885E-2</v>
      </c>
      <c r="E314" s="190">
        <f t="shared" ca="1" si="32"/>
        <v>-1.1290498713051838E-2</v>
      </c>
      <c r="F314" s="189" t="b">
        <f t="shared" ca="1" si="33"/>
        <v>1</v>
      </c>
      <c r="G314" s="188">
        <f ca="1">IF(F314,IFERROR(((('Data Schema'!$C$3*(1+B314)^1)*((1-$I$4-$I$5+E314)*(1-$I$10)+$I$6-$I$11)-('Data Schema'!$C$3*(1+B314)^1-'Data Schema'!$C$3)*$I$12)/(1+C314)^1+(('Data Schema'!$C$3*(1+B314)^2)*((1-$I$4-$I$5+E314)*(1-$I$10)+$I$6-$I$11)-('Data Schema'!$C$3*(1+B314)^2-'Data Schema'!$C$3*(1+B314)^1)*$I$12)/(1+C314)^2+(('Data Schema'!$C$3*(1+B314)^3)*((1-$I$4-$I$5+E314)*(1-$I$10)+$I$6-$I$11)-('Data Schema'!$C$3*(1+B314)^3-'Data Schema'!$C$3*(1+B314)^2)*$I$12)/(1+C314)^3+(('Data Schema'!$C$3*(1+B314)^4)*((1-$I$4-$I$5+E314)*(1-$I$10)+$I$6-$I$11)-('Data Schema'!$C$3*(1+B314)^4-'Data Schema'!$C$3*(1+B314)^3)*$I$12)/(1+C314)^4+(('Data Schema'!$C$3*(1+B314)^5)*((1-$I$4-$I$5+E314)*(1-$I$10)+$I$6-$I$11)-('Data Schema'!$C$3*(1+B314)^5-'Data Schema'!$C$3*(1+B314)^4)*$I$12)/(1+C314)^5+((('Data Schema'!$C$3*(1+B314)^5)*((1-$I$4-$I$5+E314)*(1-$I$10)+$I$6-$I$11)-('Data Schema'!$C$3*(1+B314)^5-'Data Schema'!$C$3*(1+B314)^4)*$I$12)*(1+D314)/(C314-D314))/(1+C314)^5-'Data Schema'!$C$31+'Data Schema'!$C$21)/'Data Schema'!$B$17,0),"INVALID")</f>
        <v>52.667454194263776</v>
      </c>
      <c r="H314" s="189" t="b">
        <f t="shared" ca="1" si="34"/>
        <v>1</v>
      </c>
      <c r="I314" s="188">
        <f t="shared" ca="1" si="35"/>
        <v>52.667454194263776</v>
      </c>
      <c r="J314" s="349">
        <f t="shared" ca="1" si="28"/>
        <v>52.667454194263776</v>
      </c>
    </row>
    <row r="315" spans="1:10">
      <c r="A315" s="187">
        <v>136</v>
      </c>
      <c r="B315" s="190">
        <f t="shared" ca="1" si="29"/>
        <v>9.0230582126827441E-2</v>
      </c>
      <c r="C315" s="190">
        <f t="shared" ca="1" si="30"/>
        <v>7.3975010181546078E-2</v>
      </c>
      <c r="D315" s="190">
        <f t="shared" ca="1" si="31"/>
        <v>2.3802439755677435E-2</v>
      </c>
      <c r="E315" s="190">
        <f t="shared" ca="1" si="32"/>
        <v>-1.3940863909510593E-2</v>
      </c>
      <c r="F315" s="189" t="b">
        <f t="shared" ca="1" si="33"/>
        <v>1</v>
      </c>
      <c r="G315" s="188">
        <f ca="1">IF(F315,IFERROR(((('Data Schema'!$C$3*(1+B315)^1)*((1-$I$4-$I$5+E315)*(1-$I$10)+$I$6-$I$11)-('Data Schema'!$C$3*(1+B315)^1-'Data Schema'!$C$3)*$I$12)/(1+C315)^1+(('Data Schema'!$C$3*(1+B315)^2)*((1-$I$4-$I$5+E315)*(1-$I$10)+$I$6-$I$11)-('Data Schema'!$C$3*(1+B315)^2-'Data Schema'!$C$3*(1+B315)^1)*$I$12)/(1+C315)^2+(('Data Schema'!$C$3*(1+B315)^3)*((1-$I$4-$I$5+E315)*(1-$I$10)+$I$6-$I$11)-('Data Schema'!$C$3*(1+B315)^3-'Data Schema'!$C$3*(1+B315)^2)*$I$12)/(1+C315)^3+(('Data Schema'!$C$3*(1+B315)^4)*((1-$I$4-$I$5+E315)*(1-$I$10)+$I$6-$I$11)-('Data Schema'!$C$3*(1+B315)^4-'Data Schema'!$C$3*(1+B315)^3)*$I$12)/(1+C315)^4+(('Data Schema'!$C$3*(1+B315)^5)*((1-$I$4-$I$5+E315)*(1-$I$10)+$I$6-$I$11)-('Data Schema'!$C$3*(1+B315)^5-'Data Schema'!$C$3*(1+B315)^4)*$I$12)/(1+C315)^5+((('Data Schema'!$C$3*(1+B315)^5)*((1-$I$4-$I$5+E315)*(1-$I$10)+$I$6-$I$11)-('Data Schema'!$C$3*(1+B315)^5-'Data Schema'!$C$3*(1+B315)^4)*$I$12)*(1+D315)/(C315-D315))/(1+C315)^5-'Data Schema'!$C$31+'Data Schema'!$C$21)/'Data Schema'!$B$17,0),"INVALID")</f>
        <v>29.620322159706959</v>
      </c>
      <c r="H315" s="189" t="b">
        <f t="shared" ca="1" si="34"/>
        <v>1</v>
      </c>
      <c r="I315" s="188">
        <f t="shared" ca="1" si="35"/>
        <v>29.620322159706959</v>
      </c>
      <c r="J315" s="349">
        <f t="shared" ca="1" si="28"/>
        <v>29.620322159706959</v>
      </c>
    </row>
    <row r="316" spans="1:10">
      <c r="A316" s="191">
        <v>137</v>
      </c>
      <c r="B316" s="190">
        <f t="shared" ca="1" si="29"/>
        <v>0.11815055801057801</v>
      </c>
      <c r="C316" s="190">
        <f t="shared" ca="1" si="30"/>
        <v>5.1530400690142322E-2</v>
      </c>
      <c r="D316" s="190">
        <f t="shared" ca="1" si="31"/>
        <v>2.0860313604135424E-2</v>
      </c>
      <c r="E316" s="190">
        <f t="shared" ca="1" si="32"/>
        <v>7.3303207443703037E-3</v>
      </c>
      <c r="F316" s="189" t="b">
        <f t="shared" ca="1" si="33"/>
        <v>1</v>
      </c>
      <c r="G316" s="188">
        <f ca="1">IF(F316,IFERROR(((('Data Schema'!$C$3*(1+B316)^1)*((1-$I$4-$I$5+E316)*(1-$I$10)+$I$6-$I$11)-('Data Schema'!$C$3*(1+B316)^1-'Data Schema'!$C$3)*$I$12)/(1+C316)^1+(('Data Schema'!$C$3*(1+B316)^2)*((1-$I$4-$I$5+E316)*(1-$I$10)+$I$6-$I$11)-('Data Schema'!$C$3*(1+B316)^2-'Data Schema'!$C$3*(1+B316)^1)*$I$12)/(1+C316)^2+(('Data Schema'!$C$3*(1+B316)^3)*((1-$I$4-$I$5+E316)*(1-$I$10)+$I$6-$I$11)-('Data Schema'!$C$3*(1+B316)^3-'Data Schema'!$C$3*(1+B316)^2)*$I$12)/(1+C316)^3+(('Data Schema'!$C$3*(1+B316)^4)*((1-$I$4-$I$5+E316)*(1-$I$10)+$I$6-$I$11)-('Data Schema'!$C$3*(1+B316)^4-'Data Schema'!$C$3*(1+B316)^3)*$I$12)/(1+C316)^4+(('Data Schema'!$C$3*(1+B316)^5)*((1-$I$4-$I$5+E316)*(1-$I$10)+$I$6-$I$11)-('Data Schema'!$C$3*(1+B316)^5-'Data Schema'!$C$3*(1+B316)^4)*$I$12)/(1+C316)^5+((('Data Schema'!$C$3*(1+B316)^5)*((1-$I$4-$I$5+E316)*(1-$I$10)+$I$6-$I$11)-('Data Schema'!$C$3*(1+B316)^5-'Data Schema'!$C$3*(1+B316)^4)*$I$12)*(1+D316)/(C316-D316))/(1+C316)^5-'Data Schema'!$C$31+'Data Schema'!$C$21)/'Data Schema'!$B$17,0),"INVALID")</f>
        <v>132.65008514443716</v>
      </c>
      <c r="H316" s="189" t="b">
        <f t="shared" ca="1" si="34"/>
        <v>1</v>
      </c>
      <c r="I316" s="188">
        <f t="shared" ca="1" si="35"/>
        <v>132.65008514443716</v>
      </c>
      <c r="J316" s="349">
        <f t="shared" ca="1" si="28"/>
        <v>132.65008514443716</v>
      </c>
    </row>
    <row r="317" spans="1:10">
      <c r="A317" s="187">
        <v>138</v>
      </c>
      <c r="B317" s="190">
        <f t="shared" ca="1" si="29"/>
        <v>0.1046074306120052</v>
      </c>
      <c r="C317" s="190">
        <f t="shared" ca="1" si="30"/>
        <v>6.0366813585794571E-2</v>
      </c>
      <c r="D317" s="190">
        <f t="shared" ca="1" si="31"/>
        <v>2.4039472094346759E-2</v>
      </c>
      <c r="E317" s="190">
        <f t="shared" ca="1" si="32"/>
        <v>1.1850022226603299E-2</v>
      </c>
      <c r="F317" s="189" t="b">
        <f t="shared" ca="1" si="33"/>
        <v>1</v>
      </c>
      <c r="G317" s="188">
        <f ca="1">IF(F317,IFERROR(((('Data Schema'!$C$3*(1+B317)^1)*((1-$I$4-$I$5+E317)*(1-$I$10)+$I$6-$I$11)-('Data Schema'!$C$3*(1+B317)^1-'Data Schema'!$C$3)*$I$12)/(1+C317)^1+(('Data Schema'!$C$3*(1+B317)^2)*((1-$I$4-$I$5+E317)*(1-$I$10)+$I$6-$I$11)-('Data Schema'!$C$3*(1+B317)^2-'Data Schema'!$C$3*(1+B317)^1)*$I$12)/(1+C317)^2+(('Data Schema'!$C$3*(1+B317)^3)*((1-$I$4-$I$5+E317)*(1-$I$10)+$I$6-$I$11)-('Data Schema'!$C$3*(1+B317)^3-'Data Schema'!$C$3*(1+B317)^2)*$I$12)/(1+C317)^3+(('Data Schema'!$C$3*(1+B317)^4)*((1-$I$4-$I$5+E317)*(1-$I$10)+$I$6-$I$11)-('Data Schema'!$C$3*(1+B317)^4-'Data Schema'!$C$3*(1+B317)^3)*$I$12)/(1+C317)^4+(('Data Schema'!$C$3*(1+B317)^5)*((1-$I$4-$I$5+E317)*(1-$I$10)+$I$6-$I$11)-('Data Schema'!$C$3*(1+B317)^5-'Data Schema'!$C$3*(1+B317)^4)*$I$12)/(1+C317)^5+((('Data Schema'!$C$3*(1+B317)^5)*((1-$I$4-$I$5+E317)*(1-$I$10)+$I$6-$I$11)-('Data Schema'!$C$3*(1+B317)^5-'Data Schema'!$C$3*(1+B317)^4)*$I$12)*(1+D317)/(C317-D317))/(1+C317)^5-'Data Schema'!$C$31+'Data Schema'!$C$21)/'Data Schema'!$B$17,0),"INVALID")</f>
        <v>115.48457057000338</v>
      </c>
      <c r="H317" s="189" t="b">
        <f t="shared" ca="1" si="34"/>
        <v>1</v>
      </c>
      <c r="I317" s="188">
        <f t="shared" ca="1" si="35"/>
        <v>115.48457057000338</v>
      </c>
      <c r="J317" s="349">
        <f t="shared" ca="1" si="28"/>
        <v>115.48457057000338</v>
      </c>
    </row>
    <row r="318" spans="1:10">
      <c r="A318" s="191">
        <v>139</v>
      </c>
      <c r="B318" s="190">
        <f t="shared" ca="1" si="29"/>
        <v>0.11950550480599292</v>
      </c>
      <c r="C318" s="190">
        <f t="shared" ca="1" si="30"/>
        <v>4.8416009372440755E-2</v>
      </c>
      <c r="D318" s="190">
        <f t="shared" ca="1" si="31"/>
        <v>2.6961416312627984E-2</v>
      </c>
      <c r="E318" s="190">
        <f t="shared" ca="1" si="32"/>
        <v>-5.2708067668039271E-3</v>
      </c>
      <c r="F318" s="189" t="b">
        <f t="shared" ca="1" si="33"/>
        <v>1</v>
      </c>
      <c r="G318" s="188">
        <f ca="1">IF(F318,IFERROR(((('Data Schema'!$C$3*(1+B318)^1)*((1-$I$4-$I$5+E318)*(1-$I$10)+$I$6-$I$11)-('Data Schema'!$C$3*(1+B318)^1-'Data Schema'!$C$3)*$I$12)/(1+C318)^1+(('Data Schema'!$C$3*(1+B318)^2)*((1-$I$4-$I$5+E318)*(1-$I$10)+$I$6-$I$11)-('Data Schema'!$C$3*(1+B318)^2-'Data Schema'!$C$3*(1+B318)^1)*$I$12)/(1+C318)^2+(('Data Schema'!$C$3*(1+B318)^3)*((1-$I$4-$I$5+E318)*(1-$I$10)+$I$6-$I$11)-('Data Schema'!$C$3*(1+B318)^3-'Data Schema'!$C$3*(1+B318)^2)*$I$12)/(1+C318)^3+(('Data Schema'!$C$3*(1+B318)^4)*((1-$I$4-$I$5+E318)*(1-$I$10)+$I$6-$I$11)-('Data Schema'!$C$3*(1+B318)^4-'Data Schema'!$C$3*(1+B318)^3)*$I$12)/(1+C318)^4+(('Data Schema'!$C$3*(1+B318)^5)*((1-$I$4-$I$5+E318)*(1-$I$10)+$I$6-$I$11)-('Data Schema'!$C$3*(1+B318)^5-'Data Schema'!$C$3*(1+B318)^4)*$I$12)/(1+C318)^5+((('Data Schema'!$C$3*(1+B318)^5)*((1-$I$4-$I$5+E318)*(1-$I$10)+$I$6-$I$11)-('Data Schema'!$C$3*(1+B318)^5-'Data Schema'!$C$3*(1+B318)^4)*$I$12)*(1+D318)/(C318-D318))/(1+C318)^5-'Data Schema'!$C$31+'Data Schema'!$C$21)/'Data Schema'!$B$17,0),"INVALID")</f>
        <v>129.48925717689693</v>
      </c>
      <c r="H318" s="189" t="b">
        <f t="shared" ca="1" si="34"/>
        <v>1</v>
      </c>
      <c r="I318" s="188">
        <f t="shared" ca="1" si="35"/>
        <v>129.48925717689693</v>
      </c>
      <c r="J318" s="349">
        <f t="shared" ca="1" si="28"/>
        <v>129.48925717689693</v>
      </c>
    </row>
    <row r="319" spans="1:10">
      <c r="A319" s="187">
        <v>140</v>
      </c>
      <c r="B319" s="190">
        <f t="shared" ca="1" si="29"/>
        <v>0.1127586047728594</v>
      </c>
      <c r="C319" s="190">
        <f t="shared" ca="1" si="30"/>
        <v>5.1860583900820309E-2</v>
      </c>
      <c r="D319" s="190">
        <f t="shared" ca="1" si="31"/>
        <v>2.2345778133406373E-2</v>
      </c>
      <c r="E319" s="190">
        <f t="shared" ca="1" si="32"/>
        <v>-1.7205431357250004E-2</v>
      </c>
      <c r="F319" s="189" t="b">
        <f t="shared" ca="1" si="33"/>
        <v>1</v>
      </c>
      <c r="G319" s="188">
        <f ca="1">IF(F319,IFERROR(((('Data Schema'!$C$3*(1+B319)^1)*((1-$I$4-$I$5+E319)*(1-$I$10)+$I$6-$I$11)-('Data Schema'!$C$3*(1+B319)^1-'Data Schema'!$C$3)*$I$12)/(1+C319)^1+(('Data Schema'!$C$3*(1+B319)^2)*((1-$I$4-$I$5+E319)*(1-$I$10)+$I$6-$I$11)-('Data Schema'!$C$3*(1+B319)^2-'Data Schema'!$C$3*(1+B319)^1)*$I$12)/(1+C319)^2+(('Data Schema'!$C$3*(1+B319)^3)*((1-$I$4-$I$5+E319)*(1-$I$10)+$I$6-$I$11)-('Data Schema'!$C$3*(1+B319)^3-'Data Schema'!$C$3*(1+B319)^2)*$I$12)/(1+C319)^3+(('Data Schema'!$C$3*(1+B319)^4)*((1-$I$4-$I$5+E319)*(1-$I$10)+$I$6-$I$11)-('Data Schema'!$C$3*(1+B319)^4-'Data Schema'!$C$3*(1+B319)^3)*$I$12)/(1+C319)^4+(('Data Schema'!$C$3*(1+B319)^5)*((1-$I$4-$I$5+E319)*(1-$I$10)+$I$6-$I$11)-('Data Schema'!$C$3*(1+B319)^5-'Data Schema'!$C$3*(1+B319)^4)*$I$12)/(1+C319)^5+((('Data Schema'!$C$3*(1+B319)^5)*((1-$I$4-$I$5+E319)*(1-$I$10)+$I$6-$I$11)-('Data Schema'!$C$3*(1+B319)^5-'Data Schema'!$C$3*(1+B319)^4)*$I$12)*(1+D319)/(C319-D319))/(1+C319)^5-'Data Schema'!$C$31+'Data Schema'!$C$21)/'Data Schema'!$B$17,0),"INVALID")</f>
        <v>49.741786387746927</v>
      </c>
      <c r="H319" s="189" t="b">
        <f t="shared" ca="1" si="34"/>
        <v>1</v>
      </c>
      <c r="I319" s="188">
        <f t="shared" ca="1" si="35"/>
        <v>49.741786387746927</v>
      </c>
      <c r="J319" s="349">
        <f t="shared" ca="1" si="28"/>
        <v>49.741786387746927</v>
      </c>
    </row>
    <row r="320" spans="1:10">
      <c r="A320" s="191">
        <v>141</v>
      </c>
      <c r="B320" s="190">
        <f t="shared" ca="1" si="29"/>
        <v>0.11538356383482956</v>
      </c>
      <c r="C320" s="190">
        <f t="shared" ca="1" si="30"/>
        <v>6.0960480184161038E-2</v>
      </c>
      <c r="D320" s="190">
        <f t="shared" ca="1" si="31"/>
        <v>2.5296180484168821E-2</v>
      </c>
      <c r="E320" s="190">
        <f t="shared" ca="1" si="32"/>
        <v>3.1160905548579722E-2</v>
      </c>
      <c r="F320" s="189" t="b">
        <f t="shared" ca="1" si="33"/>
        <v>1</v>
      </c>
      <c r="G320" s="188">
        <f ca="1">IF(F320,IFERROR(((('Data Schema'!$C$3*(1+B320)^1)*((1-$I$4-$I$5+E320)*(1-$I$10)+$I$6-$I$11)-('Data Schema'!$C$3*(1+B320)^1-'Data Schema'!$C$3)*$I$12)/(1+C320)^1+(('Data Schema'!$C$3*(1+B320)^2)*((1-$I$4-$I$5+E320)*(1-$I$10)+$I$6-$I$11)-('Data Schema'!$C$3*(1+B320)^2-'Data Schema'!$C$3*(1+B320)^1)*$I$12)/(1+C320)^2+(('Data Schema'!$C$3*(1+B320)^3)*((1-$I$4-$I$5+E320)*(1-$I$10)+$I$6-$I$11)-('Data Schema'!$C$3*(1+B320)^3-'Data Schema'!$C$3*(1+B320)^2)*$I$12)/(1+C320)^3+(('Data Schema'!$C$3*(1+B320)^4)*((1-$I$4-$I$5+E320)*(1-$I$10)+$I$6-$I$11)-('Data Schema'!$C$3*(1+B320)^4-'Data Schema'!$C$3*(1+B320)^3)*$I$12)/(1+C320)^4+(('Data Schema'!$C$3*(1+B320)^5)*((1-$I$4-$I$5+E320)*(1-$I$10)+$I$6-$I$11)-('Data Schema'!$C$3*(1+B320)^5-'Data Schema'!$C$3*(1+B320)^4)*$I$12)/(1+C320)^5+((('Data Schema'!$C$3*(1+B320)^5)*((1-$I$4-$I$5+E320)*(1-$I$10)+$I$6-$I$11)-('Data Schema'!$C$3*(1+B320)^5-'Data Schema'!$C$3*(1+B320)^4)*$I$12)*(1+D320)/(C320-D320))/(1+C320)^5-'Data Schema'!$C$31+'Data Schema'!$C$21)/'Data Schema'!$B$17,0),"INVALID")</f>
        <v>177.46183681976646</v>
      </c>
      <c r="H320" s="189" t="b">
        <f t="shared" ca="1" si="34"/>
        <v>1</v>
      </c>
      <c r="I320" s="188">
        <f t="shared" ca="1" si="35"/>
        <v>177.46183681976646</v>
      </c>
      <c r="J320" s="349">
        <f t="shared" ca="1" si="28"/>
        <v>177.46183681976646</v>
      </c>
    </row>
    <row r="321" spans="1:10">
      <c r="A321" s="187">
        <v>142</v>
      </c>
      <c r="B321" s="190">
        <f t="shared" ca="1" si="29"/>
        <v>0.12349984904661254</v>
      </c>
      <c r="C321" s="190">
        <f t="shared" ca="1" si="30"/>
        <v>6.618577907763698E-2</v>
      </c>
      <c r="D321" s="190">
        <f t="shared" ca="1" si="31"/>
        <v>2.5539388855937678E-2</v>
      </c>
      <c r="E321" s="190">
        <f t="shared" ca="1" si="32"/>
        <v>2.2591418680729988E-2</v>
      </c>
      <c r="F321" s="189" t="b">
        <f t="shared" ca="1" si="33"/>
        <v>1</v>
      </c>
      <c r="G321" s="188">
        <f ca="1">IF(F321,IFERROR(((('Data Schema'!$C$3*(1+B321)^1)*((1-$I$4-$I$5+E321)*(1-$I$10)+$I$6-$I$11)-('Data Schema'!$C$3*(1+B321)^1-'Data Schema'!$C$3)*$I$12)/(1+C321)^1+(('Data Schema'!$C$3*(1+B321)^2)*((1-$I$4-$I$5+E321)*(1-$I$10)+$I$6-$I$11)-('Data Schema'!$C$3*(1+B321)^2-'Data Schema'!$C$3*(1+B321)^1)*$I$12)/(1+C321)^2+(('Data Schema'!$C$3*(1+B321)^3)*((1-$I$4-$I$5+E321)*(1-$I$10)+$I$6-$I$11)-('Data Schema'!$C$3*(1+B321)^3-'Data Schema'!$C$3*(1+B321)^2)*$I$12)/(1+C321)^3+(('Data Schema'!$C$3*(1+B321)^4)*((1-$I$4-$I$5+E321)*(1-$I$10)+$I$6-$I$11)-('Data Schema'!$C$3*(1+B321)^4-'Data Schema'!$C$3*(1+B321)^3)*$I$12)/(1+C321)^4+(('Data Schema'!$C$3*(1+B321)^5)*((1-$I$4-$I$5+E321)*(1-$I$10)+$I$6-$I$11)-('Data Schema'!$C$3*(1+B321)^5-'Data Schema'!$C$3*(1+B321)^4)*$I$12)/(1+C321)^5+((('Data Schema'!$C$3*(1+B321)^5)*((1-$I$4-$I$5+E321)*(1-$I$10)+$I$6-$I$11)-('Data Schema'!$C$3*(1+B321)^5-'Data Schema'!$C$3*(1+B321)^4)*$I$12)*(1+D321)/(C321-D321))/(1+C321)^5-'Data Schema'!$C$31+'Data Schema'!$C$21)/'Data Schema'!$B$17,0),"INVALID")</f>
        <v>137.2624647530086</v>
      </c>
      <c r="H321" s="189" t="b">
        <f t="shared" ca="1" si="34"/>
        <v>1</v>
      </c>
      <c r="I321" s="188">
        <f t="shared" ca="1" si="35"/>
        <v>137.2624647530086</v>
      </c>
      <c r="J321" s="349">
        <f t="shared" ca="1" si="28"/>
        <v>137.2624647530086</v>
      </c>
    </row>
    <row r="322" spans="1:10">
      <c r="A322" s="191">
        <v>143</v>
      </c>
      <c r="B322" s="190">
        <f t="shared" ca="1" si="29"/>
        <v>0.10403918286100435</v>
      </c>
      <c r="C322" s="190">
        <f t="shared" ca="1" si="30"/>
        <v>6.7131448524162293E-2</v>
      </c>
      <c r="D322" s="190">
        <f t="shared" ca="1" si="31"/>
        <v>2.5966743335998271E-2</v>
      </c>
      <c r="E322" s="190">
        <f t="shared" ca="1" si="32"/>
        <v>7.5201301357616223E-3</v>
      </c>
      <c r="F322" s="189" t="b">
        <f t="shared" ca="1" si="33"/>
        <v>1</v>
      </c>
      <c r="G322" s="188">
        <f ca="1">IF(F322,IFERROR(((('Data Schema'!$C$3*(1+B322)^1)*((1-$I$4-$I$5+E322)*(1-$I$10)+$I$6-$I$11)-('Data Schema'!$C$3*(1+B322)^1-'Data Schema'!$C$3)*$I$12)/(1+C322)^1+(('Data Schema'!$C$3*(1+B322)^2)*((1-$I$4-$I$5+E322)*(1-$I$10)+$I$6-$I$11)-('Data Schema'!$C$3*(1+B322)^2-'Data Schema'!$C$3*(1+B322)^1)*$I$12)/(1+C322)^2+(('Data Schema'!$C$3*(1+B322)^3)*((1-$I$4-$I$5+E322)*(1-$I$10)+$I$6-$I$11)-('Data Schema'!$C$3*(1+B322)^3-'Data Schema'!$C$3*(1+B322)^2)*$I$12)/(1+C322)^3+(('Data Schema'!$C$3*(1+B322)^4)*((1-$I$4-$I$5+E322)*(1-$I$10)+$I$6-$I$11)-('Data Schema'!$C$3*(1+B322)^4-'Data Schema'!$C$3*(1+B322)^3)*$I$12)/(1+C322)^4+(('Data Schema'!$C$3*(1+B322)^5)*((1-$I$4-$I$5+E322)*(1-$I$10)+$I$6-$I$11)-('Data Schema'!$C$3*(1+B322)^5-'Data Schema'!$C$3*(1+B322)^4)*$I$12)/(1+C322)^5+((('Data Schema'!$C$3*(1+B322)^5)*((1-$I$4-$I$5+E322)*(1-$I$10)+$I$6-$I$11)-('Data Schema'!$C$3*(1+B322)^5-'Data Schema'!$C$3*(1+B322)^4)*$I$12)*(1+D322)/(C322-D322))/(1+C322)^5-'Data Schema'!$C$31+'Data Schema'!$C$21)/'Data Schema'!$B$17,0),"INVALID")</f>
        <v>89.683055117850941</v>
      </c>
      <c r="H322" s="189" t="b">
        <f t="shared" ca="1" si="34"/>
        <v>1</v>
      </c>
      <c r="I322" s="188">
        <f t="shared" ca="1" si="35"/>
        <v>89.683055117850941</v>
      </c>
      <c r="J322" s="349">
        <f t="shared" ca="1" si="28"/>
        <v>89.683055117850941</v>
      </c>
    </row>
    <row r="323" spans="1:10">
      <c r="A323" s="187">
        <v>144</v>
      </c>
      <c r="B323" s="190">
        <f t="shared" ca="1" si="29"/>
        <v>0.10380382083476516</v>
      </c>
      <c r="C323" s="190">
        <f t="shared" ca="1" si="30"/>
        <v>4.8511747275514695E-2</v>
      </c>
      <c r="D323" s="190">
        <f t="shared" ca="1" si="31"/>
        <v>2.6127528179049432E-2</v>
      </c>
      <c r="E323" s="190">
        <f t="shared" ca="1" si="32"/>
        <v>2.8273717461918639E-2</v>
      </c>
      <c r="F323" s="189" t="b">
        <f t="shared" ca="1" si="33"/>
        <v>1</v>
      </c>
      <c r="G323" s="188">
        <f ca="1">IF(F323,IFERROR(((('Data Schema'!$C$3*(1+B323)^1)*((1-$I$4-$I$5+E323)*(1-$I$10)+$I$6-$I$11)-('Data Schema'!$C$3*(1+B323)^1-'Data Schema'!$C$3)*$I$12)/(1+C323)^1+(('Data Schema'!$C$3*(1+B323)^2)*((1-$I$4-$I$5+E323)*(1-$I$10)+$I$6-$I$11)-('Data Schema'!$C$3*(1+B323)^2-'Data Schema'!$C$3*(1+B323)^1)*$I$12)/(1+C323)^2+(('Data Schema'!$C$3*(1+B323)^3)*((1-$I$4-$I$5+E323)*(1-$I$10)+$I$6-$I$11)-('Data Schema'!$C$3*(1+B323)^3-'Data Schema'!$C$3*(1+B323)^2)*$I$12)/(1+C323)^3+(('Data Schema'!$C$3*(1+B323)^4)*((1-$I$4-$I$5+E323)*(1-$I$10)+$I$6-$I$11)-('Data Schema'!$C$3*(1+B323)^4-'Data Schema'!$C$3*(1+B323)^3)*$I$12)/(1+C323)^4+(('Data Schema'!$C$3*(1+B323)^5)*((1-$I$4-$I$5+E323)*(1-$I$10)+$I$6-$I$11)-('Data Schema'!$C$3*(1+B323)^5-'Data Schema'!$C$3*(1+B323)^4)*$I$12)/(1+C323)^5+((('Data Schema'!$C$3*(1+B323)^5)*((1-$I$4-$I$5+E323)*(1-$I$10)+$I$6-$I$11)-('Data Schema'!$C$3*(1+B323)^5-'Data Schema'!$C$3*(1+B323)^4)*$I$12)*(1+D323)/(C323-D323))/(1+C323)^5-'Data Schema'!$C$31+'Data Schema'!$C$21)/'Data Schema'!$B$17,0),"INVALID")</f>
        <v>262.60853534495641</v>
      </c>
      <c r="H323" s="189" t="b">
        <f t="shared" ca="1" si="34"/>
        <v>1</v>
      </c>
      <c r="I323" s="188">
        <f t="shared" ca="1" si="35"/>
        <v>262.60853534495641</v>
      </c>
      <c r="J323" s="349" t="str">
        <f t="shared" ca="1" si="28"/>
        <v/>
      </c>
    </row>
    <row r="324" spans="1:10">
      <c r="A324" s="191">
        <v>145</v>
      </c>
      <c r="B324" s="190">
        <f t="shared" ca="1" si="29"/>
        <v>0.10722571039684113</v>
      </c>
      <c r="C324" s="190">
        <f t="shared" ca="1" si="30"/>
        <v>7.9756341258796867E-2</v>
      </c>
      <c r="D324" s="190">
        <f t="shared" ca="1" si="31"/>
        <v>2.0474158471318511E-2</v>
      </c>
      <c r="E324" s="190">
        <f t="shared" ca="1" si="32"/>
        <v>-4.0453833107040434E-2</v>
      </c>
      <c r="F324" s="189" t="b">
        <f t="shared" ca="1" si="33"/>
        <v>1</v>
      </c>
      <c r="G324" s="188">
        <f ca="1">IF(F324,IFERROR(((('Data Schema'!$C$3*(1+B324)^1)*((1-$I$4-$I$5+E324)*(1-$I$10)+$I$6-$I$11)-('Data Schema'!$C$3*(1+B324)^1-'Data Schema'!$C$3)*$I$12)/(1+C324)^1+(('Data Schema'!$C$3*(1+B324)^2)*((1-$I$4-$I$5+E324)*(1-$I$10)+$I$6-$I$11)-('Data Schema'!$C$3*(1+B324)^2-'Data Schema'!$C$3*(1+B324)^1)*$I$12)/(1+C324)^2+(('Data Schema'!$C$3*(1+B324)^3)*((1-$I$4-$I$5+E324)*(1-$I$10)+$I$6-$I$11)-('Data Schema'!$C$3*(1+B324)^3-'Data Schema'!$C$3*(1+B324)^2)*$I$12)/(1+C324)^3+(('Data Schema'!$C$3*(1+B324)^4)*((1-$I$4-$I$5+E324)*(1-$I$10)+$I$6-$I$11)-('Data Schema'!$C$3*(1+B324)^4-'Data Schema'!$C$3*(1+B324)^3)*$I$12)/(1+C324)^4+(('Data Schema'!$C$3*(1+B324)^5)*((1-$I$4-$I$5+E324)*(1-$I$10)+$I$6-$I$11)-('Data Schema'!$C$3*(1+B324)^5-'Data Schema'!$C$3*(1+B324)^4)*$I$12)/(1+C324)^5+((('Data Schema'!$C$3*(1+B324)^5)*((1-$I$4-$I$5+E324)*(1-$I$10)+$I$6-$I$11)-('Data Schema'!$C$3*(1+B324)^5-'Data Schema'!$C$3*(1+B324)^4)*$I$12)*(1+D324)/(C324-D324))/(1+C324)^5-'Data Schema'!$C$31+'Data Schema'!$C$21)/'Data Schema'!$B$17,0),"INVALID")</f>
        <v>-18.160682055387383</v>
      </c>
      <c r="H324" s="189" t="b">
        <f t="shared" ca="1" si="34"/>
        <v>0</v>
      </c>
      <c r="I324" s="188" t="str">
        <f t="shared" ca="1" si="35"/>
        <v/>
      </c>
      <c r="J324" s="349" t="str">
        <f t="shared" ca="1" si="28"/>
        <v/>
      </c>
    </row>
    <row r="325" spans="1:10">
      <c r="A325" s="187">
        <v>146</v>
      </c>
      <c r="B325" s="190">
        <f t="shared" ca="1" si="29"/>
        <v>9.6804983485625037E-2</v>
      </c>
      <c r="C325" s="190">
        <f t="shared" ca="1" si="30"/>
        <v>5.4061299724494138E-2</v>
      </c>
      <c r="D325" s="190">
        <f t="shared" ca="1" si="31"/>
        <v>1.6887560072724652E-2</v>
      </c>
      <c r="E325" s="190">
        <f t="shared" ca="1" si="32"/>
        <v>-4.3955782232034625E-3</v>
      </c>
      <c r="F325" s="189" t="b">
        <f t="shared" ca="1" si="33"/>
        <v>1</v>
      </c>
      <c r="G325" s="188">
        <f ca="1">IF(F325,IFERROR(((('Data Schema'!$C$3*(1+B325)^1)*((1-$I$4-$I$5+E325)*(1-$I$10)+$I$6-$I$11)-('Data Schema'!$C$3*(1+B325)^1-'Data Schema'!$C$3)*$I$12)/(1+C325)^1+(('Data Schema'!$C$3*(1+B325)^2)*((1-$I$4-$I$5+E325)*(1-$I$10)+$I$6-$I$11)-('Data Schema'!$C$3*(1+B325)^2-'Data Schema'!$C$3*(1+B325)^1)*$I$12)/(1+C325)^2+(('Data Schema'!$C$3*(1+B325)^3)*((1-$I$4-$I$5+E325)*(1-$I$10)+$I$6-$I$11)-('Data Schema'!$C$3*(1+B325)^3-'Data Schema'!$C$3*(1+B325)^2)*$I$12)/(1+C325)^3+(('Data Schema'!$C$3*(1+B325)^4)*((1-$I$4-$I$5+E325)*(1-$I$10)+$I$6-$I$11)-('Data Schema'!$C$3*(1+B325)^4-'Data Schema'!$C$3*(1+B325)^3)*$I$12)/(1+C325)^4+(('Data Schema'!$C$3*(1+B325)^5)*((1-$I$4-$I$5+E325)*(1-$I$10)+$I$6-$I$11)-('Data Schema'!$C$3*(1+B325)^5-'Data Schema'!$C$3*(1+B325)^4)*$I$12)/(1+C325)^5+((('Data Schema'!$C$3*(1+B325)^5)*((1-$I$4-$I$5+E325)*(1-$I$10)+$I$6-$I$11)-('Data Schema'!$C$3*(1+B325)^5-'Data Schema'!$C$3*(1+B325)^4)*$I$12)*(1+D325)/(C325-D325))/(1+C325)^5-'Data Schema'!$C$31+'Data Schema'!$C$21)/'Data Schema'!$B$17,0),"INVALID")</f>
        <v>69.926203135557131</v>
      </c>
      <c r="H325" s="189" t="b">
        <f t="shared" ca="1" si="34"/>
        <v>1</v>
      </c>
      <c r="I325" s="188">
        <f t="shared" ca="1" si="35"/>
        <v>69.926203135557131</v>
      </c>
      <c r="J325" s="349">
        <f t="shared" ca="1" si="28"/>
        <v>69.926203135557131</v>
      </c>
    </row>
    <row r="326" spans="1:10">
      <c r="A326" s="191">
        <v>147</v>
      </c>
      <c r="B326" s="190">
        <f t="shared" ca="1" si="29"/>
        <v>0.11831931154580329</v>
      </c>
      <c r="C326" s="190">
        <f t="shared" ca="1" si="30"/>
        <v>6.3842761732082379E-2</v>
      </c>
      <c r="D326" s="190">
        <f t="shared" ca="1" si="31"/>
        <v>2.4286374534730416E-2</v>
      </c>
      <c r="E326" s="190">
        <f t="shared" ca="1" si="32"/>
        <v>3.8397347275526406E-3</v>
      </c>
      <c r="F326" s="189" t="b">
        <f t="shared" ca="1" si="33"/>
        <v>1</v>
      </c>
      <c r="G326" s="188">
        <f ca="1">IF(F326,IFERROR(((('Data Schema'!$C$3*(1+B326)^1)*((1-$I$4-$I$5+E326)*(1-$I$10)+$I$6-$I$11)-('Data Schema'!$C$3*(1+B326)^1-'Data Schema'!$C$3)*$I$12)/(1+C326)^1+(('Data Schema'!$C$3*(1+B326)^2)*((1-$I$4-$I$5+E326)*(1-$I$10)+$I$6-$I$11)-('Data Schema'!$C$3*(1+B326)^2-'Data Schema'!$C$3*(1+B326)^1)*$I$12)/(1+C326)^2+(('Data Schema'!$C$3*(1+B326)^3)*((1-$I$4-$I$5+E326)*(1-$I$10)+$I$6-$I$11)-('Data Schema'!$C$3*(1+B326)^3-'Data Schema'!$C$3*(1+B326)^2)*$I$12)/(1+C326)^3+(('Data Schema'!$C$3*(1+B326)^4)*((1-$I$4-$I$5+E326)*(1-$I$10)+$I$6-$I$11)-('Data Schema'!$C$3*(1+B326)^4-'Data Schema'!$C$3*(1+B326)^3)*$I$12)/(1+C326)^4+(('Data Schema'!$C$3*(1+B326)^5)*((1-$I$4-$I$5+E326)*(1-$I$10)+$I$6-$I$11)-('Data Schema'!$C$3*(1+B326)^5-'Data Schema'!$C$3*(1+B326)^4)*$I$12)/(1+C326)^5+((('Data Schema'!$C$3*(1+B326)^5)*((1-$I$4-$I$5+E326)*(1-$I$10)+$I$6-$I$11)-('Data Schema'!$C$3*(1+B326)^5-'Data Schema'!$C$3*(1+B326)^4)*$I$12)*(1+D326)/(C326-D326))/(1+C326)^5-'Data Schema'!$C$31+'Data Schema'!$C$21)/'Data Schema'!$B$17,0),"INVALID")</f>
        <v>90.254077809483974</v>
      </c>
      <c r="H326" s="189" t="b">
        <f t="shared" ca="1" si="34"/>
        <v>1</v>
      </c>
      <c r="I326" s="188">
        <f t="shared" ca="1" si="35"/>
        <v>90.254077809483974</v>
      </c>
      <c r="J326" s="349">
        <f t="shared" ca="1" si="28"/>
        <v>90.254077809483974</v>
      </c>
    </row>
    <row r="327" spans="1:10">
      <c r="A327" s="187">
        <v>148</v>
      </c>
      <c r="B327" s="190">
        <f t="shared" ca="1" si="29"/>
        <v>0.11932400411463909</v>
      </c>
      <c r="C327" s="190">
        <f t="shared" ca="1" si="30"/>
        <v>5.9176314492673333E-2</v>
      </c>
      <c r="D327" s="190">
        <f t="shared" ca="1" si="31"/>
        <v>2.4194103373090716E-2</v>
      </c>
      <c r="E327" s="190">
        <f t="shared" ca="1" si="32"/>
        <v>-8.5447737610158253E-3</v>
      </c>
      <c r="F327" s="189" t="b">
        <f t="shared" ca="1" si="33"/>
        <v>1</v>
      </c>
      <c r="G327" s="188">
        <f ca="1">IF(F327,IFERROR(((('Data Schema'!$C$3*(1+B327)^1)*((1-$I$4-$I$5+E327)*(1-$I$10)+$I$6-$I$11)-('Data Schema'!$C$3*(1+B327)^1-'Data Schema'!$C$3)*$I$12)/(1+C327)^1+(('Data Schema'!$C$3*(1+B327)^2)*((1-$I$4-$I$5+E327)*(1-$I$10)+$I$6-$I$11)-('Data Schema'!$C$3*(1+B327)^2-'Data Schema'!$C$3*(1+B327)^1)*$I$12)/(1+C327)^2+(('Data Schema'!$C$3*(1+B327)^3)*((1-$I$4-$I$5+E327)*(1-$I$10)+$I$6-$I$11)-('Data Schema'!$C$3*(1+B327)^3-'Data Schema'!$C$3*(1+B327)^2)*$I$12)/(1+C327)^3+(('Data Schema'!$C$3*(1+B327)^4)*((1-$I$4-$I$5+E327)*(1-$I$10)+$I$6-$I$11)-('Data Schema'!$C$3*(1+B327)^4-'Data Schema'!$C$3*(1+B327)^3)*$I$12)/(1+C327)^4+(('Data Schema'!$C$3*(1+B327)^5)*((1-$I$4-$I$5+E327)*(1-$I$10)+$I$6-$I$11)-('Data Schema'!$C$3*(1+B327)^5-'Data Schema'!$C$3*(1+B327)^4)*$I$12)/(1+C327)^5+((('Data Schema'!$C$3*(1+B327)^5)*((1-$I$4-$I$5+E327)*(1-$I$10)+$I$6-$I$11)-('Data Schema'!$C$3*(1+B327)^5-'Data Schema'!$C$3*(1+B327)^4)*$I$12)*(1+D327)/(C327-D327))/(1+C327)^5-'Data Schema'!$C$31+'Data Schema'!$C$21)/'Data Schema'!$B$17,0),"INVALID")</f>
        <v>67.004049827323271</v>
      </c>
      <c r="H327" s="189" t="b">
        <f t="shared" ca="1" si="34"/>
        <v>1</v>
      </c>
      <c r="I327" s="188">
        <f t="shared" ca="1" si="35"/>
        <v>67.004049827323271</v>
      </c>
      <c r="J327" s="349">
        <f t="shared" ca="1" si="28"/>
        <v>67.004049827323271</v>
      </c>
    </row>
    <row r="328" spans="1:10">
      <c r="A328" s="191">
        <v>149</v>
      </c>
      <c r="B328" s="190">
        <f t="shared" ca="1" si="29"/>
        <v>9.267817470698024E-2</v>
      </c>
      <c r="C328" s="190">
        <f t="shared" ca="1" si="30"/>
        <v>4.5104529180910263E-2</v>
      </c>
      <c r="D328" s="190">
        <f t="shared" ca="1" si="31"/>
        <v>0.04</v>
      </c>
      <c r="E328" s="190">
        <f t="shared" ca="1" si="32"/>
        <v>1.8163681700077958E-2</v>
      </c>
      <c r="F328" s="189" t="b">
        <f t="shared" ca="1" si="33"/>
        <v>0</v>
      </c>
      <c r="G328" s="188" t="str">
        <f ca="1">IF(F328,IFERROR(((('Data Schema'!$C$3*(1+B328)^1)*((1-$I$4-$I$5+E328)*(1-$I$10)+$I$6-$I$11)-('Data Schema'!$C$3*(1+B328)^1-'Data Schema'!$C$3)*$I$12)/(1+C328)^1+(('Data Schema'!$C$3*(1+B328)^2)*((1-$I$4-$I$5+E328)*(1-$I$10)+$I$6-$I$11)-('Data Schema'!$C$3*(1+B328)^2-'Data Schema'!$C$3*(1+B328)^1)*$I$12)/(1+C328)^2+(('Data Schema'!$C$3*(1+B328)^3)*((1-$I$4-$I$5+E328)*(1-$I$10)+$I$6-$I$11)-('Data Schema'!$C$3*(1+B328)^3-'Data Schema'!$C$3*(1+B328)^2)*$I$12)/(1+C328)^3+(('Data Schema'!$C$3*(1+B328)^4)*((1-$I$4-$I$5+E328)*(1-$I$10)+$I$6-$I$11)-('Data Schema'!$C$3*(1+B328)^4-'Data Schema'!$C$3*(1+B328)^3)*$I$12)/(1+C328)^4+(('Data Schema'!$C$3*(1+B328)^5)*((1-$I$4-$I$5+E328)*(1-$I$10)+$I$6-$I$11)-('Data Schema'!$C$3*(1+B328)^5-'Data Schema'!$C$3*(1+B328)^4)*$I$12)/(1+C328)^5+((('Data Schema'!$C$3*(1+B328)^5)*((1-$I$4-$I$5+E328)*(1-$I$10)+$I$6-$I$11)-('Data Schema'!$C$3*(1+B328)^5-'Data Schema'!$C$3*(1+B328)^4)*$I$12)*(1+D328)/(C328-D328))/(1+C328)^5-'Data Schema'!$C$31+'Data Schema'!$C$21)/'Data Schema'!$B$17,0),"INVALID")</f>
        <v>INVALID</v>
      </c>
      <c r="H328" s="189" t="b">
        <f t="shared" ca="1" si="34"/>
        <v>0</v>
      </c>
      <c r="I328" s="188" t="str">
        <f t="shared" ca="1" si="35"/>
        <v/>
      </c>
      <c r="J328" s="349" t="str">
        <f t="shared" ca="1" si="28"/>
        <v/>
      </c>
    </row>
    <row r="329" spans="1:10">
      <c r="A329" s="187">
        <v>150</v>
      </c>
      <c r="B329" s="190">
        <f t="shared" ca="1" si="29"/>
        <v>0.10186461398458026</v>
      </c>
      <c r="C329" s="190">
        <f t="shared" ca="1" si="30"/>
        <v>5.0863007965698155E-2</v>
      </c>
      <c r="D329" s="190">
        <f t="shared" ca="1" si="31"/>
        <v>2.562707684722039E-2</v>
      </c>
      <c r="E329" s="190">
        <f t="shared" ca="1" si="32"/>
        <v>4.1530286499589168E-2</v>
      </c>
      <c r="F329" s="189" t="b">
        <f t="shared" ca="1" si="33"/>
        <v>1</v>
      </c>
      <c r="G329" s="188">
        <f ca="1">IF(F329,IFERROR(((('Data Schema'!$C$3*(1+B329)^1)*((1-$I$4-$I$5+E329)*(1-$I$10)+$I$6-$I$11)-('Data Schema'!$C$3*(1+B329)^1-'Data Schema'!$C$3)*$I$12)/(1+C329)^1+(('Data Schema'!$C$3*(1+B329)^2)*((1-$I$4-$I$5+E329)*(1-$I$10)+$I$6-$I$11)-('Data Schema'!$C$3*(1+B329)^2-'Data Schema'!$C$3*(1+B329)^1)*$I$12)/(1+C329)^2+(('Data Schema'!$C$3*(1+B329)^3)*((1-$I$4-$I$5+E329)*(1-$I$10)+$I$6-$I$11)-('Data Schema'!$C$3*(1+B329)^3-'Data Schema'!$C$3*(1+B329)^2)*$I$12)/(1+C329)^3+(('Data Schema'!$C$3*(1+B329)^4)*((1-$I$4-$I$5+E329)*(1-$I$10)+$I$6-$I$11)-('Data Schema'!$C$3*(1+B329)^4-'Data Schema'!$C$3*(1+B329)^3)*$I$12)/(1+C329)^4+(('Data Schema'!$C$3*(1+B329)^5)*((1-$I$4-$I$5+E329)*(1-$I$10)+$I$6-$I$11)-('Data Schema'!$C$3*(1+B329)^5-'Data Schema'!$C$3*(1+B329)^4)*$I$12)/(1+C329)^5+((('Data Schema'!$C$3*(1+B329)^5)*((1-$I$4-$I$5+E329)*(1-$I$10)+$I$6-$I$11)-('Data Schema'!$C$3*(1+B329)^5-'Data Schema'!$C$3*(1+B329)^4)*$I$12)*(1+D329)/(C329-D329))/(1+C329)^5-'Data Schema'!$C$31+'Data Schema'!$C$21)/'Data Schema'!$B$17,0),"INVALID")</f>
        <v>280.96144617463733</v>
      </c>
      <c r="H329" s="189" t="b">
        <f t="shared" ca="1" si="34"/>
        <v>1</v>
      </c>
      <c r="I329" s="188">
        <f t="shared" ca="1" si="35"/>
        <v>280.96144617463733</v>
      </c>
      <c r="J329" s="349" t="str">
        <f t="shared" ca="1" si="28"/>
        <v/>
      </c>
    </row>
    <row r="330" spans="1:10">
      <c r="A330" s="191">
        <v>151</v>
      </c>
      <c r="B330" s="190">
        <f t="shared" ca="1" si="29"/>
        <v>0.10366746732446845</v>
      </c>
      <c r="C330" s="190">
        <f t="shared" ca="1" si="30"/>
        <v>6.5640077931512414E-2</v>
      </c>
      <c r="D330" s="190">
        <f t="shared" ca="1" si="31"/>
        <v>3.2960780626308771E-2</v>
      </c>
      <c r="E330" s="190">
        <f t="shared" ca="1" si="32"/>
        <v>-1.6830803800621158E-2</v>
      </c>
      <c r="F330" s="189" t="b">
        <f t="shared" ca="1" si="33"/>
        <v>1</v>
      </c>
      <c r="G330" s="188">
        <f ca="1">IF(F330,IFERROR(((('Data Schema'!$C$3*(1+B330)^1)*((1-$I$4-$I$5+E330)*(1-$I$10)+$I$6-$I$11)-('Data Schema'!$C$3*(1+B330)^1-'Data Schema'!$C$3)*$I$12)/(1+C330)^1+(('Data Schema'!$C$3*(1+B330)^2)*((1-$I$4-$I$5+E330)*(1-$I$10)+$I$6-$I$11)-('Data Schema'!$C$3*(1+B330)^2-'Data Schema'!$C$3*(1+B330)^1)*$I$12)/(1+C330)^2+(('Data Schema'!$C$3*(1+B330)^3)*((1-$I$4-$I$5+E330)*(1-$I$10)+$I$6-$I$11)-('Data Schema'!$C$3*(1+B330)^3-'Data Schema'!$C$3*(1+B330)^2)*$I$12)/(1+C330)^3+(('Data Schema'!$C$3*(1+B330)^4)*((1-$I$4-$I$5+E330)*(1-$I$10)+$I$6-$I$11)-('Data Schema'!$C$3*(1+B330)^4-'Data Schema'!$C$3*(1+B330)^3)*$I$12)/(1+C330)^4+(('Data Schema'!$C$3*(1+B330)^5)*((1-$I$4-$I$5+E330)*(1-$I$10)+$I$6-$I$11)-('Data Schema'!$C$3*(1+B330)^5-'Data Schema'!$C$3*(1+B330)^4)*$I$12)/(1+C330)^5+((('Data Schema'!$C$3*(1+B330)^5)*((1-$I$4-$I$5+E330)*(1-$I$10)+$I$6-$I$11)-('Data Schema'!$C$3*(1+B330)^5-'Data Schema'!$C$3*(1+B330)^4)*$I$12)*(1+D330)/(C330-D330))/(1+C330)^5-'Data Schema'!$C$31+'Data Schema'!$C$21)/'Data Schema'!$B$17,0),"INVALID")</f>
        <v>41.964502038887019</v>
      </c>
      <c r="H330" s="189" t="b">
        <f t="shared" ca="1" si="34"/>
        <v>1</v>
      </c>
      <c r="I330" s="188">
        <f t="shared" ca="1" si="35"/>
        <v>41.964502038887019</v>
      </c>
      <c r="J330" s="349">
        <f t="shared" ca="1" si="28"/>
        <v>41.964502038887019</v>
      </c>
    </row>
    <row r="331" spans="1:10">
      <c r="A331" s="187">
        <v>152</v>
      </c>
      <c r="B331" s="190">
        <f t="shared" ca="1" si="29"/>
        <v>6.5018248904373396E-2</v>
      </c>
      <c r="C331" s="190">
        <f t="shared" ca="1" si="30"/>
        <v>5.1667850304723623E-2</v>
      </c>
      <c r="D331" s="190">
        <f t="shared" ca="1" si="31"/>
        <v>2.5594722571301087E-2</v>
      </c>
      <c r="E331" s="190">
        <f t="shared" ca="1" si="32"/>
        <v>2.5760784936016318E-2</v>
      </c>
      <c r="F331" s="189" t="b">
        <f t="shared" ca="1" si="33"/>
        <v>1</v>
      </c>
      <c r="G331" s="188">
        <f ca="1">IF(F331,IFERROR(((('Data Schema'!$C$3*(1+B331)^1)*((1-$I$4-$I$5+E331)*(1-$I$10)+$I$6-$I$11)-('Data Schema'!$C$3*(1+B331)^1-'Data Schema'!$C$3)*$I$12)/(1+C331)^1+(('Data Schema'!$C$3*(1+B331)^2)*((1-$I$4-$I$5+E331)*(1-$I$10)+$I$6-$I$11)-('Data Schema'!$C$3*(1+B331)^2-'Data Schema'!$C$3*(1+B331)^1)*$I$12)/(1+C331)^2+(('Data Schema'!$C$3*(1+B331)^3)*((1-$I$4-$I$5+E331)*(1-$I$10)+$I$6-$I$11)-('Data Schema'!$C$3*(1+B331)^3-'Data Schema'!$C$3*(1+B331)^2)*$I$12)/(1+C331)^3+(('Data Schema'!$C$3*(1+B331)^4)*((1-$I$4-$I$5+E331)*(1-$I$10)+$I$6-$I$11)-('Data Schema'!$C$3*(1+B331)^4-'Data Schema'!$C$3*(1+B331)^3)*$I$12)/(1+C331)^4+(('Data Schema'!$C$3*(1+B331)^5)*((1-$I$4-$I$5+E331)*(1-$I$10)+$I$6-$I$11)-('Data Schema'!$C$3*(1+B331)^5-'Data Schema'!$C$3*(1+B331)^4)*$I$12)/(1+C331)^5+((('Data Schema'!$C$3*(1+B331)^5)*((1-$I$4-$I$5+E331)*(1-$I$10)+$I$6-$I$11)-('Data Schema'!$C$3*(1+B331)^5-'Data Schema'!$C$3*(1+B331)^4)*$I$12)*(1+D331)/(C331-D331))/(1+C331)^5-'Data Schema'!$C$31+'Data Schema'!$C$21)/'Data Schema'!$B$17,0),"INVALID")</f>
        <v>182.82194257197443</v>
      </c>
      <c r="H331" s="189" t="b">
        <f t="shared" ca="1" si="34"/>
        <v>1</v>
      </c>
      <c r="I331" s="188">
        <f t="shared" ca="1" si="35"/>
        <v>182.82194257197443</v>
      </c>
      <c r="J331" s="349">
        <f t="shared" ca="1" si="28"/>
        <v>182.82194257197443</v>
      </c>
    </row>
    <row r="332" spans="1:10">
      <c r="A332" s="191">
        <v>153</v>
      </c>
      <c r="B332" s="190">
        <f t="shared" ca="1" si="29"/>
        <v>0.10025828517944331</v>
      </c>
      <c r="C332" s="190">
        <f t="shared" ca="1" si="30"/>
        <v>5.4187823878338828E-2</v>
      </c>
      <c r="D332" s="190">
        <f t="shared" ca="1" si="31"/>
        <v>2.0891965861620027E-2</v>
      </c>
      <c r="E332" s="190">
        <f t="shared" ca="1" si="32"/>
        <v>-6.0148839546426856E-3</v>
      </c>
      <c r="F332" s="189" t="b">
        <f t="shared" ca="1" si="33"/>
        <v>1</v>
      </c>
      <c r="G332" s="188">
        <f ca="1">IF(F332,IFERROR(((('Data Schema'!$C$3*(1+B332)^1)*((1-$I$4-$I$5+E332)*(1-$I$10)+$I$6-$I$11)-('Data Schema'!$C$3*(1+B332)^1-'Data Schema'!$C$3)*$I$12)/(1+C332)^1+(('Data Schema'!$C$3*(1+B332)^2)*((1-$I$4-$I$5+E332)*(1-$I$10)+$I$6-$I$11)-('Data Schema'!$C$3*(1+B332)^2-'Data Schema'!$C$3*(1+B332)^1)*$I$12)/(1+C332)^2+(('Data Schema'!$C$3*(1+B332)^3)*((1-$I$4-$I$5+E332)*(1-$I$10)+$I$6-$I$11)-('Data Schema'!$C$3*(1+B332)^3-'Data Schema'!$C$3*(1+B332)^2)*$I$12)/(1+C332)^3+(('Data Schema'!$C$3*(1+B332)^4)*((1-$I$4-$I$5+E332)*(1-$I$10)+$I$6-$I$11)-('Data Schema'!$C$3*(1+B332)^4-'Data Schema'!$C$3*(1+B332)^3)*$I$12)/(1+C332)^4+(('Data Schema'!$C$3*(1+B332)^5)*((1-$I$4-$I$5+E332)*(1-$I$10)+$I$6-$I$11)-('Data Schema'!$C$3*(1+B332)^5-'Data Schema'!$C$3*(1+B332)^4)*$I$12)/(1+C332)^5+((('Data Schema'!$C$3*(1+B332)^5)*((1-$I$4-$I$5+E332)*(1-$I$10)+$I$6-$I$11)-('Data Schema'!$C$3*(1+B332)^5-'Data Schema'!$C$3*(1+B332)^4)*$I$12)*(1+D332)/(C332-D332))/(1+C332)^5-'Data Schema'!$C$31+'Data Schema'!$C$21)/'Data Schema'!$B$17,0),"INVALID")</f>
        <v>74.173015079741162</v>
      </c>
      <c r="H332" s="189" t="b">
        <f t="shared" ca="1" si="34"/>
        <v>1</v>
      </c>
      <c r="I332" s="188">
        <f t="shared" ca="1" si="35"/>
        <v>74.173015079741162</v>
      </c>
      <c r="J332" s="349">
        <f t="shared" ca="1" si="28"/>
        <v>74.173015079741162</v>
      </c>
    </row>
    <row r="333" spans="1:10">
      <c r="A333" s="187">
        <v>154</v>
      </c>
      <c r="B333" s="190">
        <f t="shared" ca="1" si="29"/>
        <v>0.11957177766575897</v>
      </c>
      <c r="C333" s="190">
        <f t="shared" ca="1" si="30"/>
        <v>6.389756000955453E-2</v>
      </c>
      <c r="D333" s="190">
        <f t="shared" ca="1" si="31"/>
        <v>1.7563688316176791E-2</v>
      </c>
      <c r="E333" s="190">
        <f t="shared" ca="1" si="32"/>
        <v>1.0337546265040487E-2</v>
      </c>
      <c r="F333" s="189" t="b">
        <f t="shared" ca="1" si="33"/>
        <v>1</v>
      </c>
      <c r="G333" s="188">
        <f ca="1">IF(F333,IFERROR(((('Data Schema'!$C$3*(1+B333)^1)*((1-$I$4-$I$5+E333)*(1-$I$10)+$I$6-$I$11)-('Data Schema'!$C$3*(1+B333)^1-'Data Schema'!$C$3)*$I$12)/(1+C333)^1+(('Data Schema'!$C$3*(1+B333)^2)*((1-$I$4-$I$5+E333)*(1-$I$10)+$I$6-$I$11)-('Data Schema'!$C$3*(1+B333)^2-'Data Schema'!$C$3*(1+B333)^1)*$I$12)/(1+C333)^2+(('Data Schema'!$C$3*(1+B333)^3)*((1-$I$4-$I$5+E333)*(1-$I$10)+$I$6-$I$11)-('Data Schema'!$C$3*(1+B333)^3-'Data Schema'!$C$3*(1+B333)^2)*$I$12)/(1+C333)^3+(('Data Schema'!$C$3*(1+B333)^4)*((1-$I$4-$I$5+E333)*(1-$I$10)+$I$6-$I$11)-('Data Schema'!$C$3*(1+B333)^4-'Data Schema'!$C$3*(1+B333)^3)*$I$12)/(1+C333)^4+(('Data Schema'!$C$3*(1+B333)^5)*((1-$I$4-$I$5+E333)*(1-$I$10)+$I$6-$I$11)-('Data Schema'!$C$3*(1+B333)^5-'Data Schema'!$C$3*(1+B333)^4)*$I$12)/(1+C333)^5+((('Data Schema'!$C$3*(1+B333)^5)*((1-$I$4-$I$5+E333)*(1-$I$10)+$I$6-$I$11)-('Data Schema'!$C$3*(1+B333)^5-'Data Schema'!$C$3*(1+B333)^4)*$I$12)*(1+D333)/(C333-D333))/(1+C333)^5-'Data Schema'!$C$31+'Data Schema'!$C$21)/'Data Schema'!$B$17,0),"INVALID")</f>
        <v>92.854619470284987</v>
      </c>
      <c r="H333" s="189" t="b">
        <f t="shared" ca="1" si="34"/>
        <v>1</v>
      </c>
      <c r="I333" s="188">
        <f t="shared" ca="1" si="35"/>
        <v>92.854619470284987</v>
      </c>
      <c r="J333" s="349">
        <f t="shared" ca="1" si="28"/>
        <v>92.854619470284987</v>
      </c>
    </row>
    <row r="334" spans="1:10">
      <c r="A334" s="191">
        <v>155</v>
      </c>
      <c r="B334" s="190">
        <f t="shared" ca="1" si="29"/>
        <v>7.0665209578273158E-2</v>
      </c>
      <c r="C334" s="190">
        <f t="shared" ca="1" si="30"/>
        <v>6.8807904117003826E-2</v>
      </c>
      <c r="D334" s="190">
        <f t="shared" ca="1" si="31"/>
        <v>9.7279958340299264E-3</v>
      </c>
      <c r="E334" s="190">
        <f t="shared" ca="1" si="32"/>
        <v>-1.1989801599674714E-2</v>
      </c>
      <c r="F334" s="189" t="b">
        <f t="shared" ca="1" si="33"/>
        <v>1</v>
      </c>
      <c r="G334" s="188">
        <f ca="1">IF(F334,IFERROR(((('Data Schema'!$C$3*(1+B334)^1)*((1-$I$4-$I$5+E334)*(1-$I$10)+$I$6-$I$11)-('Data Schema'!$C$3*(1+B334)^1-'Data Schema'!$C$3)*$I$12)/(1+C334)^1+(('Data Schema'!$C$3*(1+B334)^2)*((1-$I$4-$I$5+E334)*(1-$I$10)+$I$6-$I$11)-('Data Schema'!$C$3*(1+B334)^2-'Data Schema'!$C$3*(1+B334)^1)*$I$12)/(1+C334)^2+(('Data Schema'!$C$3*(1+B334)^3)*((1-$I$4-$I$5+E334)*(1-$I$10)+$I$6-$I$11)-('Data Schema'!$C$3*(1+B334)^3-'Data Schema'!$C$3*(1+B334)^2)*$I$12)/(1+C334)^3+(('Data Schema'!$C$3*(1+B334)^4)*((1-$I$4-$I$5+E334)*(1-$I$10)+$I$6-$I$11)-('Data Schema'!$C$3*(1+B334)^4-'Data Schema'!$C$3*(1+B334)^3)*$I$12)/(1+C334)^4+(('Data Schema'!$C$3*(1+B334)^5)*((1-$I$4-$I$5+E334)*(1-$I$10)+$I$6-$I$11)-('Data Schema'!$C$3*(1+B334)^5-'Data Schema'!$C$3*(1+B334)^4)*$I$12)/(1+C334)^5+((('Data Schema'!$C$3*(1+B334)^5)*((1-$I$4-$I$5+E334)*(1-$I$10)+$I$6-$I$11)-('Data Schema'!$C$3*(1+B334)^5-'Data Schema'!$C$3*(1+B334)^4)*$I$12)*(1+D334)/(C334-D334))/(1+C334)^5-'Data Schema'!$C$31+'Data Schema'!$C$21)/'Data Schema'!$B$17,0),"INVALID")</f>
        <v>26.500839127277679</v>
      </c>
      <c r="H334" s="189" t="b">
        <f t="shared" ca="1" si="34"/>
        <v>1</v>
      </c>
      <c r="I334" s="188">
        <f t="shared" ca="1" si="35"/>
        <v>26.500839127277679</v>
      </c>
      <c r="J334" s="349">
        <f t="shared" ca="1" si="28"/>
        <v>26.500839127277679</v>
      </c>
    </row>
    <row r="335" spans="1:10">
      <c r="A335" s="187">
        <v>156</v>
      </c>
      <c r="B335" s="190">
        <f t="shared" ca="1" si="29"/>
        <v>0.1057171097276184</v>
      </c>
      <c r="C335" s="190">
        <f t="shared" ca="1" si="30"/>
        <v>7.0699889988390802E-2</v>
      </c>
      <c r="D335" s="190">
        <f t="shared" ca="1" si="31"/>
        <v>2.7063648393693032E-2</v>
      </c>
      <c r="E335" s="190">
        <f t="shared" ca="1" si="32"/>
        <v>-6.4559387494642299E-3</v>
      </c>
      <c r="F335" s="189" t="b">
        <f t="shared" ca="1" si="33"/>
        <v>1</v>
      </c>
      <c r="G335" s="188">
        <f ca="1">IF(F335,IFERROR(((('Data Schema'!$C$3*(1+B335)^1)*((1-$I$4-$I$5+E335)*(1-$I$10)+$I$6-$I$11)-('Data Schema'!$C$3*(1+B335)^1-'Data Schema'!$C$3)*$I$12)/(1+C335)^1+(('Data Schema'!$C$3*(1+B335)^2)*((1-$I$4-$I$5+E335)*(1-$I$10)+$I$6-$I$11)-('Data Schema'!$C$3*(1+B335)^2-'Data Schema'!$C$3*(1+B335)^1)*$I$12)/(1+C335)^2+(('Data Schema'!$C$3*(1+B335)^3)*((1-$I$4-$I$5+E335)*(1-$I$10)+$I$6-$I$11)-('Data Schema'!$C$3*(1+B335)^3-'Data Schema'!$C$3*(1+B335)^2)*$I$12)/(1+C335)^3+(('Data Schema'!$C$3*(1+B335)^4)*((1-$I$4-$I$5+E335)*(1-$I$10)+$I$6-$I$11)-('Data Schema'!$C$3*(1+B335)^4-'Data Schema'!$C$3*(1+B335)^3)*$I$12)/(1+C335)^4+(('Data Schema'!$C$3*(1+B335)^5)*((1-$I$4-$I$5+E335)*(1-$I$10)+$I$6-$I$11)-('Data Schema'!$C$3*(1+B335)^5-'Data Schema'!$C$3*(1+B335)^4)*$I$12)/(1+C335)^5+((('Data Schema'!$C$3*(1+B335)^5)*((1-$I$4-$I$5+E335)*(1-$I$10)+$I$6-$I$11)-('Data Schema'!$C$3*(1+B335)^5-'Data Schema'!$C$3*(1+B335)^4)*$I$12)*(1+D335)/(C335-D335))/(1+C335)^5-'Data Schema'!$C$31+'Data Schema'!$C$21)/'Data Schema'!$B$17,0),"INVALID")</f>
        <v>53.391313564037524</v>
      </c>
      <c r="H335" s="189" t="b">
        <f t="shared" ca="1" si="34"/>
        <v>1</v>
      </c>
      <c r="I335" s="188">
        <f t="shared" ca="1" si="35"/>
        <v>53.391313564037524</v>
      </c>
      <c r="J335" s="349">
        <f t="shared" ca="1" si="28"/>
        <v>53.391313564037524</v>
      </c>
    </row>
    <row r="336" spans="1:10">
      <c r="A336" s="191">
        <v>157</v>
      </c>
      <c r="B336" s="190">
        <f t="shared" ca="1" si="29"/>
        <v>7.4655852821998825E-2</v>
      </c>
      <c r="C336" s="190">
        <f t="shared" ca="1" si="30"/>
        <v>4.8838788818553192E-2</v>
      </c>
      <c r="D336" s="190">
        <f t="shared" ca="1" si="31"/>
        <v>1.7390376469312435E-2</v>
      </c>
      <c r="E336" s="190">
        <f t="shared" ca="1" si="32"/>
        <v>7.1124240071550153E-3</v>
      </c>
      <c r="F336" s="189" t="b">
        <f t="shared" ca="1" si="33"/>
        <v>1</v>
      </c>
      <c r="G336" s="188">
        <f ca="1">IF(F336,IFERROR(((('Data Schema'!$C$3*(1+B336)^1)*((1-$I$4-$I$5+E336)*(1-$I$10)+$I$6-$I$11)-('Data Schema'!$C$3*(1+B336)^1-'Data Schema'!$C$3)*$I$12)/(1+C336)^1+(('Data Schema'!$C$3*(1+B336)^2)*((1-$I$4-$I$5+E336)*(1-$I$10)+$I$6-$I$11)-('Data Schema'!$C$3*(1+B336)^2-'Data Schema'!$C$3*(1+B336)^1)*$I$12)/(1+C336)^2+(('Data Schema'!$C$3*(1+B336)^3)*((1-$I$4-$I$5+E336)*(1-$I$10)+$I$6-$I$11)-('Data Schema'!$C$3*(1+B336)^3-'Data Schema'!$C$3*(1+B336)^2)*$I$12)/(1+C336)^3+(('Data Schema'!$C$3*(1+B336)^4)*((1-$I$4-$I$5+E336)*(1-$I$10)+$I$6-$I$11)-('Data Schema'!$C$3*(1+B336)^4-'Data Schema'!$C$3*(1+B336)^3)*$I$12)/(1+C336)^4+(('Data Schema'!$C$3*(1+B336)^5)*((1-$I$4-$I$5+E336)*(1-$I$10)+$I$6-$I$11)-('Data Schema'!$C$3*(1+B336)^5-'Data Schema'!$C$3*(1+B336)^4)*$I$12)/(1+C336)^5+((('Data Schema'!$C$3*(1+B336)^5)*((1-$I$4-$I$5+E336)*(1-$I$10)+$I$6-$I$11)-('Data Schema'!$C$3*(1+B336)^5-'Data Schema'!$C$3*(1+B336)^4)*$I$12)*(1+D336)/(C336-D336))/(1+C336)^5-'Data Schema'!$C$31+'Data Schema'!$C$21)/'Data Schema'!$B$17,0),"INVALID")</f>
        <v>109.21480175443699</v>
      </c>
      <c r="H336" s="189" t="b">
        <f t="shared" ca="1" si="34"/>
        <v>1</v>
      </c>
      <c r="I336" s="188">
        <f t="shared" ca="1" si="35"/>
        <v>109.21480175443699</v>
      </c>
      <c r="J336" s="349">
        <f t="shared" ca="1" si="28"/>
        <v>109.21480175443699</v>
      </c>
    </row>
    <row r="337" spans="1:10">
      <c r="A337" s="187">
        <v>158</v>
      </c>
      <c r="B337" s="190">
        <f t="shared" ca="1" si="29"/>
        <v>0.10131558816404464</v>
      </c>
      <c r="C337" s="190">
        <f t="shared" ca="1" si="30"/>
        <v>5.7670084129760157E-2</v>
      </c>
      <c r="D337" s="190">
        <f t="shared" ca="1" si="31"/>
        <v>2.7015475162393943E-2</v>
      </c>
      <c r="E337" s="190">
        <f t="shared" ca="1" si="32"/>
        <v>-2.0942454082195212E-2</v>
      </c>
      <c r="F337" s="189" t="b">
        <f t="shared" ca="1" si="33"/>
        <v>1</v>
      </c>
      <c r="G337" s="188">
        <f ca="1">IF(F337,IFERROR(((('Data Schema'!$C$3*(1+B337)^1)*((1-$I$4-$I$5+E337)*(1-$I$10)+$I$6-$I$11)-('Data Schema'!$C$3*(1+B337)^1-'Data Schema'!$C$3)*$I$12)/(1+C337)^1+(('Data Schema'!$C$3*(1+B337)^2)*((1-$I$4-$I$5+E337)*(1-$I$10)+$I$6-$I$11)-('Data Schema'!$C$3*(1+B337)^2-'Data Schema'!$C$3*(1+B337)^1)*$I$12)/(1+C337)^2+(('Data Schema'!$C$3*(1+B337)^3)*((1-$I$4-$I$5+E337)*(1-$I$10)+$I$6-$I$11)-('Data Schema'!$C$3*(1+B337)^3-'Data Schema'!$C$3*(1+B337)^2)*$I$12)/(1+C337)^3+(('Data Schema'!$C$3*(1+B337)^4)*((1-$I$4-$I$5+E337)*(1-$I$10)+$I$6-$I$11)-('Data Schema'!$C$3*(1+B337)^4-'Data Schema'!$C$3*(1+B337)^3)*$I$12)/(1+C337)^4+(('Data Schema'!$C$3*(1+B337)^5)*((1-$I$4-$I$5+E337)*(1-$I$10)+$I$6-$I$11)-('Data Schema'!$C$3*(1+B337)^5-'Data Schema'!$C$3*(1+B337)^4)*$I$12)/(1+C337)^5+((('Data Schema'!$C$3*(1+B337)^5)*((1-$I$4-$I$5+E337)*(1-$I$10)+$I$6-$I$11)-('Data Schema'!$C$3*(1+B337)^5-'Data Schema'!$C$3*(1+B337)^4)*$I$12)*(1+D337)/(C337-D337))/(1+C337)^5-'Data Schema'!$C$31+'Data Schema'!$C$21)/'Data Schema'!$B$17,0),"INVALID")</f>
        <v>33.227052719781916</v>
      </c>
      <c r="H337" s="189" t="b">
        <f t="shared" ca="1" si="34"/>
        <v>1</v>
      </c>
      <c r="I337" s="188">
        <f t="shared" ca="1" si="35"/>
        <v>33.227052719781916</v>
      </c>
      <c r="J337" s="349">
        <f t="shared" ca="1" si="28"/>
        <v>33.227052719781916</v>
      </c>
    </row>
    <row r="338" spans="1:10">
      <c r="A338" s="191">
        <v>159</v>
      </c>
      <c r="B338" s="190">
        <f t="shared" ca="1" si="29"/>
        <v>0.12518750461914874</v>
      </c>
      <c r="C338" s="190">
        <f t="shared" ca="1" si="30"/>
        <v>4.5139763097622979E-2</v>
      </c>
      <c r="D338" s="190">
        <f t="shared" ca="1" si="31"/>
        <v>2.8224820368051705E-2</v>
      </c>
      <c r="E338" s="190">
        <f t="shared" ca="1" si="32"/>
        <v>1.8241071229533227E-2</v>
      </c>
      <c r="F338" s="189" t="b">
        <f t="shared" ca="1" si="33"/>
        <v>1</v>
      </c>
      <c r="G338" s="188">
        <f ca="1">IF(F338,IFERROR(((('Data Schema'!$C$3*(1+B338)^1)*((1-$I$4-$I$5+E338)*(1-$I$10)+$I$6-$I$11)-('Data Schema'!$C$3*(1+B338)^1-'Data Schema'!$C$3)*$I$12)/(1+C338)^1+(('Data Schema'!$C$3*(1+B338)^2)*((1-$I$4-$I$5+E338)*(1-$I$10)+$I$6-$I$11)-('Data Schema'!$C$3*(1+B338)^2-'Data Schema'!$C$3*(1+B338)^1)*$I$12)/(1+C338)^2+(('Data Schema'!$C$3*(1+B338)^3)*((1-$I$4-$I$5+E338)*(1-$I$10)+$I$6-$I$11)-('Data Schema'!$C$3*(1+B338)^3-'Data Schema'!$C$3*(1+B338)^2)*$I$12)/(1+C338)^3+(('Data Schema'!$C$3*(1+B338)^4)*((1-$I$4-$I$5+E338)*(1-$I$10)+$I$6-$I$11)-('Data Schema'!$C$3*(1+B338)^4-'Data Schema'!$C$3*(1+B338)^3)*$I$12)/(1+C338)^4+(('Data Schema'!$C$3*(1+B338)^5)*((1-$I$4-$I$5+E338)*(1-$I$10)+$I$6-$I$11)-('Data Schema'!$C$3*(1+B338)^5-'Data Schema'!$C$3*(1+B338)^4)*$I$12)/(1+C338)^5+((('Data Schema'!$C$3*(1+B338)^5)*((1-$I$4-$I$5+E338)*(1-$I$10)+$I$6-$I$11)-('Data Schema'!$C$3*(1+B338)^5-'Data Schema'!$C$3*(1+B338)^4)*$I$12)*(1+D338)/(C338-D338))/(1+C338)^5-'Data Schema'!$C$31+'Data Schema'!$C$21)/'Data Schema'!$B$17,0),"INVALID")</f>
        <v>317.07632956814939</v>
      </c>
      <c r="H338" s="189" t="b">
        <f t="shared" ca="1" si="34"/>
        <v>1</v>
      </c>
      <c r="I338" s="188">
        <f t="shared" ca="1" si="35"/>
        <v>317.07632956814939</v>
      </c>
      <c r="J338" s="349" t="str">
        <f t="shared" ca="1" si="28"/>
        <v/>
      </c>
    </row>
    <row r="339" spans="1:10">
      <c r="A339" s="187">
        <v>160</v>
      </c>
      <c r="B339" s="190">
        <f t="shared" ca="1" si="29"/>
        <v>0.10885366139350582</v>
      </c>
      <c r="C339" s="190">
        <f t="shared" ca="1" si="30"/>
        <v>6.2736916931520711E-2</v>
      </c>
      <c r="D339" s="190">
        <f t="shared" ca="1" si="31"/>
        <v>2.0910355142118395E-2</v>
      </c>
      <c r="E339" s="190">
        <f t="shared" ca="1" si="32"/>
        <v>2.5709439947386427E-2</v>
      </c>
      <c r="F339" s="189" t="b">
        <f t="shared" ca="1" si="33"/>
        <v>1</v>
      </c>
      <c r="G339" s="188">
        <f ca="1">IF(F339,IFERROR(((('Data Schema'!$C$3*(1+B339)^1)*((1-$I$4-$I$5+E339)*(1-$I$10)+$I$6-$I$11)-('Data Schema'!$C$3*(1+B339)^1-'Data Schema'!$C$3)*$I$12)/(1+C339)^1+(('Data Schema'!$C$3*(1+B339)^2)*((1-$I$4-$I$5+E339)*(1-$I$10)+$I$6-$I$11)-('Data Schema'!$C$3*(1+B339)^2-'Data Schema'!$C$3*(1+B339)^1)*$I$12)/(1+C339)^2+(('Data Schema'!$C$3*(1+B339)^3)*((1-$I$4-$I$5+E339)*(1-$I$10)+$I$6-$I$11)-('Data Schema'!$C$3*(1+B339)^3-'Data Schema'!$C$3*(1+B339)^2)*$I$12)/(1+C339)^3+(('Data Schema'!$C$3*(1+B339)^4)*((1-$I$4-$I$5+E339)*(1-$I$10)+$I$6-$I$11)-('Data Schema'!$C$3*(1+B339)^4-'Data Schema'!$C$3*(1+B339)^3)*$I$12)/(1+C339)^4+(('Data Schema'!$C$3*(1+B339)^5)*((1-$I$4-$I$5+E339)*(1-$I$10)+$I$6-$I$11)-('Data Schema'!$C$3*(1+B339)^5-'Data Schema'!$C$3*(1+B339)^4)*$I$12)/(1+C339)^5+((('Data Schema'!$C$3*(1+B339)^5)*((1-$I$4-$I$5+E339)*(1-$I$10)+$I$6-$I$11)-('Data Schema'!$C$3*(1+B339)^5-'Data Schema'!$C$3*(1+B339)^4)*$I$12)*(1+D339)/(C339-D339))/(1+C339)^5-'Data Schema'!$C$31+'Data Schema'!$C$21)/'Data Schema'!$B$17,0),"INVALID")</f>
        <v>135.11284605397859</v>
      </c>
      <c r="H339" s="189" t="b">
        <f t="shared" ca="1" si="34"/>
        <v>1</v>
      </c>
      <c r="I339" s="188">
        <f t="shared" ca="1" si="35"/>
        <v>135.11284605397859</v>
      </c>
      <c r="J339" s="349">
        <f t="shared" ca="1" si="28"/>
        <v>135.11284605397859</v>
      </c>
    </row>
    <row r="340" spans="1:10">
      <c r="A340" s="191">
        <v>161</v>
      </c>
      <c r="B340" s="190">
        <f t="shared" ca="1" si="29"/>
        <v>0.11928795591162629</v>
      </c>
      <c r="C340" s="190">
        <f t="shared" ca="1" si="30"/>
        <v>5.8787223174833154E-2</v>
      </c>
      <c r="D340" s="190">
        <f t="shared" ca="1" si="31"/>
        <v>1.4914849743321667E-2</v>
      </c>
      <c r="E340" s="190">
        <f t="shared" ca="1" si="32"/>
        <v>1.3889446756813454E-2</v>
      </c>
      <c r="F340" s="189" t="b">
        <f t="shared" ca="1" si="33"/>
        <v>1</v>
      </c>
      <c r="G340" s="188">
        <f ca="1">IF(F340,IFERROR(((('Data Schema'!$C$3*(1+B340)^1)*((1-$I$4-$I$5+E340)*(1-$I$10)+$I$6-$I$11)-('Data Schema'!$C$3*(1+B340)^1-'Data Schema'!$C$3)*$I$12)/(1+C340)^1+(('Data Schema'!$C$3*(1+B340)^2)*((1-$I$4-$I$5+E340)*(1-$I$10)+$I$6-$I$11)-('Data Schema'!$C$3*(1+B340)^2-'Data Schema'!$C$3*(1+B340)^1)*$I$12)/(1+C340)^2+(('Data Schema'!$C$3*(1+B340)^3)*((1-$I$4-$I$5+E340)*(1-$I$10)+$I$6-$I$11)-('Data Schema'!$C$3*(1+B340)^3-'Data Schema'!$C$3*(1+B340)^2)*$I$12)/(1+C340)^3+(('Data Schema'!$C$3*(1+B340)^4)*((1-$I$4-$I$5+E340)*(1-$I$10)+$I$6-$I$11)-('Data Schema'!$C$3*(1+B340)^4-'Data Schema'!$C$3*(1+B340)^3)*$I$12)/(1+C340)^4+(('Data Schema'!$C$3*(1+B340)^5)*((1-$I$4-$I$5+E340)*(1-$I$10)+$I$6-$I$11)-('Data Schema'!$C$3*(1+B340)^5-'Data Schema'!$C$3*(1+B340)^4)*$I$12)/(1+C340)^5+((('Data Schema'!$C$3*(1+B340)^5)*((1-$I$4-$I$5+E340)*(1-$I$10)+$I$6-$I$11)-('Data Schema'!$C$3*(1+B340)^5-'Data Schema'!$C$3*(1+B340)^4)*$I$12)*(1+D340)/(C340-D340))/(1+C340)^5-'Data Schema'!$C$31+'Data Schema'!$C$21)/'Data Schema'!$B$17,0),"INVALID")</f>
        <v>108.18029051353042</v>
      </c>
      <c r="H340" s="189" t="b">
        <f t="shared" ca="1" si="34"/>
        <v>1</v>
      </c>
      <c r="I340" s="188">
        <f t="shared" ca="1" si="35"/>
        <v>108.18029051353042</v>
      </c>
      <c r="J340" s="349">
        <f t="shared" ca="1" si="28"/>
        <v>108.18029051353042</v>
      </c>
    </row>
    <row r="341" spans="1:10">
      <c r="A341" s="187">
        <v>162</v>
      </c>
      <c r="B341" s="190">
        <f t="shared" ca="1" si="29"/>
        <v>0.11779700351634385</v>
      </c>
      <c r="C341" s="190">
        <f t="shared" ca="1" si="30"/>
        <v>5.8769091609595286E-2</v>
      </c>
      <c r="D341" s="190">
        <f t="shared" ca="1" si="31"/>
        <v>2.6440048415281036E-2</v>
      </c>
      <c r="E341" s="190">
        <f t="shared" ca="1" si="32"/>
        <v>4.2744945517219232E-2</v>
      </c>
      <c r="F341" s="189" t="b">
        <f t="shared" ca="1" si="33"/>
        <v>1</v>
      </c>
      <c r="G341" s="188">
        <f ca="1">IF(F341,IFERROR(((('Data Schema'!$C$3*(1+B341)^1)*((1-$I$4-$I$5+E341)*(1-$I$10)+$I$6-$I$11)-('Data Schema'!$C$3*(1+B341)^1-'Data Schema'!$C$3)*$I$12)/(1+C341)^1+(('Data Schema'!$C$3*(1+B341)^2)*((1-$I$4-$I$5+E341)*(1-$I$10)+$I$6-$I$11)-('Data Schema'!$C$3*(1+B341)^2-'Data Schema'!$C$3*(1+B341)^1)*$I$12)/(1+C341)^2+(('Data Schema'!$C$3*(1+B341)^3)*((1-$I$4-$I$5+E341)*(1-$I$10)+$I$6-$I$11)-('Data Schema'!$C$3*(1+B341)^3-'Data Schema'!$C$3*(1+B341)^2)*$I$12)/(1+C341)^3+(('Data Schema'!$C$3*(1+B341)^4)*((1-$I$4-$I$5+E341)*(1-$I$10)+$I$6-$I$11)-('Data Schema'!$C$3*(1+B341)^4-'Data Schema'!$C$3*(1+B341)^3)*$I$12)/(1+C341)^4+(('Data Schema'!$C$3*(1+B341)^5)*((1-$I$4-$I$5+E341)*(1-$I$10)+$I$6-$I$11)-('Data Schema'!$C$3*(1+B341)^5-'Data Schema'!$C$3*(1+B341)^4)*$I$12)/(1+C341)^5+((('Data Schema'!$C$3*(1+B341)^5)*((1-$I$4-$I$5+E341)*(1-$I$10)+$I$6-$I$11)-('Data Schema'!$C$3*(1+B341)^5-'Data Schema'!$C$3*(1+B341)^4)*$I$12)*(1+D341)/(C341-D341))/(1+C341)^5-'Data Schema'!$C$31+'Data Schema'!$C$21)/'Data Schema'!$B$17,0),"INVALID")</f>
        <v>234.74919671992831</v>
      </c>
      <c r="H341" s="189" t="b">
        <f t="shared" ca="1" si="34"/>
        <v>1</v>
      </c>
      <c r="I341" s="188">
        <f t="shared" ca="1" si="35"/>
        <v>234.74919671992831</v>
      </c>
      <c r="J341" s="349" t="str">
        <f t="shared" ca="1" si="28"/>
        <v/>
      </c>
    </row>
    <row r="342" spans="1:10">
      <c r="A342" s="191">
        <v>163</v>
      </c>
      <c r="B342" s="190">
        <f t="shared" ca="1" si="29"/>
        <v>9.5579549028633026E-2</v>
      </c>
      <c r="C342" s="190">
        <f t="shared" ca="1" si="30"/>
        <v>6.0572098992708899E-2</v>
      </c>
      <c r="D342" s="190">
        <f t="shared" ca="1" si="31"/>
        <v>2.2496392757192889E-2</v>
      </c>
      <c r="E342" s="190">
        <f t="shared" ca="1" si="32"/>
        <v>5.2464785238512152E-4</v>
      </c>
      <c r="F342" s="189" t="b">
        <f t="shared" ca="1" si="33"/>
        <v>1</v>
      </c>
      <c r="G342" s="188">
        <f ca="1">IF(F342,IFERROR(((('Data Schema'!$C$3*(1+B342)^1)*((1-$I$4-$I$5+E342)*(1-$I$10)+$I$6-$I$11)-('Data Schema'!$C$3*(1+B342)^1-'Data Schema'!$C$3)*$I$12)/(1+C342)^1+(('Data Schema'!$C$3*(1+B342)^2)*((1-$I$4-$I$5+E342)*(1-$I$10)+$I$6-$I$11)-('Data Schema'!$C$3*(1+B342)^2-'Data Schema'!$C$3*(1+B342)^1)*$I$12)/(1+C342)^2+(('Data Schema'!$C$3*(1+B342)^3)*((1-$I$4-$I$5+E342)*(1-$I$10)+$I$6-$I$11)-('Data Schema'!$C$3*(1+B342)^3-'Data Schema'!$C$3*(1+B342)^2)*$I$12)/(1+C342)^3+(('Data Schema'!$C$3*(1+B342)^4)*((1-$I$4-$I$5+E342)*(1-$I$10)+$I$6-$I$11)-('Data Schema'!$C$3*(1+B342)^4-'Data Schema'!$C$3*(1+B342)^3)*$I$12)/(1+C342)^4+(('Data Schema'!$C$3*(1+B342)^5)*((1-$I$4-$I$5+E342)*(1-$I$10)+$I$6-$I$11)-('Data Schema'!$C$3*(1+B342)^5-'Data Schema'!$C$3*(1+B342)^4)*$I$12)/(1+C342)^5+((('Data Schema'!$C$3*(1+B342)^5)*((1-$I$4-$I$5+E342)*(1-$I$10)+$I$6-$I$11)-('Data Schema'!$C$3*(1+B342)^5-'Data Schema'!$C$3*(1+B342)^4)*$I$12)*(1+D342)/(C342-D342))/(1+C342)^5-'Data Schema'!$C$31+'Data Schema'!$C$21)/'Data Schema'!$B$17,0),"INVALID")</f>
        <v>78.407190731806665</v>
      </c>
      <c r="H342" s="189" t="b">
        <f t="shared" ca="1" si="34"/>
        <v>1</v>
      </c>
      <c r="I342" s="188">
        <f t="shared" ca="1" si="35"/>
        <v>78.407190731806665</v>
      </c>
      <c r="J342" s="349">
        <f t="shared" ca="1" si="28"/>
        <v>78.407190731806665</v>
      </c>
    </row>
    <row r="343" spans="1:10">
      <c r="A343" s="187">
        <v>164</v>
      </c>
      <c r="B343" s="190">
        <f t="shared" ca="1" si="29"/>
        <v>0.13319716058253375</v>
      </c>
      <c r="C343" s="190">
        <f t="shared" ca="1" si="30"/>
        <v>6.9394152461995706E-2</v>
      </c>
      <c r="D343" s="190">
        <f t="shared" ca="1" si="31"/>
        <v>2.875525938190452E-2</v>
      </c>
      <c r="E343" s="190">
        <f t="shared" ca="1" si="32"/>
        <v>-1.0724846737542312E-2</v>
      </c>
      <c r="F343" s="189" t="b">
        <f t="shared" ca="1" si="33"/>
        <v>1</v>
      </c>
      <c r="G343" s="188">
        <f ca="1">IF(F343,IFERROR(((('Data Schema'!$C$3*(1+B343)^1)*((1-$I$4-$I$5+E343)*(1-$I$10)+$I$6-$I$11)-('Data Schema'!$C$3*(1+B343)^1-'Data Schema'!$C$3)*$I$12)/(1+C343)^1+(('Data Schema'!$C$3*(1+B343)^2)*((1-$I$4-$I$5+E343)*(1-$I$10)+$I$6-$I$11)-('Data Schema'!$C$3*(1+B343)^2-'Data Schema'!$C$3*(1+B343)^1)*$I$12)/(1+C343)^2+(('Data Schema'!$C$3*(1+B343)^3)*((1-$I$4-$I$5+E343)*(1-$I$10)+$I$6-$I$11)-('Data Schema'!$C$3*(1+B343)^3-'Data Schema'!$C$3*(1+B343)^2)*$I$12)/(1+C343)^3+(('Data Schema'!$C$3*(1+B343)^4)*((1-$I$4-$I$5+E343)*(1-$I$10)+$I$6-$I$11)-('Data Schema'!$C$3*(1+B343)^4-'Data Schema'!$C$3*(1+B343)^3)*$I$12)/(1+C343)^4+(('Data Schema'!$C$3*(1+B343)^5)*((1-$I$4-$I$5+E343)*(1-$I$10)+$I$6-$I$11)-('Data Schema'!$C$3*(1+B343)^5-'Data Schema'!$C$3*(1+B343)^4)*$I$12)/(1+C343)^5+((('Data Schema'!$C$3*(1+B343)^5)*((1-$I$4-$I$5+E343)*(1-$I$10)+$I$6-$I$11)-('Data Schema'!$C$3*(1+B343)^5-'Data Schema'!$C$3*(1+B343)^4)*$I$12)*(1+D343)/(C343-D343))/(1+C343)^5-'Data Schema'!$C$31+'Data Schema'!$C$21)/'Data Schema'!$B$17,0),"INVALID")</f>
        <v>52.600740492337735</v>
      </c>
      <c r="H343" s="189" t="b">
        <f t="shared" ca="1" si="34"/>
        <v>1</v>
      </c>
      <c r="I343" s="188">
        <f t="shared" ca="1" si="35"/>
        <v>52.600740492337735</v>
      </c>
      <c r="J343" s="349">
        <f t="shared" ca="1" si="28"/>
        <v>52.600740492337735</v>
      </c>
    </row>
    <row r="344" spans="1:10">
      <c r="A344" s="191">
        <v>165</v>
      </c>
      <c r="B344" s="190">
        <f t="shared" ca="1" si="29"/>
        <v>9.3315769711874219E-2</v>
      </c>
      <c r="C344" s="190">
        <f t="shared" ca="1" si="30"/>
        <v>5.8349821472326577E-2</v>
      </c>
      <c r="D344" s="190">
        <f t="shared" ca="1" si="31"/>
        <v>3.1194290856690444E-2</v>
      </c>
      <c r="E344" s="190">
        <f t="shared" ca="1" si="32"/>
        <v>-1.2959814074755611E-2</v>
      </c>
      <c r="F344" s="189" t="b">
        <f t="shared" ca="1" si="33"/>
        <v>1</v>
      </c>
      <c r="G344" s="188">
        <f ca="1">IF(F344,IFERROR(((('Data Schema'!$C$3*(1+B344)^1)*((1-$I$4-$I$5+E344)*(1-$I$10)+$I$6-$I$11)-('Data Schema'!$C$3*(1+B344)^1-'Data Schema'!$C$3)*$I$12)/(1+C344)^1+(('Data Schema'!$C$3*(1+B344)^2)*((1-$I$4-$I$5+E344)*(1-$I$10)+$I$6-$I$11)-('Data Schema'!$C$3*(1+B344)^2-'Data Schema'!$C$3*(1+B344)^1)*$I$12)/(1+C344)^2+(('Data Schema'!$C$3*(1+B344)^3)*((1-$I$4-$I$5+E344)*(1-$I$10)+$I$6-$I$11)-('Data Schema'!$C$3*(1+B344)^3-'Data Schema'!$C$3*(1+B344)^2)*$I$12)/(1+C344)^3+(('Data Schema'!$C$3*(1+B344)^4)*((1-$I$4-$I$5+E344)*(1-$I$10)+$I$6-$I$11)-('Data Schema'!$C$3*(1+B344)^4-'Data Schema'!$C$3*(1+B344)^3)*$I$12)/(1+C344)^4+(('Data Schema'!$C$3*(1+B344)^5)*((1-$I$4-$I$5+E344)*(1-$I$10)+$I$6-$I$11)-('Data Schema'!$C$3*(1+B344)^5-'Data Schema'!$C$3*(1+B344)^4)*$I$12)/(1+C344)^5+((('Data Schema'!$C$3*(1+B344)^5)*((1-$I$4-$I$5+E344)*(1-$I$10)+$I$6-$I$11)-('Data Schema'!$C$3*(1+B344)^5-'Data Schema'!$C$3*(1+B344)^4)*$I$12)*(1+D344)/(C344-D344))/(1+C344)^5-'Data Schema'!$C$31+'Data Schema'!$C$21)/'Data Schema'!$B$17,0),"INVALID")</f>
        <v>63.579135489348879</v>
      </c>
      <c r="H344" s="189" t="b">
        <f t="shared" ca="1" si="34"/>
        <v>1</v>
      </c>
      <c r="I344" s="188">
        <f t="shared" ca="1" si="35"/>
        <v>63.579135489348879</v>
      </c>
      <c r="J344" s="349">
        <f t="shared" ca="1" si="28"/>
        <v>63.579135489348879</v>
      </c>
    </row>
    <row r="345" spans="1:10">
      <c r="A345" s="187">
        <v>166</v>
      </c>
      <c r="B345" s="190">
        <f t="shared" ca="1" si="29"/>
        <v>9.9444654461992771E-2</v>
      </c>
      <c r="C345" s="190">
        <f t="shared" ca="1" si="30"/>
        <v>6.3687867841847517E-2</v>
      </c>
      <c r="D345" s="190">
        <f t="shared" ca="1" si="31"/>
        <v>2.4476814640815737E-2</v>
      </c>
      <c r="E345" s="190">
        <f t="shared" ca="1" si="32"/>
        <v>-2.1382146225264943E-2</v>
      </c>
      <c r="F345" s="189" t="b">
        <f t="shared" ca="1" si="33"/>
        <v>1</v>
      </c>
      <c r="G345" s="188">
        <f ca="1">IF(F345,IFERROR(((('Data Schema'!$C$3*(1+B345)^1)*((1-$I$4-$I$5+E345)*(1-$I$10)+$I$6-$I$11)-('Data Schema'!$C$3*(1+B345)^1-'Data Schema'!$C$3)*$I$12)/(1+C345)^1+(('Data Schema'!$C$3*(1+B345)^2)*((1-$I$4-$I$5+E345)*(1-$I$10)+$I$6-$I$11)-('Data Schema'!$C$3*(1+B345)^2-'Data Schema'!$C$3*(1+B345)^1)*$I$12)/(1+C345)^2+(('Data Schema'!$C$3*(1+B345)^3)*((1-$I$4-$I$5+E345)*(1-$I$10)+$I$6-$I$11)-('Data Schema'!$C$3*(1+B345)^3-'Data Schema'!$C$3*(1+B345)^2)*$I$12)/(1+C345)^3+(('Data Schema'!$C$3*(1+B345)^4)*((1-$I$4-$I$5+E345)*(1-$I$10)+$I$6-$I$11)-('Data Schema'!$C$3*(1+B345)^4-'Data Schema'!$C$3*(1+B345)^3)*$I$12)/(1+C345)^4+(('Data Schema'!$C$3*(1+B345)^5)*((1-$I$4-$I$5+E345)*(1-$I$10)+$I$6-$I$11)-('Data Schema'!$C$3*(1+B345)^5-'Data Schema'!$C$3*(1+B345)^4)*$I$12)/(1+C345)^5+((('Data Schema'!$C$3*(1+B345)^5)*((1-$I$4-$I$5+E345)*(1-$I$10)+$I$6-$I$11)-('Data Schema'!$C$3*(1+B345)^5-'Data Schema'!$C$3*(1+B345)^4)*$I$12)*(1+D345)/(C345-D345))/(1+C345)^5-'Data Schema'!$C$31+'Data Schema'!$C$21)/'Data Schema'!$B$17,0),"INVALID")</f>
        <v>23.365276594379189</v>
      </c>
      <c r="H345" s="189" t="b">
        <f t="shared" ca="1" si="34"/>
        <v>1</v>
      </c>
      <c r="I345" s="188">
        <f t="shared" ca="1" si="35"/>
        <v>23.365276594379189</v>
      </c>
      <c r="J345" s="349" t="str">
        <f t="shared" ca="1" si="28"/>
        <v/>
      </c>
    </row>
    <row r="346" spans="1:10">
      <c r="A346" s="191">
        <v>167</v>
      </c>
      <c r="B346" s="190">
        <f t="shared" ca="1" si="29"/>
        <v>9.7551885134891492E-2</v>
      </c>
      <c r="C346" s="190">
        <f t="shared" ca="1" si="30"/>
        <v>4.4779797959257336E-2</v>
      </c>
      <c r="D346" s="190">
        <f t="shared" ca="1" si="31"/>
        <v>2.4459827135177862E-2</v>
      </c>
      <c r="E346" s="190">
        <f t="shared" ca="1" si="32"/>
        <v>-5.1626608054726273E-3</v>
      </c>
      <c r="F346" s="189" t="b">
        <f t="shared" ca="1" si="33"/>
        <v>1</v>
      </c>
      <c r="G346" s="188">
        <f ca="1">IF(F346,IFERROR(((('Data Schema'!$C$3*(1+B346)^1)*((1-$I$4-$I$5+E346)*(1-$I$10)+$I$6-$I$11)-('Data Schema'!$C$3*(1+B346)^1-'Data Schema'!$C$3)*$I$12)/(1+C346)^1+(('Data Schema'!$C$3*(1+B346)^2)*((1-$I$4-$I$5+E346)*(1-$I$10)+$I$6-$I$11)-('Data Schema'!$C$3*(1+B346)^2-'Data Schema'!$C$3*(1+B346)^1)*$I$12)/(1+C346)^2+(('Data Schema'!$C$3*(1+B346)^3)*((1-$I$4-$I$5+E346)*(1-$I$10)+$I$6-$I$11)-('Data Schema'!$C$3*(1+B346)^3-'Data Schema'!$C$3*(1+B346)^2)*$I$12)/(1+C346)^3+(('Data Schema'!$C$3*(1+B346)^4)*((1-$I$4-$I$5+E346)*(1-$I$10)+$I$6-$I$11)-('Data Schema'!$C$3*(1+B346)^4-'Data Schema'!$C$3*(1+B346)^3)*$I$12)/(1+C346)^4+(('Data Schema'!$C$3*(1+B346)^5)*((1-$I$4-$I$5+E346)*(1-$I$10)+$I$6-$I$11)-('Data Schema'!$C$3*(1+B346)^5-'Data Schema'!$C$3*(1+B346)^4)*$I$12)/(1+C346)^5+((('Data Schema'!$C$3*(1+B346)^5)*((1-$I$4-$I$5+E346)*(1-$I$10)+$I$6-$I$11)-('Data Schema'!$C$3*(1+B346)^5-'Data Schema'!$C$3*(1+B346)^4)*$I$12)*(1+D346)/(C346-D346))/(1+C346)^5-'Data Schema'!$C$31+'Data Schema'!$C$21)/'Data Schema'!$B$17,0),"INVALID")</f>
        <v>127.99425284714522</v>
      </c>
      <c r="H346" s="189" t="b">
        <f t="shared" ca="1" si="34"/>
        <v>1</v>
      </c>
      <c r="I346" s="188">
        <f t="shared" ca="1" si="35"/>
        <v>127.99425284714522</v>
      </c>
      <c r="J346" s="349">
        <f t="shared" ca="1" si="28"/>
        <v>127.99425284714522</v>
      </c>
    </row>
    <row r="347" spans="1:10">
      <c r="A347" s="187">
        <v>168</v>
      </c>
      <c r="B347" s="190">
        <f t="shared" ca="1" si="29"/>
        <v>0.11526579687560927</v>
      </c>
      <c r="C347" s="190">
        <f t="shared" ca="1" si="30"/>
        <v>5.022376845022359E-2</v>
      </c>
      <c r="D347" s="190">
        <f t="shared" ca="1" si="31"/>
        <v>2.7303720487329132E-2</v>
      </c>
      <c r="E347" s="190">
        <f t="shared" ca="1" si="32"/>
        <v>-3.3982262537790124E-3</v>
      </c>
      <c r="F347" s="189" t="b">
        <f t="shared" ca="1" si="33"/>
        <v>1</v>
      </c>
      <c r="G347" s="188">
        <f ca="1">IF(F347,IFERROR(((('Data Schema'!$C$3*(1+B347)^1)*((1-$I$4-$I$5+E347)*(1-$I$10)+$I$6-$I$11)-('Data Schema'!$C$3*(1+B347)^1-'Data Schema'!$C$3)*$I$12)/(1+C347)^1+(('Data Schema'!$C$3*(1+B347)^2)*((1-$I$4-$I$5+E347)*(1-$I$10)+$I$6-$I$11)-('Data Schema'!$C$3*(1+B347)^2-'Data Schema'!$C$3*(1+B347)^1)*$I$12)/(1+C347)^2+(('Data Schema'!$C$3*(1+B347)^3)*((1-$I$4-$I$5+E347)*(1-$I$10)+$I$6-$I$11)-('Data Schema'!$C$3*(1+B347)^3-'Data Schema'!$C$3*(1+B347)^2)*$I$12)/(1+C347)^3+(('Data Schema'!$C$3*(1+B347)^4)*((1-$I$4-$I$5+E347)*(1-$I$10)+$I$6-$I$11)-('Data Schema'!$C$3*(1+B347)^4-'Data Schema'!$C$3*(1+B347)^3)*$I$12)/(1+C347)^4+(('Data Schema'!$C$3*(1+B347)^5)*((1-$I$4-$I$5+E347)*(1-$I$10)+$I$6-$I$11)-('Data Schema'!$C$3*(1+B347)^5-'Data Schema'!$C$3*(1+B347)^4)*$I$12)/(1+C347)^5+((('Data Schema'!$C$3*(1+B347)^5)*((1-$I$4-$I$5+E347)*(1-$I$10)+$I$6-$I$11)-('Data Schema'!$C$3*(1+B347)^5-'Data Schema'!$C$3*(1+B347)^4)*$I$12)*(1+D347)/(C347-D347))/(1+C347)^5-'Data Schema'!$C$31+'Data Schema'!$C$21)/'Data Schema'!$B$17,0),"INVALID")</f>
        <v>126.86296786422275</v>
      </c>
      <c r="H347" s="189" t="b">
        <f t="shared" ca="1" si="34"/>
        <v>1</v>
      </c>
      <c r="I347" s="188">
        <f t="shared" ca="1" si="35"/>
        <v>126.86296786422275</v>
      </c>
      <c r="J347" s="349">
        <f t="shared" ca="1" si="28"/>
        <v>126.86296786422275</v>
      </c>
    </row>
    <row r="348" spans="1:10">
      <c r="A348" s="191">
        <v>169</v>
      </c>
      <c r="B348" s="190">
        <f t="shared" ca="1" si="29"/>
        <v>5.1317165411270564E-2</v>
      </c>
      <c r="C348" s="190">
        <f t="shared" ca="1" si="30"/>
        <v>5.7117530760081629E-2</v>
      </c>
      <c r="D348" s="190">
        <f t="shared" ca="1" si="31"/>
        <v>1.8118143702785756E-2</v>
      </c>
      <c r="E348" s="190">
        <f t="shared" ca="1" si="32"/>
        <v>3.0217326770824417E-2</v>
      </c>
      <c r="F348" s="189" t="b">
        <f t="shared" ca="1" si="33"/>
        <v>1</v>
      </c>
      <c r="G348" s="188">
        <f ca="1">IF(F348,IFERROR(((('Data Schema'!$C$3*(1+B348)^1)*((1-$I$4-$I$5+E348)*(1-$I$10)+$I$6-$I$11)-('Data Schema'!$C$3*(1+B348)^1-'Data Schema'!$C$3)*$I$12)/(1+C348)^1+(('Data Schema'!$C$3*(1+B348)^2)*((1-$I$4-$I$5+E348)*(1-$I$10)+$I$6-$I$11)-('Data Schema'!$C$3*(1+B348)^2-'Data Schema'!$C$3*(1+B348)^1)*$I$12)/(1+C348)^2+(('Data Schema'!$C$3*(1+B348)^3)*((1-$I$4-$I$5+E348)*(1-$I$10)+$I$6-$I$11)-('Data Schema'!$C$3*(1+B348)^3-'Data Schema'!$C$3*(1+B348)^2)*$I$12)/(1+C348)^3+(('Data Schema'!$C$3*(1+B348)^4)*((1-$I$4-$I$5+E348)*(1-$I$10)+$I$6-$I$11)-('Data Schema'!$C$3*(1+B348)^4-'Data Schema'!$C$3*(1+B348)^3)*$I$12)/(1+C348)^4+(('Data Schema'!$C$3*(1+B348)^5)*((1-$I$4-$I$5+E348)*(1-$I$10)+$I$6-$I$11)-('Data Schema'!$C$3*(1+B348)^5-'Data Schema'!$C$3*(1+B348)^4)*$I$12)/(1+C348)^5+((('Data Schema'!$C$3*(1+B348)^5)*((1-$I$4-$I$5+E348)*(1-$I$10)+$I$6-$I$11)-('Data Schema'!$C$3*(1+B348)^5-'Data Schema'!$C$3*(1+B348)^4)*$I$12)*(1+D348)/(C348-D348))/(1+C348)^5-'Data Schema'!$C$31+'Data Schema'!$C$21)/'Data Schema'!$B$17,0),"INVALID")</f>
        <v>124.8632919432049</v>
      </c>
      <c r="H348" s="189" t="b">
        <f t="shared" ca="1" si="34"/>
        <v>1</v>
      </c>
      <c r="I348" s="188">
        <f t="shared" ca="1" si="35"/>
        <v>124.8632919432049</v>
      </c>
      <c r="J348" s="349">
        <f t="shared" ca="1" si="28"/>
        <v>124.8632919432049</v>
      </c>
    </row>
    <row r="349" spans="1:10">
      <c r="A349" s="187">
        <v>170</v>
      </c>
      <c r="B349" s="190">
        <f t="shared" ca="1" si="29"/>
        <v>9.9423775921999302E-2</v>
      </c>
      <c r="C349" s="190">
        <f t="shared" ca="1" si="30"/>
        <v>4.6363390209619867E-2</v>
      </c>
      <c r="D349" s="190">
        <f t="shared" ca="1" si="31"/>
        <v>2.4144543075726208E-2</v>
      </c>
      <c r="E349" s="190">
        <f t="shared" ca="1" si="32"/>
        <v>-4.0940163468525951E-3</v>
      </c>
      <c r="F349" s="189" t="b">
        <f t="shared" ca="1" si="33"/>
        <v>1</v>
      </c>
      <c r="G349" s="188">
        <f ca="1">IF(F349,IFERROR(((('Data Schema'!$C$3*(1+B349)^1)*((1-$I$4-$I$5+E349)*(1-$I$10)+$I$6-$I$11)-('Data Schema'!$C$3*(1+B349)^1-'Data Schema'!$C$3)*$I$12)/(1+C349)^1+(('Data Schema'!$C$3*(1+B349)^2)*((1-$I$4-$I$5+E349)*(1-$I$10)+$I$6-$I$11)-('Data Schema'!$C$3*(1+B349)^2-'Data Schema'!$C$3*(1+B349)^1)*$I$12)/(1+C349)^2+(('Data Schema'!$C$3*(1+B349)^3)*((1-$I$4-$I$5+E349)*(1-$I$10)+$I$6-$I$11)-('Data Schema'!$C$3*(1+B349)^3-'Data Schema'!$C$3*(1+B349)^2)*$I$12)/(1+C349)^3+(('Data Schema'!$C$3*(1+B349)^4)*((1-$I$4-$I$5+E349)*(1-$I$10)+$I$6-$I$11)-('Data Schema'!$C$3*(1+B349)^4-'Data Schema'!$C$3*(1+B349)^3)*$I$12)/(1+C349)^4+(('Data Schema'!$C$3*(1+B349)^5)*((1-$I$4-$I$5+E349)*(1-$I$10)+$I$6-$I$11)-('Data Schema'!$C$3*(1+B349)^5-'Data Schema'!$C$3*(1+B349)^4)*$I$12)/(1+C349)^5+((('Data Schema'!$C$3*(1+B349)^5)*((1-$I$4-$I$5+E349)*(1-$I$10)+$I$6-$I$11)-('Data Schema'!$C$3*(1+B349)^5-'Data Schema'!$C$3*(1+B349)^4)*$I$12)*(1+D349)/(C349-D349))/(1+C349)^5-'Data Schema'!$C$31+'Data Schema'!$C$21)/'Data Schema'!$B$17,0),"INVALID")</f>
        <v>121.92894261462858</v>
      </c>
      <c r="H349" s="189" t="b">
        <f t="shared" ca="1" si="34"/>
        <v>1</v>
      </c>
      <c r="I349" s="188">
        <f t="shared" ca="1" si="35"/>
        <v>121.92894261462858</v>
      </c>
      <c r="J349" s="349">
        <f t="shared" ca="1" si="28"/>
        <v>121.92894261462858</v>
      </c>
    </row>
    <row r="350" spans="1:10">
      <c r="A350" s="191">
        <v>171</v>
      </c>
      <c r="B350" s="190">
        <f t="shared" ca="1" si="29"/>
        <v>9.7712958555120397E-2</v>
      </c>
      <c r="C350" s="190">
        <f t="shared" ca="1" si="30"/>
        <v>5.9758848794969087E-2</v>
      </c>
      <c r="D350" s="190">
        <f t="shared" ca="1" si="31"/>
        <v>3.3045050695034911E-2</v>
      </c>
      <c r="E350" s="190">
        <f t="shared" ca="1" si="32"/>
        <v>1.8666645071740626E-2</v>
      </c>
      <c r="F350" s="189" t="b">
        <f t="shared" ca="1" si="33"/>
        <v>1</v>
      </c>
      <c r="G350" s="188">
        <f ca="1">IF(F350,IFERROR(((('Data Schema'!$C$3*(1+B350)^1)*((1-$I$4-$I$5+E350)*(1-$I$10)+$I$6-$I$11)-('Data Schema'!$C$3*(1+B350)^1-'Data Schema'!$C$3)*$I$12)/(1+C350)^1+(('Data Schema'!$C$3*(1+B350)^2)*((1-$I$4-$I$5+E350)*(1-$I$10)+$I$6-$I$11)-('Data Schema'!$C$3*(1+B350)^2-'Data Schema'!$C$3*(1+B350)^1)*$I$12)/(1+C350)^2+(('Data Schema'!$C$3*(1+B350)^3)*((1-$I$4-$I$5+E350)*(1-$I$10)+$I$6-$I$11)-('Data Schema'!$C$3*(1+B350)^3-'Data Schema'!$C$3*(1+B350)^2)*$I$12)/(1+C350)^3+(('Data Schema'!$C$3*(1+B350)^4)*((1-$I$4-$I$5+E350)*(1-$I$10)+$I$6-$I$11)-('Data Schema'!$C$3*(1+B350)^4-'Data Schema'!$C$3*(1+B350)^3)*$I$12)/(1+C350)^4+(('Data Schema'!$C$3*(1+B350)^5)*((1-$I$4-$I$5+E350)*(1-$I$10)+$I$6-$I$11)-('Data Schema'!$C$3*(1+B350)^5-'Data Schema'!$C$3*(1+B350)^4)*$I$12)/(1+C350)^5+((('Data Schema'!$C$3*(1+B350)^5)*((1-$I$4-$I$5+E350)*(1-$I$10)+$I$6-$I$11)-('Data Schema'!$C$3*(1+B350)^5-'Data Schema'!$C$3*(1+B350)^4)*$I$12)*(1+D350)/(C350-D350))/(1+C350)^5-'Data Schema'!$C$31+'Data Schema'!$C$21)/'Data Schema'!$B$17,0),"INVALID")</f>
        <v>174.28913161372267</v>
      </c>
      <c r="H350" s="189" t="b">
        <f t="shared" ca="1" si="34"/>
        <v>1</v>
      </c>
      <c r="I350" s="188">
        <f t="shared" ca="1" si="35"/>
        <v>174.28913161372267</v>
      </c>
      <c r="J350" s="349">
        <f t="shared" ca="1" si="28"/>
        <v>174.28913161372267</v>
      </c>
    </row>
    <row r="351" spans="1:10">
      <c r="A351" s="187">
        <v>172</v>
      </c>
      <c r="B351" s="190">
        <f t="shared" ca="1" si="29"/>
        <v>0.11056983871436424</v>
      </c>
      <c r="C351" s="190">
        <f t="shared" ca="1" si="30"/>
        <v>6.5819684488357275E-2</v>
      </c>
      <c r="D351" s="190">
        <f t="shared" ca="1" si="31"/>
        <v>2.5764188906498692E-2</v>
      </c>
      <c r="E351" s="190">
        <f t="shared" ca="1" si="32"/>
        <v>4.4445810439678262E-4</v>
      </c>
      <c r="F351" s="189" t="b">
        <f t="shared" ca="1" si="33"/>
        <v>1</v>
      </c>
      <c r="G351" s="188">
        <f ca="1">IF(F351,IFERROR(((('Data Schema'!$C$3*(1+B351)^1)*((1-$I$4-$I$5+E351)*(1-$I$10)+$I$6-$I$11)-('Data Schema'!$C$3*(1+B351)^1-'Data Schema'!$C$3)*$I$12)/(1+C351)^1+(('Data Schema'!$C$3*(1+B351)^2)*((1-$I$4-$I$5+E351)*(1-$I$10)+$I$6-$I$11)-('Data Schema'!$C$3*(1+B351)^2-'Data Schema'!$C$3*(1+B351)^1)*$I$12)/(1+C351)^2+(('Data Schema'!$C$3*(1+B351)^3)*((1-$I$4-$I$5+E351)*(1-$I$10)+$I$6-$I$11)-('Data Schema'!$C$3*(1+B351)^3-'Data Schema'!$C$3*(1+B351)^2)*$I$12)/(1+C351)^3+(('Data Schema'!$C$3*(1+B351)^4)*((1-$I$4-$I$5+E351)*(1-$I$10)+$I$6-$I$11)-('Data Schema'!$C$3*(1+B351)^4-'Data Schema'!$C$3*(1+B351)^3)*$I$12)/(1+C351)^4+(('Data Schema'!$C$3*(1+B351)^5)*((1-$I$4-$I$5+E351)*(1-$I$10)+$I$6-$I$11)-('Data Schema'!$C$3*(1+B351)^5-'Data Schema'!$C$3*(1+B351)^4)*$I$12)/(1+C351)^5+((('Data Schema'!$C$3*(1+B351)^5)*((1-$I$4-$I$5+E351)*(1-$I$10)+$I$6-$I$11)-('Data Schema'!$C$3*(1+B351)^5-'Data Schema'!$C$3*(1+B351)^4)*$I$12)*(1+D351)/(C351-D351))/(1+C351)^5-'Data Schema'!$C$31+'Data Schema'!$C$21)/'Data Schema'!$B$17,0),"INVALID")</f>
        <v>77.431097313097908</v>
      </c>
      <c r="H351" s="189" t="b">
        <f t="shared" ca="1" si="34"/>
        <v>1</v>
      </c>
      <c r="I351" s="188">
        <f t="shared" ca="1" si="35"/>
        <v>77.431097313097908</v>
      </c>
      <c r="J351" s="349">
        <f t="shared" ca="1" si="28"/>
        <v>77.431097313097908</v>
      </c>
    </row>
    <row r="352" spans="1:10">
      <c r="A352" s="191">
        <v>173</v>
      </c>
      <c r="B352" s="190">
        <f t="shared" ca="1" si="29"/>
        <v>0.10883831480544238</v>
      </c>
      <c r="C352" s="190">
        <f t="shared" ca="1" si="30"/>
        <v>6.3007438965610077E-2</v>
      </c>
      <c r="D352" s="190">
        <f t="shared" ca="1" si="31"/>
        <v>1.9272446845002913E-2</v>
      </c>
      <c r="E352" s="190">
        <f t="shared" ca="1" si="32"/>
        <v>-5.9623905952948753E-2</v>
      </c>
      <c r="F352" s="189" t="b">
        <f t="shared" ca="1" si="33"/>
        <v>1</v>
      </c>
      <c r="G352" s="188">
        <f ca="1">IF(F352,IFERROR(((('Data Schema'!$C$3*(1+B352)^1)*((1-$I$4-$I$5+E352)*(1-$I$10)+$I$6-$I$11)-('Data Schema'!$C$3*(1+B352)^1-'Data Schema'!$C$3)*$I$12)/(1+C352)^1+(('Data Schema'!$C$3*(1+B352)^2)*((1-$I$4-$I$5+E352)*(1-$I$10)+$I$6-$I$11)-('Data Schema'!$C$3*(1+B352)^2-'Data Schema'!$C$3*(1+B352)^1)*$I$12)/(1+C352)^2+(('Data Schema'!$C$3*(1+B352)^3)*((1-$I$4-$I$5+E352)*(1-$I$10)+$I$6-$I$11)-('Data Schema'!$C$3*(1+B352)^3-'Data Schema'!$C$3*(1+B352)^2)*$I$12)/(1+C352)^3+(('Data Schema'!$C$3*(1+B352)^4)*((1-$I$4-$I$5+E352)*(1-$I$10)+$I$6-$I$11)-('Data Schema'!$C$3*(1+B352)^4-'Data Schema'!$C$3*(1+B352)^3)*$I$12)/(1+C352)^4+(('Data Schema'!$C$3*(1+B352)^5)*((1-$I$4-$I$5+E352)*(1-$I$10)+$I$6-$I$11)-('Data Schema'!$C$3*(1+B352)^5-'Data Schema'!$C$3*(1+B352)^4)*$I$12)/(1+C352)^5+((('Data Schema'!$C$3*(1+B352)^5)*((1-$I$4-$I$5+E352)*(1-$I$10)+$I$6-$I$11)-('Data Schema'!$C$3*(1+B352)^5-'Data Schema'!$C$3*(1+B352)^4)*$I$12)*(1+D352)/(C352-D352))/(1+C352)^5-'Data Schema'!$C$31+'Data Schema'!$C$21)/'Data Schema'!$B$17,0),"INVALID")</f>
        <v>-66.566411483738975</v>
      </c>
      <c r="H352" s="189" t="b">
        <f t="shared" ca="1" si="34"/>
        <v>0</v>
      </c>
      <c r="I352" s="188" t="str">
        <f t="shared" ca="1" si="35"/>
        <v/>
      </c>
      <c r="J352" s="349" t="str">
        <f t="shared" ca="1" si="28"/>
        <v/>
      </c>
    </row>
    <row r="353" spans="1:10">
      <c r="A353" s="187">
        <v>174</v>
      </c>
      <c r="B353" s="190">
        <f t="shared" ca="1" si="29"/>
        <v>0.11684565245042178</v>
      </c>
      <c r="C353" s="190">
        <f t="shared" ca="1" si="30"/>
        <v>6.1126996104425083E-2</v>
      </c>
      <c r="D353" s="190">
        <f t="shared" ca="1" si="31"/>
        <v>2.2719195958898278E-2</v>
      </c>
      <c r="E353" s="190">
        <f t="shared" ca="1" si="32"/>
        <v>2.3409991763125273E-2</v>
      </c>
      <c r="F353" s="189" t="b">
        <f t="shared" ca="1" si="33"/>
        <v>1</v>
      </c>
      <c r="G353" s="188">
        <f ca="1">IF(F353,IFERROR(((('Data Schema'!$C$3*(1+B353)^1)*((1-$I$4-$I$5+E353)*(1-$I$10)+$I$6-$I$11)-('Data Schema'!$C$3*(1+B353)^1-'Data Schema'!$C$3)*$I$12)/(1+C353)^1+(('Data Schema'!$C$3*(1+B353)^2)*((1-$I$4-$I$5+E353)*(1-$I$10)+$I$6-$I$11)-('Data Schema'!$C$3*(1+B353)^2-'Data Schema'!$C$3*(1+B353)^1)*$I$12)/(1+C353)^2+(('Data Schema'!$C$3*(1+B353)^3)*((1-$I$4-$I$5+E353)*(1-$I$10)+$I$6-$I$11)-('Data Schema'!$C$3*(1+B353)^3-'Data Schema'!$C$3*(1+B353)^2)*$I$12)/(1+C353)^3+(('Data Schema'!$C$3*(1+B353)^4)*((1-$I$4-$I$5+E353)*(1-$I$10)+$I$6-$I$11)-('Data Schema'!$C$3*(1+B353)^4-'Data Schema'!$C$3*(1+B353)^3)*$I$12)/(1+C353)^4+(('Data Schema'!$C$3*(1+B353)^5)*((1-$I$4-$I$5+E353)*(1-$I$10)+$I$6-$I$11)-('Data Schema'!$C$3*(1+B353)^5-'Data Schema'!$C$3*(1+B353)^4)*$I$12)/(1+C353)^5+((('Data Schema'!$C$3*(1+B353)^5)*((1-$I$4-$I$5+E353)*(1-$I$10)+$I$6-$I$11)-('Data Schema'!$C$3*(1+B353)^5-'Data Schema'!$C$3*(1+B353)^4)*$I$12)*(1+D353)/(C353-D353))/(1+C353)^5-'Data Schema'!$C$31+'Data Schema'!$C$21)/'Data Schema'!$B$17,0),"INVALID")</f>
        <v>145.772179695277</v>
      </c>
      <c r="H353" s="189" t="b">
        <f t="shared" ca="1" si="34"/>
        <v>1</v>
      </c>
      <c r="I353" s="188">
        <f t="shared" ca="1" si="35"/>
        <v>145.772179695277</v>
      </c>
      <c r="J353" s="349">
        <f t="shared" ca="1" si="28"/>
        <v>145.772179695277</v>
      </c>
    </row>
    <row r="354" spans="1:10">
      <c r="A354" s="191">
        <v>175</v>
      </c>
      <c r="B354" s="190">
        <f t="shared" ca="1" si="29"/>
        <v>0.10569859894998128</v>
      </c>
      <c r="C354" s="190">
        <f t="shared" ca="1" si="30"/>
        <v>5.9083069248549919E-2</v>
      </c>
      <c r="D354" s="190">
        <f t="shared" ca="1" si="31"/>
        <v>2.3637274641389091E-2</v>
      </c>
      <c r="E354" s="190">
        <f t="shared" ca="1" si="32"/>
        <v>-3.4427792048445688E-3</v>
      </c>
      <c r="F354" s="189" t="b">
        <f t="shared" ca="1" si="33"/>
        <v>1</v>
      </c>
      <c r="G354" s="188">
        <f ca="1">IF(F354,IFERROR(((('Data Schema'!$C$3*(1+B354)^1)*((1-$I$4-$I$5+E354)*(1-$I$10)+$I$6-$I$11)-('Data Schema'!$C$3*(1+B354)^1-'Data Schema'!$C$3)*$I$12)/(1+C354)^1+(('Data Schema'!$C$3*(1+B354)^2)*((1-$I$4-$I$5+E354)*(1-$I$10)+$I$6-$I$11)-('Data Schema'!$C$3*(1+B354)^2-'Data Schema'!$C$3*(1+B354)^1)*$I$12)/(1+C354)^2+(('Data Schema'!$C$3*(1+B354)^3)*((1-$I$4-$I$5+E354)*(1-$I$10)+$I$6-$I$11)-('Data Schema'!$C$3*(1+B354)^3-'Data Schema'!$C$3*(1+B354)^2)*$I$12)/(1+C354)^3+(('Data Schema'!$C$3*(1+B354)^4)*((1-$I$4-$I$5+E354)*(1-$I$10)+$I$6-$I$11)-('Data Schema'!$C$3*(1+B354)^4-'Data Schema'!$C$3*(1+B354)^3)*$I$12)/(1+C354)^4+(('Data Schema'!$C$3*(1+B354)^5)*((1-$I$4-$I$5+E354)*(1-$I$10)+$I$6-$I$11)-('Data Schema'!$C$3*(1+B354)^5-'Data Schema'!$C$3*(1+B354)^4)*$I$12)/(1+C354)^5+((('Data Schema'!$C$3*(1+B354)^5)*((1-$I$4-$I$5+E354)*(1-$I$10)+$I$6-$I$11)-('Data Schema'!$C$3*(1+B354)^5-'Data Schema'!$C$3*(1+B354)^4)*$I$12)*(1+D354)/(C354-D354))/(1+C354)^5-'Data Schema'!$C$31+'Data Schema'!$C$21)/'Data Schema'!$B$17,0),"INVALID")</f>
        <v>76.968375834424535</v>
      </c>
      <c r="H354" s="189" t="b">
        <f t="shared" ca="1" si="34"/>
        <v>1</v>
      </c>
      <c r="I354" s="188">
        <f t="shared" ca="1" si="35"/>
        <v>76.968375834424535</v>
      </c>
      <c r="J354" s="349">
        <f t="shared" ca="1" si="28"/>
        <v>76.968375834424535</v>
      </c>
    </row>
    <row r="355" spans="1:10">
      <c r="A355" s="187">
        <v>176</v>
      </c>
      <c r="B355" s="190">
        <f t="shared" ca="1" si="29"/>
        <v>0.1160296738759775</v>
      </c>
      <c r="C355" s="190">
        <f t="shared" ca="1" si="30"/>
        <v>5.8347829746976873E-2</v>
      </c>
      <c r="D355" s="190">
        <f t="shared" ca="1" si="31"/>
        <v>2.8374164429394978E-2</v>
      </c>
      <c r="E355" s="190">
        <f t="shared" ca="1" si="32"/>
        <v>-7.953975947921986E-3</v>
      </c>
      <c r="F355" s="189" t="b">
        <f t="shared" ca="1" si="33"/>
        <v>1</v>
      </c>
      <c r="G355" s="188">
        <f ca="1">IF(F355,IFERROR(((('Data Schema'!$C$3*(1+B355)^1)*((1-$I$4-$I$5+E355)*(1-$I$10)+$I$6-$I$11)-('Data Schema'!$C$3*(1+B355)^1-'Data Schema'!$C$3)*$I$12)/(1+C355)^1+(('Data Schema'!$C$3*(1+B355)^2)*((1-$I$4-$I$5+E355)*(1-$I$10)+$I$6-$I$11)-('Data Schema'!$C$3*(1+B355)^2-'Data Schema'!$C$3*(1+B355)^1)*$I$12)/(1+C355)^2+(('Data Schema'!$C$3*(1+B355)^3)*((1-$I$4-$I$5+E355)*(1-$I$10)+$I$6-$I$11)-('Data Schema'!$C$3*(1+B355)^3-'Data Schema'!$C$3*(1+B355)^2)*$I$12)/(1+C355)^3+(('Data Schema'!$C$3*(1+B355)^4)*((1-$I$4-$I$5+E355)*(1-$I$10)+$I$6-$I$11)-('Data Schema'!$C$3*(1+B355)^4-'Data Schema'!$C$3*(1+B355)^3)*$I$12)/(1+C355)^4+(('Data Schema'!$C$3*(1+B355)^5)*((1-$I$4-$I$5+E355)*(1-$I$10)+$I$6-$I$11)-('Data Schema'!$C$3*(1+B355)^5-'Data Schema'!$C$3*(1+B355)^4)*$I$12)/(1+C355)^5+((('Data Schema'!$C$3*(1+B355)^5)*((1-$I$4-$I$5+E355)*(1-$I$10)+$I$6-$I$11)-('Data Schema'!$C$3*(1+B355)^5-'Data Schema'!$C$3*(1+B355)^4)*$I$12)*(1+D355)/(C355-D355))/(1+C355)^5-'Data Schema'!$C$31+'Data Schema'!$C$21)/'Data Schema'!$B$17,0),"INVALID")</f>
        <v>79.390358947152862</v>
      </c>
      <c r="H355" s="189" t="b">
        <f t="shared" ca="1" si="34"/>
        <v>1</v>
      </c>
      <c r="I355" s="188">
        <f t="shared" ca="1" si="35"/>
        <v>79.390358947152862</v>
      </c>
      <c r="J355" s="349">
        <f t="shared" ca="1" si="28"/>
        <v>79.390358947152862</v>
      </c>
    </row>
    <row r="356" spans="1:10">
      <c r="A356" s="191">
        <v>177</v>
      </c>
      <c r="B356" s="190">
        <f t="shared" ca="1" si="29"/>
        <v>9.715825541740887E-2</v>
      </c>
      <c r="C356" s="190">
        <f t="shared" ca="1" si="30"/>
        <v>5.5816238719824947E-2</v>
      </c>
      <c r="D356" s="190">
        <f t="shared" ca="1" si="31"/>
        <v>1.6895004147484002E-2</v>
      </c>
      <c r="E356" s="190">
        <f t="shared" ca="1" si="32"/>
        <v>-5.4885509520365928E-3</v>
      </c>
      <c r="F356" s="189" t="b">
        <f t="shared" ca="1" si="33"/>
        <v>1</v>
      </c>
      <c r="G356" s="188">
        <f ca="1">IF(F356,IFERROR(((('Data Schema'!$C$3*(1+B356)^1)*((1-$I$4-$I$5+E356)*(1-$I$10)+$I$6-$I$11)-('Data Schema'!$C$3*(1+B356)^1-'Data Schema'!$C$3)*$I$12)/(1+C356)^1+(('Data Schema'!$C$3*(1+B356)^2)*((1-$I$4-$I$5+E356)*(1-$I$10)+$I$6-$I$11)-('Data Schema'!$C$3*(1+B356)^2-'Data Schema'!$C$3*(1+B356)^1)*$I$12)/(1+C356)^2+(('Data Schema'!$C$3*(1+B356)^3)*((1-$I$4-$I$5+E356)*(1-$I$10)+$I$6-$I$11)-('Data Schema'!$C$3*(1+B356)^3-'Data Schema'!$C$3*(1+B356)^2)*$I$12)/(1+C356)^3+(('Data Schema'!$C$3*(1+B356)^4)*((1-$I$4-$I$5+E356)*(1-$I$10)+$I$6-$I$11)-('Data Schema'!$C$3*(1+B356)^4-'Data Schema'!$C$3*(1+B356)^3)*$I$12)/(1+C356)^4+(('Data Schema'!$C$3*(1+B356)^5)*((1-$I$4-$I$5+E356)*(1-$I$10)+$I$6-$I$11)-('Data Schema'!$C$3*(1+B356)^5-'Data Schema'!$C$3*(1+B356)^4)*$I$12)/(1+C356)^5+((('Data Schema'!$C$3*(1+B356)^5)*((1-$I$4-$I$5+E356)*(1-$I$10)+$I$6-$I$11)-('Data Schema'!$C$3*(1+B356)^5-'Data Schema'!$C$3*(1+B356)^4)*$I$12)*(1+D356)/(C356-D356))/(1+C356)^5-'Data Schema'!$C$31+'Data Schema'!$C$21)/'Data Schema'!$B$17,0),"INVALID")</f>
        <v>63.769103215484463</v>
      </c>
      <c r="H356" s="189" t="b">
        <f t="shared" ca="1" si="34"/>
        <v>1</v>
      </c>
      <c r="I356" s="188">
        <f t="shared" ca="1" si="35"/>
        <v>63.769103215484463</v>
      </c>
      <c r="J356" s="349">
        <f t="shared" ca="1" si="28"/>
        <v>63.769103215484463</v>
      </c>
    </row>
    <row r="357" spans="1:10">
      <c r="A357" s="187">
        <v>178</v>
      </c>
      <c r="B357" s="190">
        <f t="shared" ca="1" si="29"/>
        <v>7.0969913654574807E-2</v>
      </c>
      <c r="C357" s="190">
        <f t="shared" ca="1" si="30"/>
        <v>7.1186127021213338E-2</v>
      </c>
      <c r="D357" s="190">
        <f t="shared" ca="1" si="31"/>
        <v>2.8786041976424745E-2</v>
      </c>
      <c r="E357" s="190">
        <f t="shared" ca="1" si="32"/>
        <v>-1.8864865748586427E-2</v>
      </c>
      <c r="F357" s="189" t="b">
        <f t="shared" ca="1" si="33"/>
        <v>1</v>
      </c>
      <c r="G357" s="188">
        <f ca="1">IF(F357,IFERROR(((('Data Schema'!$C$3*(1+B357)^1)*((1-$I$4-$I$5+E357)*(1-$I$10)+$I$6-$I$11)-('Data Schema'!$C$3*(1+B357)^1-'Data Schema'!$C$3)*$I$12)/(1+C357)^1+(('Data Schema'!$C$3*(1+B357)^2)*((1-$I$4-$I$5+E357)*(1-$I$10)+$I$6-$I$11)-('Data Schema'!$C$3*(1+B357)^2-'Data Schema'!$C$3*(1+B357)^1)*$I$12)/(1+C357)^2+(('Data Schema'!$C$3*(1+B357)^3)*((1-$I$4-$I$5+E357)*(1-$I$10)+$I$6-$I$11)-('Data Schema'!$C$3*(1+B357)^3-'Data Schema'!$C$3*(1+B357)^2)*$I$12)/(1+C357)^3+(('Data Schema'!$C$3*(1+B357)^4)*((1-$I$4-$I$5+E357)*(1-$I$10)+$I$6-$I$11)-('Data Schema'!$C$3*(1+B357)^4-'Data Schema'!$C$3*(1+B357)^3)*$I$12)/(1+C357)^4+(('Data Schema'!$C$3*(1+B357)^5)*((1-$I$4-$I$5+E357)*(1-$I$10)+$I$6-$I$11)-('Data Schema'!$C$3*(1+B357)^5-'Data Schema'!$C$3*(1+B357)^4)*$I$12)/(1+C357)^5+((('Data Schema'!$C$3*(1+B357)^5)*((1-$I$4-$I$5+E357)*(1-$I$10)+$I$6-$I$11)-('Data Schema'!$C$3*(1+B357)^5-'Data Schema'!$C$3*(1+B357)^4)*$I$12)*(1+D357)/(C357-D357))/(1+C357)^5-'Data Schema'!$C$31+'Data Schema'!$C$21)/'Data Schema'!$B$17,0),"INVALID")</f>
        <v>23.580714456937987</v>
      </c>
      <c r="H357" s="189" t="b">
        <f t="shared" ca="1" si="34"/>
        <v>1</v>
      </c>
      <c r="I357" s="188">
        <f t="shared" ca="1" si="35"/>
        <v>23.580714456937987</v>
      </c>
      <c r="J357" s="349" t="str">
        <f t="shared" ca="1" si="28"/>
        <v/>
      </c>
    </row>
    <row r="358" spans="1:10">
      <c r="A358" s="191">
        <v>179</v>
      </c>
      <c r="B358" s="190">
        <f t="shared" ca="1" si="29"/>
        <v>6.9488516068123021E-2</v>
      </c>
      <c r="C358" s="190">
        <f t="shared" ca="1" si="30"/>
        <v>4.9428120926780263E-2</v>
      </c>
      <c r="D358" s="190">
        <f t="shared" ca="1" si="31"/>
        <v>2.1524656519848501E-2</v>
      </c>
      <c r="E358" s="190">
        <f t="shared" ca="1" si="32"/>
        <v>1.0258135365767399E-2</v>
      </c>
      <c r="F358" s="189" t="b">
        <f t="shared" ca="1" si="33"/>
        <v>1</v>
      </c>
      <c r="G358" s="188">
        <f ca="1">IF(F358,IFERROR(((('Data Schema'!$C$3*(1+B358)^1)*((1-$I$4-$I$5+E358)*(1-$I$10)+$I$6-$I$11)-('Data Schema'!$C$3*(1+B358)^1-'Data Schema'!$C$3)*$I$12)/(1+C358)^1+(('Data Schema'!$C$3*(1+B358)^2)*((1-$I$4-$I$5+E358)*(1-$I$10)+$I$6-$I$11)-('Data Schema'!$C$3*(1+B358)^2-'Data Schema'!$C$3*(1+B358)^1)*$I$12)/(1+C358)^2+(('Data Schema'!$C$3*(1+B358)^3)*((1-$I$4-$I$5+E358)*(1-$I$10)+$I$6-$I$11)-('Data Schema'!$C$3*(1+B358)^3-'Data Schema'!$C$3*(1+B358)^2)*$I$12)/(1+C358)^3+(('Data Schema'!$C$3*(1+B358)^4)*((1-$I$4-$I$5+E358)*(1-$I$10)+$I$6-$I$11)-('Data Schema'!$C$3*(1+B358)^4-'Data Schema'!$C$3*(1+B358)^3)*$I$12)/(1+C358)^4+(('Data Schema'!$C$3*(1+B358)^5)*((1-$I$4-$I$5+E358)*(1-$I$10)+$I$6-$I$11)-('Data Schema'!$C$3*(1+B358)^5-'Data Schema'!$C$3*(1+B358)^4)*$I$12)/(1+C358)^5+((('Data Schema'!$C$3*(1+B358)^5)*((1-$I$4-$I$5+E358)*(1-$I$10)+$I$6-$I$11)-('Data Schema'!$C$3*(1+B358)^5-'Data Schema'!$C$3*(1+B358)^4)*$I$12)*(1+D358)/(C358-D358))/(1+C358)^5-'Data Schema'!$C$31+'Data Schema'!$C$21)/'Data Schema'!$B$17,0),"INVALID")</f>
        <v>129.17948062387697</v>
      </c>
      <c r="H358" s="189" t="b">
        <f t="shared" ca="1" si="34"/>
        <v>1</v>
      </c>
      <c r="I358" s="188">
        <f t="shared" ca="1" si="35"/>
        <v>129.17948062387697</v>
      </c>
      <c r="J358" s="349">
        <f t="shared" ca="1" si="28"/>
        <v>129.17948062387697</v>
      </c>
    </row>
    <row r="359" spans="1:10">
      <c r="A359" s="187">
        <v>180</v>
      </c>
      <c r="B359" s="190">
        <f t="shared" ca="1" si="29"/>
        <v>0.12828287266577157</v>
      </c>
      <c r="C359" s="190">
        <f t="shared" ca="1" si="30"/>
        <v>6.5517392863877158E-2</v>
      </c>
      <c r="D359" s="190">
        <f t="shared" ca="1" si="31"/>
        <v>2.603395764573993E-2</v>
      </c>
      <c r="E359" s="190">
        <f t="shared" ca="1" si="32"/>
        <v>-6.0505045442689392E-2</v>
      </c>
      <c r="F359" s="189" t="b">
        <f t="shared" ca="1" si="33"/>
        <v>1</v>
      </c>
      <c r="G359" s="188">
        <f ca="1">IF(F359,IFERROR(((('Data Schema'!$C$3*(1+B359)^1)*((1-$I$4-$I$5+E359)*(1-$I$10)+$I$6-$I$11)-('Data Schema'!$C$3*(1+B359)^1-'Data Schema'!$C$3)*$I$12)/(1+C359)^1+(('Data Schema'!$C$3*(1+B359)^2)*((1-$I$4-$I$5+E359)*(1-$I$10)+$I$6-$I$11)-('Data Schema'!$C$3*(1+B359)^2-'Data Schema'!$C$3*(1+B359)^1)*$I$12)/(1+C359)^2+(('Data Schema'!$C$3*(1+B359)^3)*((1-$I$4-$I$5+E359)*(1-$I$10)+$I$6-$I$11)-('Data Schema'!$C$3*(1+B359)^3-'Data Schema'!$C$3*(1+B359)^2)*$I$12)/(1+C359)^3+(('Data Schema'!$C$3*(1+B359)^4)*((1-$I$4-$I$5+E359)*(1-$I$10)+$I$6-$I$11)-('Data Schema'!$C$3*(1+B359)^4-'Data Schema'!$C$3*(1+B359)^3)*$I$12)/(1+C359)^4+(('Data Schema'!$C$3*(1+B359)^5)*((1-$I$4-$I$5+E359)*(1-$I$10)+$I$6-$I$11)-('Data Schema'!$C$3*(1+B359)^5-'Data Schema'!$C$3*(1+B359)^4)*$I$12)/(1+C359)^5+((('Data Schema'!$C$3*(1+B359)^5)*((1-$I$4-$I$5+E359)*(1-$I$10)+$I$6-$I$11)-('Data Schema'!$C$3*(1+B359)^5-'Data Schema'!$C$3*(1+B359)^4)*$I$12)*(1+D359)/(C359-D359))/(1+C359)^5-'Data Schema'!$C$31+'Data Schema'!$C$21)/'Data Schema'!$B$17,0),"INVALID")</f>
        <v>-80.582172136807301</v>
      </c>
      <c r="H359" s="189" t="b">
        <f t="shared" ca="1" si="34"/>
        <v>0</v>
      </c>
      <c r="I359" s="188" t="str">
        <f t="shared" ca="1" si="35"/>
        <v/>
      </c>
      <c r="J359" s="349" t="str">
        <f t="shared" ca="1" si="28"/>
        <v/>
      </c>
    </row>
    <row r="360" spans="1:10">
      <c r="A360" s="191">
        <v>181</v>
      </c>
      <c r="B360" s="190">
        <f t="shared" ca="1" si="29"/>
        <v>9.5652152061979412E-2</v>
      </c>
      <c r="C360" s="190">
        <f t="shared" ca="1" si="30"/>
        <v>5.9226299804028201E-2</v>
      </c>
      <c r="D360" s="190">
        <f t="shared" ca="1" si="31"/>
        <v>1.9739900600035505E-2</v>
      </c>
      <c r="E360" s="190">
        <f t="shared" ca="1" si="32"/>
        <v>1.0546279688137322E-2</v>
      </c>
      <c r="F360" s="189" t="b">
        <f t="shared" ca="1" si="33"/>
        <v>1</v>
      </c>
      <c r="G360" s="188">
        <f ca="1">IF(F360,IFERROR(((('Data Schema'!$C$3*(1+B360)^1)*((1-$I$4-$I$5+E360)*(1-$I$10)+$I$6-$I$11)-('Data Schema'!$C$3*(1+B360)^1-'Data Schema'!$C$3)*$I$12)/(1+C360)^1+(('Data Schema'!$C$3*(1+B360)^2)*((1-$I$4-$I$5+E360)*(1-$I$10)+$I$6-$I$11)-('Data Schema'!$C$3*(1+B360)^2-'Data Schema'!$C$3*(1+B360)^1)*$I$12)/(1+C360)^2+(('Data Schema'!$C$3*(1+B360)^3)*((1-$I$4-$I$5+E360)*(1-$I$10)+$I$6-$I$11)-('Data Schema'!$C$3*(1+B360)^3-'Data Schema'!$C$3*(1+B360)^2)*$I$12)/(1+C360)^3+(('Data Schema'!$C$3*(1+B360)^4)*((1-$I$4-$I$5+E360)*(1-$I$10)+$I$6-$I$11)-('Data Schema'!$C$3*(1+B360)^4-'Data Schema'!$C$3*(1+B360)^3)*$I$12)/(1+C360)^4+(('Data Schema'!$C$3*(1+B360)^5)*((1-$I$4-$I$5+E360)*(1-$I$10)+$I$6-$I$11)-('Data Schema'!$C$3*(1+B360)^5-'Data Schema'!$C$3*(1+B360)^4)*$I$12)/(1+C360)^5+((('Data Schema'!$C$3*(1+B360)^5)*((1-$I$4-$I$5+E360)*(1-$I$10)+$I$6-$I$11)-('Data Schema'!$C$3*(1+B360)^5-'Data Schema'!$C$3*(1+B360)^4)*$I$12)*(1+D360)/(C360-D360))/(1+C360)^5-'Data Schema'!$C$31+'Data Schema'!$C$21)/'Data Schema'!$B$17,0),"INVALID")</f>
        <v>100.27336060302001</v>
      </c>
      <c r="H360" s="189" t="b">
        <f t="shared" ca="1" si="34"/>
        <v>1</v>
      </c>
      <c r="I360" s="188">
        <f t="shared" ca="1" si="35"/>
        <v>100.27336060302001</v>
      </c>
      <c r="J360" s="349">
        <f t="shared" ca="1" si="28"/>
        <v>100.27336060302001</v>
      </c>
    </row>
    <row r="361" spans="1:10">
      <c r="A361" s="187">
        <v>182</v>
      </c>
      <c r="B361" s="190">
        <f t="shared" ca="1" si="29"/>
        <v>9.6680577218493588E-2</v>
      </c>
      <c r="C361" s="190">
        <f t="shared" ca="1" si="30"/>
        <v>5.7509008303632543E-2</v>
      </c>
      <c r="D361" s="190">
        <f t="shared" ca="1" si="31"/>
        <v>2.0037153346586421E-2</v>
      </c>
      <c r="E361" s="190">
        <f t="shared" ca="1" si="32"/>
        <v>2.6308555902454858E-2</v>
      </c>
      <c r="F361" s="189" t="b">
        <f t="shared" ca="1" si="33"/>
        <v>1</v>
      </c>
      <c r="G361" s="188">
        <f ca="1">IF(F361,IFERROR(((('Data Schema'!$C$3*(1+B361)^1)*((1-$I$4-$I$5+E361)*(1-$I$10)+$I$6-$I$11)-('Data Schema'!$C$3*(1+B361)^1-'Data Schema'!$C$3)*$I$12)/(1+C361)^1+(('Data Schema'!$C$3*(1+B361)^2)*((1-$I$4-$I$5+E361)*(1-$I$10)+$I$6-$I$11)-('Data Schema'!$C$3*(1+B361)^2-'Data Schema'!$C$3*(1+B361)^1)*$I$12)/(1+C361)^2+(('Data Schema'!$C$3*(1+B361)^3)*((1-$I$4-$I$5+E361)*(1-$I$10)+$I$6-$I$11)-('Data Schema'!$C$3*(1+B361)^3-'Data Schema'!$C$3*(1+B361)^2)*$I$12)/(1+C361)^3+(('Data Schema'!$C$3*(1+B361)^4)*((1-$I$4-$I$5+E361)*(1-$I$10)+$I$6-$I$11)-('Data Schema'!$C$3*(1+B361)^4-'Data Schema'!$C$3*(1+B361)^3)*$I$12)/(1+C361)^4+(('Data Schema'!$C$3*(1+B361)^5)*((1-$I$4-$I$5+E361)*(1-$I$10)+$I$6-$I$11)-('Data Schema'!$C$3*(1+B361)^5-'Data Schema'!$C$3*(1+B361)^4)*$I$12)/(1+C361)^5+((('Data Schema'!$C$3*(1+B361)^5)*((1-$I$4-$I$5+E361)*(1-$I$10)+$I$6-$I$11)-('Data Schema'!$C$3*(1+B361)^5-'Data Schema'!$C$3*(1+B361)^4)*$I$12)*(1+D361)/(C361-D361))/(1+C361)^5-'Data Schema'!$C$31+'Data Schema'!$C$21)/'Data Schema'!$B$17,0),"INVALID")</f>
        <v>146.67363854024845</v>
      </c>
      <c r="H361" s="189" t="b">
        <f t="shared" ca="1" si="34"/>
        <v>1</v>
      </c>
      <c r="I361" s="188">
        <f t="shared" ca="1" si="35"/>
        <v>146.67363854024845</v>
      </c>
      <c r="J361" s="349">
        <f t="shared" ca="1" si="28"/>
        <v>146.67363854024845</v>
      </c>
    </row>
    <row r="362" spans="1:10">
      <c r="A362" s="191">
        <v>183</v>
      </c>
      <c r="B362" s="190">
        <f t="shared" ca="1" si="29"/>
        <v>8.3685692483973742E-2</v>
      </c>
      <c r="C362" s="190">
        <f t="shared" ca="1" si="30"/>
        <v>5.3649210474458489E-2</v>
      </c>
      <c r="D362" s="190">
        <f t="shared" ca="1" si="31"/>
        <v>3.1960092475236491E-2</v>
      </c>
      <c r="E362" s="190">
        <f t="shared" ca="1" si="32"/>
        <v>-1.0171422527319334E-3</v>
      </c>
      <c r="F362" s="189" t="b">
        <f t="shared" ca="1" si="33"/>
        <v>1</v>
      </c>
      <c r="G362" s="188">
        <f ca="1">IF(F362,IFERROR(((('Data Schema'!$C$3*(1+B362)^1)*((1-$I$4-$I$5+E362)*(1-$I$10)+$I$6-$I$11)-('Data Schema'!$C$3*(1+B362)^1-'Data Schema'!$C$3)*$I$12)/(1+C362)^1+(('Data Schema'!$C$3*(1+B362)^2)*((1-$I$4-$I$5+E362)*(1-$I$10)+$I$6-$I$11)-('Data Schema'!$C$3*(1+B362)^2-'Data Schema'!$C$3*(1+B362)^1)*$I$12)/(1+C362)^2+(('Data Schema'!$C$3*(1+B362)^3)*((1-$I$4-$I$5+E362)*(1-$I$10)+$I$6-$I$11)-('Data Schema'!$C$3*(1+B362)^3-'Data Schema'!$C$3*(1+B362)^2)*$I$12)/(1+C362)^3+(('Data Schema'!$C$3*(1+B362)^4)*((1-$I$4-$I$5+E362)*(1-$I$10)+$I$6-$I$11)-('Data Schema'!$C$3*(1+B362)^4-'Data Schema'!$C$3*(1+B362)^3)*$I$12)/(1+C362)^4+(('Data Schema'!$C$3*(1+B362)^5)*((1-$I$4-$I$5+E362)*(1-$I$10)+$I$6-$I$11)-('Data Schema'!$C$3*(1+B362)^5-'Data Schema'!$C$3*(1+B362)^4)*$I$12)/(1+C362)^5+((('Data Schema'!$C$3*(1+B362)^5)*((1-$I$4-$I$5+E362)*(1-$I$10)+$I$6-$I$11)-('Data Schema'!$C$3*(1+B362)^5-'Data Schema'!$C$3*(1+B362)^4)*$I$12)*(1+D362)/(C362-D362))/(1+C362)^5-'Data Schema'!$C$31+'Data Schema'!$C$21)/'Data Schema'!$B$17,0),"INVALID")</f>
        <v>126.47007292732569</v>
      </c>
      <c r="H362" s="189" t="b">
        <f t="shared" ca="1" si="34"/>
        <v>1</v>
      </c>
      <c r="I362" s="188">
        <f t="shared" ca="1" si="35"/>
        <v>126.47007292732569</v>
      </c>
      <c r="J362" s="349">
        <f t="shared" ca="1" si="28"/>
        <v>126.47007292732569</v>
      </c>
    </row>
    <row r="363" spans="1:10">
      <c r="A363" s="187">
        <v>184</v>
      </c>
      <c r="B363" s="190">
        <f t="shared" ca="1" si="29"/>
        <v>0.12652316984225331</v>
      </c>
      <c r="C363" s="190">
        <f t="shared" ca="1" si="30"/>
        <v>6.4696775713448479E-2</v>
      </c>
      <c r="D363" s="190">
        <f t="shared" ca="1" si="31"/>
        <v>2.4832857985929758E-2</v>
      </c>
      <c r="E363" s="190">
        <f t="shared" ca="1" si="32"/>
        <v>-1.2217228542303568E-2</v>
      </c>
      <c r="F363" s="189" t="b">
        <f t="shared" ca="1" si="33"/>
        <v>1</v>
      </c>
      <c r="G363" s="188">
        <f ca="1">IF(F363,IFERROR(((('Data Schema'!$C$3*(1+B363)^1)*((1-$I$4-$I$5+E363)*(1-$I$10)+$I$6-$I$11)-('Data Schema'!$C$3*(1+B363)^1-'Data Schema'!$C$3)*$I$12)/(1+C363)^1+(('Data Schema'!$C$3*(1+B363)^2)*((1-$I$4-$I$5+E363)*(1-$I$10)+$I$6-$I$11)-('Data Schema'!$C$3*(1+B363)^2-'Data Schema'!$C$3*(1+B363)^1)*$I$12)/(1+C363)^2+(('Data Schema'!$C$3*(1+B363)^3)*((1-$I$4-$I$5+E363)*(1-$I$10)+$I$6-$I$11)-('Data Schema'!$C$3*(1+B363)^3-'Data Schema'!$C$3*(1+B363)^2)*$I$12)/(1+C363)^3+(('Data Schema'!$C$3*(1+B363)^4)*((1-$I$4-$I$5+E363)*(1-$I$10)+$I$6-$I$11)-('Data Schema'!$C$3*(1+B363)^4-'Data Schema'!$C$3*(1+B363)^3)*$I$12)/(1+C363)^4+(('Data Schema'!$C$3*(1+B363)^5)*((1-$I$4-$I$5+E363)*(1-$I$10)+$I$6-$I$11)-('Data Schema'!$C$3*(1+B363)^5-'Data Schema'!$C$3*(1+B363)^4)*$I$12)/(1+C363)^5+((('Data Schema'!$C$3*(1+B363)^5)*((1-$I$4-$I$5+E363)*(1-$I$10)+$I$6-$I$11)-('Data Schema'!$C$3*(1+B363)^5-'Data Schema'!$C$3*(1+B363)^4)*$I$12)*(1+D363)/(C363-D363))/(1+C363)^5-'Data Schema'!$C$31+'Data Schema'!$C$21)/'Data Schema'!$B$17,0),"INVALID")</f>
        <v>49.35007084662778</v>
      </c>
      <c r="H363" s="189" t="b">
        <f t="shared" ca="1" si="34"/>
        <v>1</v>
      </c>
      <c r="I363" s="188">
        <f t="shared" ca="1" si="35"/>
        <v>49.35007084662778</v>
      </c>
      <c r="J363" s="349">
        <f t="shared" ca="1" si="28"/>
        <v>49.35007084662778</v>
      </c>
    </row>
    <row r="364" spans="1:10">
      <c r="A364" s="191">
        <v>185</v>
      </c>
      <c r="B364" s="190">
        <f t="shared" ca="1" si="29"/>
        <v>9.9687977223856472E-2</v>
      </c>
      <c r="C364" s="190">
        <f t="shared" ca="1" si="30"/>
        <v>4.4202635915553429E-2</v>
      </c>
      <c r="D364" s="190">
        <f t="shared" ca="1" si="31"/>
        <v>2.770560922782769E-2</v>
      </c>
      <c r="E364" s="190">
        <f t="shared" ca="1" si="32"/>
        <v>2.7608113122543497E-3</v>
      </c>
      <c r="F364" s="189" t="b">
        <f t="shared" ca="1" si="33"/>
        <v>1</v>
      </c>
      <c r="G364" s="188">
        <f ca="1">IF(F364,IFERROR(((('Data Schema'!$C$3*(1+B364)^1)*((1-$I$4-$I$5+E364)*(1-$I$10)+$I$6-$I$11)-('Data Schema'!$C$3*(1+B364)^1-'Data Schema'!$C$3)*$I$12)/(1+C364)^1+(('Data Schema'!$C$3*(1+B364)^2)*((1-$I$4-$I$5+E364)*(1-$I$10)+$I$6-$I$11)-('Data Schema'!$C$3*(1+B364)^2-'Data Schema'!$C$3*(1+B364)^1)*$I$12)/(1+C364)^2+(('Data Schema'!$C$3*(1+B364)^3)*((1-$I$4-$I$5+E364)*(1-$I$10)+$I$6-$I$11)-('Data Schema'!$C$3*(1+B364)^3-'Data Schema'!$C$3*(1+B364)^2)*$I$12)/(1+C364)^3+(('Data Schema'!$C$3*(1+B364)^4)*((1-$I$4-$I$5+E364)*(1-$I$10)+$I$6-$I$11)-('Data Schema'!$C$3*(1+B364)^4-'Data Schema'!$C$3*(1+B364)^3)*$I$12)/(1+C364)^4+(('Data Schema'!$C$3*(1+B364)^5)*((1-$I$4-$I$5+E364)*(1-$I$10)+$I$6-$I$11)-('Data Schema'!$C$3*(1+B364)^5-'Data Schema'!$C$3*(1+B364)^4)*$I$12)/(1+C364)^5+((('Data Schema'!$C$3*(1+B364)^5)*((1-$I$4-$I$5+E364)*(1-$I$10)+$I$6-$I$11)-('Data Schema'!$C$3*(1+B364)^5-'Data Schema'!$C$3*(1+B364)^4)*$I$12)*(1+D364)/(C364-D364))/(1+C364)^5-'Data Schema'!$C$31+'Data Schema'!$C$21)/'Data Schema'!$B$17,0),"INVALID")</f>
        <v>204.64705909468103</v>
      </c>
      <c r="H364" s="189" t="b">
        <f t="shared" ca="1" si="34"/>
        <v>1</v>
      </c>
      <c r="I364" s="188">
        <f t="shared" ca="1" si="35"/>
        <v>204.64705909468103</v>
      </c>
      <c r="J364" s="349">
        <f t="shared" ca="1" si="28"/>
        <v>204.64705909468103</v>
      </c>
    </row>
    <row r="365" spans="1:10">
      <c r="A365" s="187">
        <v>186</v>
      </c>
      <c r="B365" s="190">
        <f t="shared" ca="1" si="29"/>
        <v>7.3142063410926203E-2</v>
      </c>
      <c r="C365" s="190">
        <f t="shared" ca="1" si="30"/>
        <v>7.0472408087172617E-2</v>
      </c>
      <c r="D365" s="190">
        <f t="shared" ca="1" si="31"/>
        <v>1.6585821962191567E-2</v>
      </c>
      <c r="E365" s="190">
        <f t="shared" ca="1" si="32"/>
        <v>3.009729801715302E-2</v>
      </c>
      <c r="F365" s="189" t="b">
        <f t="shared" ca="1" si="33"/>
        <v>1</v>
      </c>
      <c r="G365" s="188">
        <f ca="1">IF(F365,IFERROR(((('Data Schema'!$C$3*(1+B365)^1)*((1-$I$4-$I$5+E365)*(1-$I$10)+$I$6-$I$11)-('Data Schema'!$C$3*(1+B365)^1-'Data Schema'!$C$3)*$I$12)/(1+C365)^1+(('Data Schema'!$C$3*(1+B365)^2)*((1-$I$4-$I$5+E365)*(1-$I$10)+$I$6-$I$11)-('Data Schema'!$C$3*(1+B365)^2-'Data Schema'!$C$3*(1+B365)^1)*$I$12)/(1+C365)^2+(('Data Schema'!$C$3*(1+B365)^3)*((1-$I$4-$I$5+E365)*(1-$I$10)+$I$6-$I$11)-('Data Schema'!$C$3*(1+B365)^3-'Data Schema'!$C$3*(1+B365)^2)*$I$12)/(1+C365)^3+(('Data Schema'!$C$3*(1+B365)^4)*((1-$I$4-$I$5+E365)*(1-$I$10)+$I$6-$I$11)-('Data Schema'!$C$3*(1+B365)^4-'Data Schema'!$C$3*(1+B365)^3)*$I$12)/(1+C365)^4+(('Data Schema'!$C$3*(1+B365)^5)*((1-$I$4-$I$5+E365)*(1-$I$10)+$I$6-$I$11)-('Data Schema'!$C$3*(1+B365)^5-'Data Schema'!$C$3*(1+B365)^4)*$I$12)/(1+C365)^5+((('Data Schema'!$C$3*(1+B365)^5)*((1-$I$4-$I$5+E365)*(1-$I$10)+$I$6-$I$11)-('Data Schema'!$C$3*(1+B365)^5-'Data Schema'!$C$3*(1+B365)^4)*$I$12)*(1+D365)/(C365-D365))/(1+C365)^5-'Data Schema'!$C$31+'Data Schema'!$C$21)/'Data Schema'!$B$17,0),"INVALID")</f>
        <v>96.968116165510267</v>
      </c>
      <c r="H365" s="189" t="b">
        <f t="shared" ca="1" si="34"/>
        <v>1</v>
      </c>
      <c r="I365" s="188">
        <f t="shared" ca="1" si="35"/>
        <v>96.968116165510267</v>
      </c>
      <c r="J365" s="349">
        <f t="shared" ca="1" si="28"/>
        <v>96.968116165510267</v>
      </c>
    </row>
    <row r="366" spans="1:10">
      <c r="A366" s="191">
        <v>187</v>
      </c>
      <c r="B366" s="190">
        <f t="shared" ca="1" si="29"/>
        <v>4.6216172764545538E-2</v>
      </c>
      <c r="C366" s="190">
        <f t="shared" ca="1" si="30"/>
        <v>6.881656251714624E-2</v>
      </c>
      <c r="D366" s="190">
        <f t="shared" ca="1" si="31"/>
        <v>2.9114857924539106E-2</v>
      </c>
      <c r="E366" s="190">
        <f t="shared" ca="1" si="32"/>
        <v>-3.566976079486138E-2</v>
      </c>
      <c r="F366" s="189" t="b">
        <f t="shared" ca="1" si="33"/>
        <v>1</v>
      </c>
      <c r="G366" s="188">
        <f ca="1">IF(F366,IFERROR(((('Data Schema'!$C$3*(1+B366)^1)*((1-$I$4-$I$5+E366)*(1-$I$10)+$I$6-$I$11)-('Data Schema'!$C$3*(1+B366)^1-'Data Schema'!$C$3)*$I$12)/(1+C366)^1+(('Data Schema'!$C$3*(1+B366)^2)*((1-$I$4-$I$5+E366)*(1-$I$10)+$I$6-$I$11)-('Data Schema'!$C$3*(1+B366)^2-'Data Schema'!$C$3*(1+B366)^1)*$I$12)/(1+C366)^2+(('Data Schema'!$C$3*(1+B366)^3)*((1-$I$4-$I$5+E366)*(1-$I$10)+$I$6-$I$11)-('Data Schema'!$C$3*(1+B366)^3-'Data Schema'!$C$3*(1+B366)^2)*$I$12)/(1+C366)^3+(('Data Schema'!$C$3*(1+B366)^4)*((1-$I$4-$I$5+E366)*(1-$I$10)+$I$6-$I$11)-('Data Schema'!$C$3*(1+B366)^4-'Data Schema'!$C$3*(1+B366)^3)*$I$12)/(1+C366)^4+(('Data Schema'!$C$3*(1+B366)^5)*((1-$I$4-$I$5+E366)*(1-$I$10)+$I$6-$I$11)-('Data Schema'!$C$3*(1+B366)^5-'Data Schema'!$C$3*(1+B366)^4)*$I$12)/(1+C366)^5+((('Data Schema'!$C$3*(1+B366)^5)*((1-$I$4-$I$5+E366)*(1-$I$10)+$I$6-$I$11)-('Data Schema'!$C$3*(1+B366)^5-'Data Schema'!$C$3*(1+B366)^4)*$I$12)*(1+D366)/(C366-D366))/(1+C366)^5-'Data Schema'!$C$31+'Data Schema'!$C$21)/'Data Schema'!$B$17,0),"INVALID")</f>
        <v>-7.9865610311800772</v>
      </c>
      <c r="H366" s="189" t="b">
        <f t="shared" ca="1" si="34"/>
        <v>0</v>
      </c>
      <c r="I366" s="188" t="str">
        <f t="shared" ca="1" si="35"/>
        <v/>
      </c>
      <c r="J366" s="349" t="str">
        <f t="shared" ca="1" si="28"/>
        <v/>
      </c>
    </row>
    <row r="367" spans="1:10">
      <c r="A367" s="187">
        <v>188</v>
      </c>
      <c r="B367" s="190">
        <f t="shared" ca="1" si="29"/>
        <v>0.10669982852696552</v>
      </c>
      <c r="C367" s="190">
        <f t="shared" ca="1" si="30"/>
        <v>6.7704524035059208E-2</v>
      </c>
      <c r="D367" s="190">
        <f t="shared" ca="1" si="31"/>
        <v>2.3628986416788528E-2</v>
      </c>
      <c r="E367" s="190">
        <f t="shared" ca="1" si="32"/>
        <v>-1.2998014551395699E-2</v>
      </c>
      <c r="F367" s="189" t="b">
        <f t="shared" ca="1" si="33"/>
        <v>1</v>
      </c>
      <c r="G367" s="188">
        <f ca="1">IF(F367,IFERROR(((('Data Schema'!$C$3*(1+B367)^1)*((1-$I$4-$I$5+E367)*(1-$I$10)+$I$6-$I$11)-('Data Schema'!$C$3*(1+B367)^1-'Data Schema'!$C$3)*$I$12)/(1+C367)^1+(('Data Schema'!$C$3*(1+B367)^2)*((1-$I$4-$I$5+E367)*(1-$I$10)+$I$6-$I$11)-('Data Schema'!$C$3*(1+B367)^2-'Data Schema'!$C$3*(1+B367)^1)*$I$12)/(1+C367)^2+(('Data Schema'!$C$3*(1+B367)^3)*((1-$I$4-$I$5+E367)*(1-$I$10)+$I$6-$I$11)-('Data Schema'!$C$3*(1+B367)^3-'Data Schema'!$C$3*(1+B367)^2)*$I$12)/(1+C367)^3+(('Data Schema'!$C$3*(1+B367)^4)*((1-$I$4-$I$5+E367)*(1-$I$10)+$I$6-$I$11)-('Data Schema'!$C$3*(1+B367)^4-'Data Schema'!$C$3*(1+B367)^3)*$I$12)/(1+C367)^4+(('Data Schema'!$C$3*(1+B367)^5)*((1-$I$4-$I$5+E367)*(1-$I$10)+$I$6-$I$11)-('Data Schema'!$C$3*(1+B367)^5-'Data Schema'!$C$3*(1+B367)^4)*$I$12)/(1+C367)^5+((('Data Schema'!$C$3*(1+B367)^5)*((1-$I$4-$I$5+E367)*(1-$I$10)+$I$6-$I$11)-('Data Schema'!$C$3*(1+B367)^5-'Data Schema'!$C$3*(1+B367)^4)*$I$12)*(1+D367)/(C367-D367))/(1+C367)^5-'Data Schema'!$C$31+'Data Schema'!$C$21)/'Data Schema'!$B$17,0),"INVALID")</f>
        <v>39.162268690240658</v>
      </c>
      <c r="H367" s="189" t="b">
        <f t="shared" ca="1" si="34"/>
        <v>1</v>
      </c>
      <c r="I367" s="188">
        <f t="shared" ca="1" si="35"/>
        <v>39.162268690240658</v>
      </c>
      <c r="J367" s="349">
        <f t="shared" ca="1" si="28"/>
        <v>39.162268690240658</v>
      </c>
    </row>
    <row r="368" spans="1:10">
      <c r="A368" s="191">
        <v>189</v>
      </c>
      <c r="B368" s="190">
        <f t="shared" ca="1" si="29"/>
        <v>0.12989539339711201</v>
      </c>
      <c r="C368" s="190">
        <f t="shared" ca="1" si="30"/>
        <v>6.8688463590730289E-2</v>
      </c>
      <c r="D368" s="190">
        <f t="shared" ca="1" si="31"/>
        <v>2.0470107315314498E-2</v>
      </c>
      <c r="E368" s="190">
        <f t="shared" ca="1" si="32"/>
        <v>-1.7800779496803754E-2</v>
      </c>
      <c r="F368" s="189" t="b">
        <f t="shared" ca="1" si="33"/>
        <v>1</v>
      </c>
      <c r="G368" s="188">
        <f ca="1">IF(F368,IFERROR(((('Data Schema'!$C$3*(1+B368)^1)*((1-$I$4-$I$5+E368)*(1-$I$10)+$I$6-$I$11)-('Data Schema'!$C$3*(1+B368)^1-'Data Schema'!$C$3)*$I$12)/(1+C368)^1+(('Data Schema'!$C$3*(1+B368)^2)*((1-$I$4-$I$5+E368)*(1-$I$10)+$I$6-$I$11)-('Data Schema'!$C$3*(1+B368)^2-'Data Schema'!$C$3*(1+B368)^1)*$I$12)/(1+C368)^2+(('Data Schema'!$C$3*(1+B368)^3)*((1-$I$4-$I$5+E368)*(1-$I$10)+$I$6-$I$11)-('Data Schema'!$C$3*(1+B368)^3-'Data Schema'!$C$3*(1+B368)^2)*$I$12)/(1+C368)^3+(('Data Schema'!$C$3*(1+B368)^4)*((1-$I$4-$I$5+E368)*(1-$I$10)+$I$6-$I$11)-('Data Schema'!$C$3*(1+B368)^4-'Data Schema'!$C$3*(1+B368)^3)*$I$12)/(1+C368)^4+(('Data Schema'!$C$3*(1+B368)^5)*((1-$I$4-$I$5+E368)*(1-$I$10)+$I$6-$I$11)-('Data Schema'!$C$3*(1+B368)^5-'Data Schema'!$C$3*(1+B368)^4)*$I$12)/(1+C368)^5+((('Data Schema'!$C$3*(1+B368)^5)*((1-$I$4-$I$5+E368)*(1-$I$10)+$I$6-$I$11)-('Data Schema'!$C$3*(1+B368)^5-'Data Schema'!$C$3*(1+B368)^4)*$I$12)*(1+D368)/(C368-D368))/(1+C368)^5-'Data Schema'!$C$31+'Data Schema'!$C$21)/'Data Schema'!$B$17,0),"INVALID")</f>
        <v>27.919505062756439</v>
      </c>
      <c r="H368" s="189" t="b">
        <f t="shared" ca="1" si="34"/>
        <v>1</v>
      </c>
      <c r="I368" s="188">
        <f t="shared" ca="1" si="35"/>
        <v>27.919505062756439</v>
      </c>
      <c r="J368" s="349">
        <f t="shared" ca="1" si="28"/>
        <v>27.919505062756439</v>
      </c>
    </row>
    <row r="369" spans="1:10">
      <c r="A369" s="187">
        <v>190</v>
      </c>
      <c r="B369" s="190">
        <f t="shared" ca="1" si="29"/>
        <v>8.6977989162318123E-2</v>
      </c>
      <c r="C369" s="190">
        <f t="shared" ca="1" si="30"/>
        <v>6.1842170243504677E-2</v>
      </c>
      <c r="D369" s="190">
        <f t="shared" ca="1" si="31"/>
        <v>2.1350738414261675E-2</v>
      </c>
      <c r="E369" s="190">
        <f t="shared" ca="1" si="32"/>
        <v>-8.5335733178084437E-3</v>
      </c>
      <c r="F369" s="189" t="b">
        <f t="shared" ca="1" si="33"/>
        <v>1</v>
      </c>
      <c r="G369" s="188">
        <f ca="1">IF(F369,IFERROR(((('Data Schema'!$C$3*(1+B369)^1)*((1-$I$4-$I$5+E369)*(1-$I$10)+$I$6-$I$11)-('Data Schema'!$C$3*(1+B369)^1-'Data Schema'!$C$3)*$I$12)/(1+C369)^1+(('Data Schema'!$C$3*(1+B369)^2)*((1-$I$4-$I$5+E369)*(1-$I$10)+$I$6-$I$11)-('Data Schema'!$C$3*(1+B369)^2-'Data Schema'!$C$3*(1+B369)^1)*$I$12)/(1+C369)^2+(('Data Schema'!$C$3*(1+B369)^3)*((1-$I$4-$I$5+E369)*(1-$I$10)+$I$6-$I$11)-('Data Schema'!$C$3*(1+B369)^3-'Data Schema'!$C$3*(1+B369)^2)*$I$12)/(1+C369)^3+(('Data Schema'!$C$3*(1+B369)^4)*((1-$I$4-$I$5+E369)*(1-$I$10)+$I$6-$I$11)-('Data Schema'!$C$3*(1+B369)^4-'Data Schema'!$C$3*(1+B369)^3)*$I$12)/(1+C369)^4+(('Data Schema'!$C$3*(1+B369)^5)*((1-$I$4-$I$5+E369)*(1-$I$10)+$I$6-$I$11)-('Data Schema'!$C$3*(1+B369)^5-'Data Schema'!$C$3*(1+B369)^4)*$I$12)/(1+C369)^5+((('Data Schema'!$C$3*(1+B369)^5)*((1-$I$4-$I$5+E369)*(1-$I$10)+$I$6-$I$11)-('Data Schema'!$C$3*(1+B369)^5-'Data Schema'!$C$3*(1+B369)^4)*$I$12)*(1+D369)/(C369-D369))/(1+C369)^5-'Data Schema'!$C$31+'Data Schema'!$C$21)/'Data Schema'!$B$17,0),"INVALID")</f>
        <v>50.679138558358822</v>
      </c>
      <c r="H369" s="189" t="b">
        <f t="shared" ca="1" si="34"/>
        <v>1</v>
      </c>
      <c r="I369" s="188">
        <f t="shared" ca="1" si="35"/>
        <v>50.679138558358822</v>
      </c>
      <c r="J369" s="349">
        <f t="shared" ca="1" si="28"/>
        <v>50.679138558358822</v>
      </c>
    </row>
    <row r="370" spans="1:10">
      <c r="A370" s="191">
        <v>191</v>
      </c>
      <c r="B370" s="190">
        <f t="shared" ca="1" si="29"/>
        <v>8.2866469510776822E-2</v>
      </c>
      <c r="C370" s="190">
        <f t="shared" ca="1" si="30"/>
        <v>6.4381391692645326E-2</v>
      </c>
      <c r="D370" s="190">
        <f t="shared" ca="1" si="31"/>
        <v>2.0385306590223473E-2</v>
      </c>
      <c r="E370" s="190">
        <f t="shared" ca="1" si="32"/>
        <v>-1.0072796467818401E-3</v>
      </c>
      <c r="F370" s="189" t="b">
        <f t="shared" ca="1" si="33"/>
        <v>1</v>
      </c>
      <c r="G370" s="188">
        <f ca="1">IF(F370,IFERROR(((('Data Schema'!$C$3*(1+B370)^1)*((1-$I$4-$I$5+E370)*(1-$I$10)+$I$6-$I$11)-('Data Schema'!$C$3*(1+B370)^1-'Data Schema'!$C$3)*$I$12)/(1+C370)^1+(('Data Schema'!$C$3*(1+B370)^2)*((1-$I$4-$I$5+E370)*(1-$I$10)+$I$6-$I$11)-('Data Schema'!$C$3*(1+B370)^2-'Data Schema'!$C$3*(1+B370)^1)*$I$12)/(1+C370)^2+(('Data Schema'!$C$3*(1+B370)^3)*((1-$I$4-$I$5+E370)*(1-$I$10)+$I$6-$I$11)-('Data Schema'!$C$3*(1+B370)^3-'Data Schema'!$C$3*(1+B370)^2)*$I$12)/(1+C370)^3+(('Data Schema'!$C$3*(1+B370)^4)*((1-$I$4-$I$5+E370)*(1-$I$10)+$I$6-$I$11)-('Data Schema'!$C$3*(1+B370)^4-'Data Schema'!$C$3*(1+B370)^3)*$I$12)/(1+C370)^4+(('Data Schema'!$C$3*(1+B370)^5)*((1-$I$4-$I$5+E370)*(1-$I$10)+$I$6-$I$11)-('Data Schema'!$C$3*(1+B370)^5-'Data Schema'!$C$3*(1+B370)^4)*$I$12)/(1+C370)^5+((('Data Schema'!$C$3*(1+B370)^5)*((1-$I$4-$I$5+E370)*(1-$I$10)+$I$6-$I$11)-('Data Schema'!$C$3*(1+B370)^5-'Data Schema'!$C$3*(1+B370)^4)*$I$12)*(1+D370)/(C370-D370))/(1+C370)^5-'Data Schema'!$C$31+'Data Schema'!$C$21)/'Data Schema'!$B$17,0),"INVALID")</f>
        <v>60.76119912892235</v>
      </c>
      <c r="H370" s="189" t="b">
        <f t="shared" ca="1" si="34"/>
        <v>1</v>
      </c>
      <c r="I370" s="188">
        <f t="shared" ca="1" si="35"/>
        <v>60.76119912892235</v>
      </c>
      <c r="J370" s="349">
        <f t="shared" ca="1" si="28"/>
        <v>60.76119912892235</v>
      </c>
    </row>
    <row r="371" spans="1:10">
      <c r="A371" s="187">
        <v>192</v>
      </c>
      <c r="B371" s="190">
        <f t="shared" ca="1" si="29"/>
        <v>0.11185936257469337</v>
      </c>
      <c r="C371" s="190">
        <f t="shared" ca="1" si="30"/>
        <v>5.0219957509788665E-2</v>
      </c>
      <c r="D371" s="190">
        <f t="shared" ca="1" si="31"/>
        <v>3.1609570093068251E-2</v>
      </c>
      <c r="E371" s="190">
        <f t="shared" ca="1" si="32"/>
        <v>1.6082547350696714E-2</v>
      </c>
      <c r="F371" s="189" t="b">
        <f t="shared" ca="1" si="33"/>
        <v>1</v>
      </c>
      <c r="G371" s="188">
        <f ca="1">IF(F371,IFERROR(((('Data Schema'!$C$3*(1+B371)^1)*((1-$I$4-$I$5+E371)*(1-$I$10)+$I$6-$I$11)-('Data Schema'!$C$3*(1+B371)^1-'Data Schema'!$C$3)*$I$12)/(1+C371)^1+(('Data Schema'!$C$3*(1+B371)^2)*((1-$I$4-$I$5+E371)*(1-$I$10)+$I$6-$I$11)-('Data Schema'!$C$3*(1+B371)^2-'Data Schema'!$C$3*(1+B371)^1)*$I$12)/(1+C371)^2+(('Data Schema'!$C$3*(1+B371)^3)*((1-$I$4-$I$5+E371)*(1-$I$10)+$I$6-$I$11)-('Data Schema'!$C$3*(1+B371)^3-'Data Schema'!$C$3*(1+B371)^2)*$I$12)/(1+C371)^3+(('Data Schema'!$C$3*(1+B371)^4)*((1-$I$4-$I$5+E371)*(1-$I$10)+$I$6-$I$11)-('Data Schema'!$C$3*(1+B371)^4-'Data Schema'!$C$3*(1+B371)^3)*$I$12)/(1+C371)^4+(('Data Schema'!$C$3*(1+B371)^5)*((1-$I$4-$I$5+E371)*(1-$I$10)+$I$6-$I$11)-('Data Schema'!$C$3*(1+B371)^5-'Data Schema'!$C$3*(1+B371)^4)*$I$12)/(1+C371)^5+((('Data Schema'!$C$3*(1+B371)^5)*((1-$I$4-$I$5+E371)*(1-$I$10)+$I$6-$I$11)-('Data Schema'!$C$3*(1+B371)^5-'Data Schema'!$C$3*(1+B371)^4)*$I$12)*(1+D371)/(C371-D371))/(1+C371)^5-'Data Schema'!$C$31+'Data Schema'!$C$21)/'Data Schema'!$B$17,0),"INVALID")</f>
        <v>257.17847433711455</v>
      </c>
      <c r="H371" s="189" t="b">
        <f t="shared" ca="1" si="34"/>
        <v>1</v>
      </c>
      <c r="I371" s="188">
        <f t="shared" ca="1" si="35"/>
        <v>257.17847433711455</v>
      </c>
      <c r="J371" s="349" t="str">
        <f t="shared" ca="1" si="28"/>
        <v/>
      </c>
    </row>
    <row r="372" spans="1:10">
      <c r="A372" s="191">
        <v>193</v>
      </c>
      <c r="B372" s="190">
        <f t="shared" ca="1" si="29"/>
        <v>7.5687110898981474E-2</v>
      </c>
      <c r="C372" s="190">
        <f t="shared" ca="1" si="30"/>
        <v>5.1902510358639985E-2</v>
      </c>
      <c r="D372" s="190">
        <f t="shared" ca="1" si="31"/>
        <v>2.6548297782327805E-2</v>
      </c>
      <c r="E372" s="190">
        <f t="shared" ca="1" si="32"/>
        <v>-2.2554158570387388E-2</v>
      </c>
      <c r="F372" s="189" t="b">
        <f t="shared" ca="1" si="33"/>
        <v>1</v>
      </c>
      <c r="G372" s="188">
        <f ca="1">IF(F372,IFERROR(((('Data Schema'!$C$3*(1+B372)^1)*((1-$I$4-$I$5+E372)*(1-$I$10)+$I$6-$I$11)-('Data Schema'!$C$3*(1+B372)^1-'Data Schema'!$C$3)*$I$12)/(1+C372)^1+(('Data Schema'!$C$3*(1+B372)^2)*((1-$I$4-$I$5+E372)*(1-$I$10)+$I$6-$I$11)-('Data Schema'!$C$3*(1+B372)^2-'Data Schema'!$C$3*(1+B372)^1)*$I$12)/(1+C372)^2+(('Data Schema'!$C$3*(1+B372)^3)*((1-$I$4-$I$5+E372)*(1-$I$10)+$I$6-$I$11)-('Data Schema'!$C$3*(1+B372)^3-'Data Schema'!$C$3*(1+B372)^2)*$I$12)/(1+C372)^3+(('Data Schema'!$C$3*(1+B372)^4)*((1-$I$4-$I$5+E372)*(1-$I$10)+$I$6-$I$11)-('Data Schema'!$C$3*(1+B372)^4-'Data Schema'!$C$3*(1+B372)^3)*$I$12)/(1+C372)^4+(('Data Schema'!$C$3*(1+B372)^5)*((1-$I$4-$I$5+E372)*(1-$I$10)+$I$6-$I$11)-('Data Schema'!$C$3*(1+B372)^5-'Data Schema'!$C$3*(1+B372)^4)*$I$12)/(1+C372)^5+((('Data Schema'!$C$3*(1+B372)^5)*((1-$I$4-$I$5+E372)*(1-$I$10)+$I$6-$I$11)-('Data Schema'!$C$3*(1+B372)^5-'Data Schema'!$C$3*(1+B372)^4)*$I$12)*(1+D372)/(C372-D372))/(1+C372)^5-'Data Schema'!$C$31+'Data Schema'!$C$21)/'Data Schema'!$B$17,0),"INVALID")</f>
        <v>33.152489684842841</v>
      </c>
      <c r="H372" s="189" t="b">
        <f t="shared" ca="1" si="34"/>
        <v>1</v>
      </c>
      <c r="I372" s="188">
        <f t="shared" ca="1" si="35"/>
        <v>33.152489684842841</v>
      </c>
      <c r="J372" s="349">
        <f t="shared" ref="J372:J435" ca="1" si="36">IF(AND(F372=TRUE,H372=TRUE,ISNUMBER(G372),G372&gt;=$B$153,G372&lt;=$B$154),G372,"")</f>
        <v>33.152489684842841</v>
      </c>
    </row>
    <row r="373" spans="1:10">
      <c r="A373" s="187">
        <v>194</v>
      </c>
      <c r="B373" s="190">
        <f t="shared" ref="B373:B436" ca="1" si="37">MAX($D$139,MIN($E$139,NORMINV(RAND(),$B$139,$C$139)))</f>
        <v>8.2633082110048106E-2</v>
      </c>
      <c r="C373" s="190">
        <f t="shared" ref="C373:C436" ca="1" si="38">MAX($D$140,MIN($E$140,NORMINV(RAND(),$B$140,$C$140)))</f>
        <v>6.39575175060388E-2</v>
      </c>
      <c r="D373" s="190">
        <f t="shared" ref="D373:D436" ca="1" si="39">MAX($D$141,MIN($E$141,NORMINV(RAND(),$B$141,$C$141)))</f>
        <v>2.7035006393286147E-2</v>
      </c>
      <c r="E373" s="190">
        <f t="shared" ref="E373:E436" ca="1" si="40">MAX($D$142,MIN($E$142,NORMINV(RAND(),$B$142,$C$142)))</f>
        <v>1.2662504809816144E-2</v>
      </c>
      <c r="F373" s="189" t="b">
        <f t="shared" ref="F373:F436" ca="1" si="41">C373&gt;D373+$B$144</f>
        <v>1</v>
      </c>
      <c r="G373" s="188">
        <f ca="1">IF(F373,IFERROR(((('Data Schema'!$C$3*(1+B373)^1)*((1-$I$4-$I$5+E373)*(1-$I$10)+$I$6-$I$11)-('Data Schema'!$C$3*(1+B373)^1-'Data Schema'!$C$3)*$I$12)/(1+C373)^1+(('Data Schema'!$C$3*(1+B373)^2)*((1-$I$4-$I$5+E373)*(1-$I$10)+$I$6-$I$11)-('Data Schema'!$C$3*(1+B373)^2-'Data Schema'!$C$3*(1+B373)^1)*$I$12)/(1+C373)^2+(('Data Schema'!$C$3*(1+B373)^3)*((1-$I$4-$I$5+E373)*(1-$I$10)+$I$6-$I$11)-('Data Schema'!$C$3*(1+B373)^3-'Data Schema'!$C$3*(1+B373)^2)*$I$12)/(1+C373)^3+(('Data Schema'!$C$3*(1+B373)^4)*((1-$I$4-$I$5+E373)*(1-$I$10)+$I$6-$I$11)-('Data Schema'!$C$3*(1+B373)^4-'Data Schema'!$C$3*(1+B373)^3)*$I$12)/(1+C373)^4+(('Data Schema'!$C$3*(1+B373)^5)*((1-$I$4-$I$5+E373)*(1-$I$10)+$I$6-$I$11)-('Data Schema'!$C$3*(1+B373)^5-'Data Schema'!$C$3*(1+B373)^4)*$I$12)/(1+C373)^5+((('Data Schema'!$C$3*(1+B373)^5)*((1-$I$4-$I$5+E373)*(1-$I$10)+$I$6-$I$11)-('Data Schema'!$C$3*(1+B373)^5-'Data Schema'!$C$3*(1+B373)^4)*$I$12)*(1+D373)/(C373-D373))/(1+C373)^5-'Data Schema'!$C$31+'Data Schema'!$C$21)/'Data Schema'!$B$17,0),"INVALID")</f>
        <v>104.48499517144535</v>
      </c>
      <c r="H373" s="189" t="b">
        <f t="shared" ref="H373:H436" ca="1" si="42">AND(ISNUMBER(G373),G373&gt;$F$29*$B$145,G373&lt;$F$29*$B$146)</f>
        <v>1</v>
      </c>
      <c r="I373" s="188">
        <f t="shared" ref="I373:I436" ca="1" si="43">IF(AND(F373=TRUE,H373=TRUE),G373,"")</f>
        <v>104.48499517144535</v>
      </c>
      <c r="J373" s="349">
        <f t="shared" ca="1" si="36"/>
        <v>104.48499517144535</v>
      </c>
    </row>
    <row r="374" spans="1:10">
      <c r="A374" s="191">
        <v>195</v>
      </c>
      <c r="B374" s="190">
        <f t="shared" ca="1" si="37"/>
        <v>6.3611405676389954E-2</v>
      </c>
      <c r="C374" s="190">
        <f t="shared" ca="1" si="38"/>
        <v>4.7130869329891301E-2</v>
      </c>
      <c r="D374" s="190">
        <f t="shared" ca="1" si="39"/>
        <v>2.6058970845576762E-2</v>
      </c>
      <c r="E374" s="190">
        <f t="shared" ca="1" si="40"/>
        <v>1.3909500147558656E-2</v>
      </c>
      <c r="F374" s="189" t="b">
        <f t="shared" ca="1" si="41"/>
        <v>1</v>
      </c>
      <c r="G374" s="188">
        <f ca="1">IF(F374,IFERROR(((('Data Schema'!$C$3*(1+B374)^1)*((1-$I$4-$I$5+E374)*(1-$I$10)+$I$6-$I$11)-('Data Schema'!$C$3*(1+B374)^1-'Data Schema'!$C$3)*$I$12)/(1+C374)^1+(('Data Schema'!$C$3*(1+B374)^2)*((1-$I$4-$I$5+E374)*(1-$I$10)+$I$6-$I$11)-('Data Schema'!$C$3*(1+B374)^2-'Data Schema'!$C$3*(1+B374)^1)*$I$12)/(1+C374)^2+(('Data Schema'!$C$3*(1+B374)^3)*((1-$I$4-$I$5+E374)*(1-$I$10)+$I$6-$I$11)-('Data Schema'!$C$3*(1+B374)^3-'Data Schema'!$C$3*(1+B374)^2)*$I$12)/(1+C374)^3+(('Data Schema'!$C$3*(1+B374)^4)*((1-$I$4-$I$5+E374)*(1-$I$10)+$I$6-$I$11)-('Data Schema'!$C$3*(1+B374)^4-'Data Schema'!$C$3*(1+B374)^3)*$I$12)/(1+C374)^4+(('Data Schema'!$C$3*(1+B374)^5)*((1-$I$4-$I$5+E374)*(1-$I$10)+$I$6-$I$11)-('Data Schema'!$C$3*(1+B374)^5-'Data Schema'!$C$3*(1+B374)^4)*$I$12)/(1+C374)^5+((('Data Schema'!$C$3*(1+B374)^5)*((1-$I$4-$I$5+E374)*(1-$I$10)+$I$6-$I$11)-('Data Schema'!$C$3*(1+B374)^5-'Data Schema'!$C$3*(1+B374)^4)*$I$12)*(1+D374)/(C374-D374))/(1+C374)^5-'Data Schema'!$C$31+'Data Schema'!$C$21)/'Data Schema'!$B$17,0),"INVALID")</f>
        <v>180.7433003689338</v>
      </c>
      <c r="H374" s="189" t="b">
        <f t="shared" ca="1" si="42"/>
        <v>1</v>
      </c>
      <c r="I374" s="188">
        <f t="shared" ca="1" si="43"/>
        <v>180.7433003689338</v>
      </c>
      <c r="J374" s="349">
        <f t="shared" ca="1" si="36"/>
        <v>180.7433003689338</v>
      </c>
    </row>
    <row r="375" spans="1:10">
      <c r="A375" s="187">
        <v>196</v>
      </c>
      <c r="B375" s="190">
        <f t="shared" ca="1" si="37"/>
        <v>9.6557323339199738E-2</v>
      </c>
      <c r="C375" s="190">
        <f t="shared" ca="1" si="38"/>
        <v>5.7290811069695823E-2</v>
      </c>
      <c r="D375" s="190">
        <f t="shared" ca="1" si="39"/>
        <v>2.5253859429088182E-2</v>
      </c>
      <c r="E375" s="190">
        <f t="shared" ca="1" si="40"/>
        <v>3.1016908268069208E-2</v>
      </c>
      <c r="F375" s="189" t="b">
        <f t="shared" ca="1" si="41"/>
        <v>1</v>
      </c>
      <c r="G375" s="188">
        <f ca="1">IF(F375,IFERROR(((('Data Schema'!$C$3*(1+B375)^1)*((1-$I$4-$I$5+E375)*(1-$I$10)+$I$6-$I$11)-('Data Schema'!$C$3*(1+B375)^1-'Data Schema'!$C$3)*$I$12)/(1+C375)^1+(('Data Schema'!$C$3*(1+B375)^2)*((1-$I$4-$I$5+E375)*(1-$I$10)+$I$6-$I$11)-('Data Schema'!$C$3*(1+B375)^2-'Data Schema'!$C$3*(1+B375)^1)*$I$12)/(1+C375)^2+(('Data Schema'!$C$3*(1+B375)^3)*((1-$I$4-$I$5+E375)*(1-$I$10)+$I$6-$I$11)-('Data Schema'!$C$3*(1+B375)^3-'Data Schema'!$C$3*(1+B375)^2)*$I$12)/(1+C375)^3+(('Data Schema'!$C$3*(1+B375)^4)*((1-$I$4-$I$5+E375)*(1-$I$10)+$I$6-$I$11)-('Data Schema'!$C$3*(1+B375)^4-'Data Schema'!$C$3*(1+B375)^3)*$I$12)/(1+C375)^4+(('Data Schema'!$C$3*(1+B375)^5)*((1-$I$4-$I$5+E375)*(1-$I$10)+$I$6-$I$11)-('Data Schema'!$C$3*(1+B375)^5-'Data Schema'!$C$3*(1+B375)^4)*$I$12)/(1+C375)^5+((('Data Schema'!$C$3*(1+B375)^5)*((1-$I$4-$I$5+E375)*(1-$I$10)+$I$6-$I$11)-('Data Schema'!$C$3*(1+B375)^5-'Data Schema'!$C$3*(1+B375)^4)*$I$12)*(1+D375)/(C375-D375))/(1+C375)^5-'Data Schema'!$C$31+'Data Schema'!$C$21)/'Data Schema'!$B$17,0),"INVALID")</f>
        <v>183.62166985586796</v>
      </c>
      <c r="H375" s="189" t="b">
        <f t="shared" ca="1" si="42"/>
        <v>1</v>
      </c>
      <c r="I375" s="188">
        <f t="shared" ca="1" si="43"/>
        <v>183.62166985586796</v>
      </c>
      <c r="J375" s="349">
        <f t="shared" ca="1" si="36"/>
        <v>183.62166985586796</v>
      </c>
    </row>
    <row r="376" spans="1:10">
      <c r="A376" s="191">
        <v>197</v>
      </c>
      <c r="B376" s="190">
        <f t="shared" ca="1" si="37"/>
        <v>8.1683396963020724E-2</v>
      </c>
      <c r="C376" s="190">
        <f t="shared" ca="1" si="38"/>
        <v>5.3095751559612714E-2</v>
      </c>
      <c r="D376" s="190">
        <f t="shared" ca="1" si="39"/>
        <v>2.0614594205092991E-2</v>
      </c>
      <c r="E376" s="190">
        <f t="shared" ca="1" si="40"/>
        <v>2.9029458375221681E-2</v>
      </c>
      <c r="F376" s="189" t="b">
        <f t="shared" ca="1" si="41"/>
        <v>1</v>
      </c>
      <c r="G376" s="188">
        <f ca="1">IF(F376,IFERROR(((('Data Schema'!$C$3*(1+B376)^1)*((1-$I$4-$I$5+E376)*(1-$I$10)+$I$6-$I$11)-('Data Schema'!$C$3*(1+B376)^1-'Data Schema'!$C$3)*$I$12)/(1+C376)^1+(('Data Schema'!$C$3*(1+B376)^2)*((1-$I$4-$I$5+E376)*(1-$I$10)+$I$6-$I$11)-('Data Schema'!$C$3*(1+B376)^2-'Data Schema'!$C$3*(1+B376)^1)*$I$12)/(1+C376)^2+(('Data Schema'!$C$3*(1+B376)^3)*((1-$I$4-$I$5+E376)*(1-$I$10)+$I$6-$I$11)-('Data Schema'!$C$3*(1+B376)^3-'Data Schema'!$C$3*(1+B376)^2)*$I$12)/(1+C376)^3+(('Data Schema'!$C$3*(1+B376)^4)*((1-$I$4-$I$5+E376)*(1-$I$10)+$I$6-$I$11)-('Data Schema'!$C$3*(1+B376)^4-'Data Schema'!$C$3*(1+B376)^3)*$I$12)/(1+C376)^4+(('Data Schema'!$C$3*(1+B376)^5)*((1-$I$4-$I$5+E376)*(1-$I$10)+$I$6-$I$11)-('Data Schema'!$C$3*(1+B376)^5-'Data Schema'!$C$3*(1+B376)^4)*$I$12)/(1+C376)^5+((('Data Schema'!$C$3*(1+B376)^5)*((1-$I$4-$I$5+E376)*(1-$I$10)+$I$6-$I$11)-('Data Schema'!$C$3*(1+B376)^5-'Data Schema'!$C$3*(1+B376)^4)*$I$12)*(1+D376)/(C376-D376))/(1+C376)^5-'Data Schema'!$C$31+'Data Schema'!$C$21)/'Data Schema'!$B$17,0),"INVALID")</f>
        <v>167.61573296785525</v>
      </c>
      <c r="H376" s="189" t="b">
        <f t="shared" ca="1" si="42"/>
        <v>1</v>
      </c>
      <c r="I376" s="188">
        <f t="shared" ca="1" si="43"/>
        <v>167.61573296785525</v>
      </c>
      <c r="J376" s="349">
        <f t="shared" ca="1" si="36"/>
        <v>167.61573296785525</v>
      </c>
    </row>
    <row r="377" spans="1:10">
      <c r="A377" s="187">
        <v>198</v>
      </c>
      <c r="B377" s="190">
        <f t="shared" ca="1" si="37"/>
        <v>0.11503695948490196</v>
      </c>
      <c r="C377" s="190">
        <f t="shared" ca="1" si="38"/>
        <v>5.6944932077500773E-2</v>
      </c>
      <c r="D377" s="190">
        <f t="shared" ca="1" si="39"/>
        <v>2.8138959564095296E-2</v>
      </c>
      <c r="E377" s="190">
        <f t="shared" ca="1" si="40"/>
        <v>-3.6413532837423512E-3</v>
      </c>
      <c r="F377" s="189" t="b">
        <f t="shared" ca="1" si="41"/>
        <v>1</v>
      </c>
      <c r="G377" s="188">
        <f ca="1">IF(F377,IFERROR(((('Data Schema'!$C$3*(1+B377)^1)*((1-$I$4-$I$5+E377)*(1-$I$10)+$I$6-$I$11)-('Data Schema'!$C$3*(1+B377)^1-'Data Schema'!$C$3)*$I$12)/(1+C377)^1+(('Data Schema'!$C$3*(1+B377)^2)*((1-$I$4-$I$5+E377)*(1-$I$10)+$I$6-$I$11)-('Data Schema'!$C$3*(1+B377)^2-'Data Schema'!$C$3*(1+B377)^1)*$I$12)/(1+C377)^2+(('Data Schema'!$C$3*(1+B377)^3)*((1-$I$4-$I$5+E377)*(1-$I$10)+$I$6-$I$11)-('Data Schema'!$C$3*(1+B377)^3-'Data Schema'!$C$3*(1+B377)^2)*$I$12)/(1+C377)^3+(('Data Schema'!$C$3*(1+B377)^4)*((1-$I$4-$I$5+E377)*(1-$I$10)+$I$6-$I$11)-('Data Schema'!$C$3*(1+B377)^4-'Data Schema'!$C$3*(1+B377)^3)*$I$12)/(1+C377)^4+(('Data Schema'!$C$3*(1+B377)^5)*((1-$I$4-$I$5+E377)*(1-$I$10)+$I$6-$I$11)-('Data Schema'!$C$3*(1+B377)^5-'Data Schema'!$C$3*(1+B377)^4)*$I$12)/(1+C377)^5+((('Data Schema'!$C$3*(1+B377)^5)*((1-$I$4-$I$5+E377)*(1-$I$10)+$I$6-$I$11)-('Data Schema'!$C$3*(1+B377)^5-'Data Schema'!$C$3*(1+B377)^4)*$I$12)*(1+D377)/(C377-D377))/(1+C377)^5-'Data Schema'!$C$31+'Data Schema'!$C$21)/'Data Schema'!$B$17,0),"INVALID")</f>
        <v>97.833999341474168</v>
      </c>
      <c r="H377" s="189" t="b">
        <f t="shared" ca="1" si="42"/>
        <v>1</v>
      </c>
      <c r="I377" s="188">
        <f t="shared" ca="1" si="43"/>
        <v>97.833999341474168</v>
      </c>
      <c r="J377" s="349">
        <f t="shared" ca="1" si="36"/>
        <v>97.833999341474168</v>
      </c>
    </row>
    <row r="378" spans="1:10">
      <c r="A378" s="191">
        <v>199</v>
      </c>
      <c r="B378" s="190">
        <f t="shared" ca="1" si="37"/>
        <v>0.11258534075652812</v>
      </c>
      <c r="C378" s="190">
        <f t="shared" ca="1" si="38"/>
        <v>6.6611536265133012E-2</v>
      </c>
      <c r="D378" s="190">
        <f t="shared" ca="1" si="39"/>
        <v>2.6986013261596567E-2</v>
      </c>
      <c r="E378" s="190">
        <f t="shared" ca="1" si="40"/>
        <v>1.5582266778221828E-2</v>
      </c>
      <c r="F378" s="189" t="b">
        <f t="shared" ca="1" si="41"/>
        <v>1</v>
      </c>
      <c r="G378" s="188">
        <f ca="1">IF(F378,IFERROR(((('Data Schema'!$C$3*(1+B378)^1)*((1-$I$4-$I$5+E378)*(1-$I$10)+$I$6-$I$11)-('Data Schema'!$C$3*(1+B378)^1-'Data Schema'!$C$3)*$I$12)/(1+C378)^1+(('Data Schema'!$C$3*(1+B378)^2)*((1-$I$4-$I$5+E378)*(1-$I$10)+$I$6-$I$11)-('Data Schema'!$C$3*(1+B378)^2-'Data Schema'!$C$3*(1+B378)^1)*$I$12)/(1+C378)^2+(('Data Schema'!$C$3*(1+B378)^3)*((1-$I$4-$I$5+E378)*(1-$I$10)+$I$6-$I$11)-('Data Schema'!$C$3*(1+B378)^3-'Data Schema'!$C$3*(1+B378)^2)*$I$12)/(1+C378)^3+(('Data Schema'!$C$3*(1+B378)^4)*((1-$I$4-$I$5+E378)*(1-$I$10)+$I$6-$I$11)-('Data Schema'!$C$3*(1+B378)^4-'Data Schema'!$C$3*(1+B378)^3)*$I$12)/(1+C378)^4+(('Data Schema'!$C$3*(1+B378)^5)*((1-$I$4-$I$5+E378)*(1-$I$10)+$I$6-$I$11)-('Data Schema'!$C$3*(1+B378)^5-'Data Schema'!$C$3*(1+B378)^4)*$I$12)/(1+C378)^5+((('Data Schema'!$C$3*(1+B378)^5)*((1-$I$4-$I$5+E378)*(1-$I$10)+$I$6-$I$11)-('Data Schema'!$C$3*(1+B378)^5-'Data Schema'!$C$3*(1+B378)^4)*$I$12)*(1+D378)/(C378-D378))/(1+C378)^5-'Data Schema'!$C$31+'Data Schema'!$C$21)/'Data Schema'!$B$17,0),"INVALID")</f>
        <v>116.65769839944041</v>
      </c>
      <c r="H378" s="189" t="b">
        <f t="shared" ca="1" si="42"/>
        <v>1</v>
      </c>
      <c r="I378" s="188">
        <f t="shared" ca="1" si="43"/>
        <v>116.65769839944041</v>
      </c>
      <c r="J378" s="349">
        <f t="shared" ca="1" si="36"/>
        <v>116.65769839944041</v>
      </c>
    </row>
    <row r="379" spans="1:10">
      <c r="A379" s="187">
        <v>200</v>
      </c>
      <c r="B379" s="190">
        <f t="shared" ca="1" si="37"/>
        <v>8.2152140798493603E-2</v>
      </c>
      <c r="C379" s="190">
        <f t="shared" ca="1" si="38"/>
        <v>4.9101381248647678E-2</v>
      </c>
      <c r="D379" s="190">
        <f t="shared" ca="1" si="39"/>
        <v>3.1369307978202816E-2</v>
      </c>
      <c r="E379" s="190">
        <f t="shared" ca="1" si="40"/>
        <v>-1.2019084070781295E-2</v>
      </c>
      <c r="F379" s="189" t="b">
        <f t="shared" ca="1" si="41"/>
        <v>1</v>
      </c>
      <c r="G379" s="188">
        <f ca="1">IF(F379,IFERROR(((('Data Schema'!$C$3*(1+B379)^1)*((1-$I$4-$I$5+E379)*(1-$I$10)+$I$6-$I$11)-('Data Schema'!$C$3*(1+B379)^1-'Data Schema'!$C$3)*$I$12)/(1+C379)^1+(('Data Schema'!$C$3*(1+B379)^2)*((1-$I$4-$I$5+E379)*(1-$I$10)+$I$6-$I$11)-('Data Schema'!$C$3*(1+B379)^2-'Data Schema'!$C$3*(1+B379)^1)*$I$12)/(1+C379)^2+(('Data Schema'!$C$3*(1+B379)^3)*((1-$I$4-$I$5+E379)*(1-$I$10)+$I$6-$I$11)-('Data Schema'!$C$3*(1+B379)^3-'Data Schema'!$C$3*(1+B379)^2)*$I$12)/(1+C379)^3+(('Data Schema'!$C$3*(1+B379)^4)*((1-$I$4-$I$5+E379)*(1-$I$10)+$I$6-$I$11)-('Data Schema'!$C$3*(1+B379)^4-'Data Schema'!$C$3*(1+B379)^3)*$I$12)/(1+C379)^4+(('Data Schema'!$C$3*(1+B379)^5)*((1-$I$4-$I$5+E379)*(1-$I$10)+$I$6-$I$11)-('Data Schema'!$C$3*(1+B379)^5-'Data Schema'!$C$3*(1+B379)^4)*$I$12)/(1+C379)^5+((('Data Schema'!$C$3*(1+B379)^5)*((1-$I$4-$I$5+E379)*(1-$I$10)+$I$6-$I$11)-('Data Schema'!$C$3*(1+B379)^5-'Data Schema'!$C$3*(1+B379)^4)*$I$12)*(1+D379)/(C379-D379))/(1+C379)^5-'Data Schema'!$C$31+'Data Schema'!$C$21)/'Data Schema'!$B$17,0),"INVALID")</f>
        <v>102.08143322943387</v>
      </c>
      <c r="H379" s="189" t="b">
        <f t="shared" ca="1" si="42"/>
        <v>1</v>
      </c>
      <c r="I379" s="188">
        <f t="shared" ca="1" si="43"/>
        <v>102.08143322943387</v>
      </c>
      <c r="J379" s="349">
        <f t="shared" ca="1" si="36"/>
        <v>102.08143322943387</v>
      </c>
    </row>
    <row r="380" spans="1:10">
      <c r="A380" s="191">
        <v>201</v>
      </c>
      <c r="B380" s="190">
        <f t="shared" ca="1" si="37"/>
        <v>9.6670278521185454E-2</v>
      </c>
      <c r="C380" s="190">
        <f t="shared" ca="1" si="38"/>
        <v>6.8322419358035361E-2</v>
      </c>
      <c r="D380" s="190">
        <f t="shared" ca="1" si="39"/>
        <v>2.2215354703839611E-2</v>
      </c>
      <c r="E380" s="190">
        <f t="shared" ca="1" si="40"/>
        <v>2.4390948666940436E-2</v>
      </c>
      <c r="F380" s="189" t="b">
        <f t="shared" ca="1" si="41"/>
        <v>1</v>
      </c>
      <c r="G380" s="188">
        <f ca="1">IF(F380,IFERROR(((('Data Schema'!$C$3*(1+B380)^1)*((1-$I$4-$I$5+E380)*(1-$I$10)+$I$6-$I$11)-('Data Schema'!$C$3*(1+B380)^1-'Data Schema'!$C$3)*$I$12)/(1+C380)^1+(('Data Schema'!$C$3*(1+B380)^2)*((1-$I$4-$I$5+E380)*(1-$I$10)+$I$6-$I$11)-('Data Schema'!$C$3*(1+B380)^2-'Data Schema'!$C$3*(1+B380)^1)*$I$12)/(1+C380)^2+(('Data Schema'!$C$3*(1+B380)^3)*((1-$I$4-$I$5+E380)*(1-$I$10)+$I$6-$I$11)-('Data Schema'!$C$3*(1+B380)^3-'Data Schema'!$C$3*(1+B380)^2)*$I$12)/(1+C380)^3+(('Data Schema'!$C$3*(1+B380)^4)*((1-$I$4-$I$5+E380)*(1-$I$10)+$I$6-$I$11)-('Data Schema'!$C$3*(1+B380)^4-'Data Schema'!$C$3*(1+B380)^3)*$I$12)/(1+C380)^4+(('Data Schema'!$C$3*(1+B380)^5)*((1-$I$4-$I$5+E380)*(1-$I$10)+$I$6-$I$11)-('Data Schema'!$C$3*(1+B380)^5-'Data Schema'!$C$3*(1+B380)^4)*$I$12)/(1+C380)^5+((('Data Schema'!$C$3*(1+B380)^5)*((1-$I$4-$I$5+E380)*(1-$I$10)+$I$6-$I$11)-('Data Schema'!$C$3*(1+B380)^5-'Data Schema'!$C$3*(1+B380)^4)*$I$12)*(1+D380)/(C380-D380))/(1+C380)^5-'Data Schema'!$C$31+'Data Schema'!$C$21)/'Data Schema'!$B$17,0),"INVALID")</f>
        <v>112.40099649131648</v>
      </c>
      <c r="H380" s="189" t="b">
        <f t="shared" ca="1" si="42"/>
        <v>1</v>
      </c>
      <c r="I380" s="188">
        <f t="shared" ca="1" si="43"/>
        <v>112.40099649131648</v>
      </c>
      <c r="J380" s="349">
        <f t="shared" ca="1" si="36"/>
        <v>112.40099649131648</v>
      </c>
    </row>
    <row r="381" spans="1:10">
      <c r="A381" s="187">
        <v>202</v>
      </c>
      <c r="B381" s="190">
        <f t="shared" ca="1" si="37"/>
        <v>8.8537930234172682E-2</v>
      </c>
      <c r="C381" s="190">
        <f t="shared" ca="1" si="38"/>
        <v>4.5843009914890237E-2</v>
      </c>
      <c r="D381" s="190">
        <f t="shared" ca="1" si="39"/>
        <v>3.2962498163004873E-2</v>
      </c>
      <c r="E381" s="190">
        <f t="shared" ca="1" si="40"/>
        <v>-4.2029685976949845E-2</v>
      </c>
      <c r="F381" s="189" t="b">
        <f t="shared" ca="1" si="41"/>
        <v>0</v>
      </c>
      <c r="G381" s="188" t="str">
        <f ca="1">IF(F381,IFERROR(((('Data Schema'!$C$3*(1+B381)^1)*((1-$I$4-$I$5+E381)*(1-$I$10)+$I$6-$I$11)-('Data Schema'!$C$3*(1+B381)^1-'Data Schema'!$C$3)*$I$12)/(1+C381)^1+(('Data Schema'!$C$3*(1+B381)^2)*((1-$I$4-$I$5+E381)*(1-$I$10)+$I$6-$I$11)-('Data Schema'!$C$3*(1+B381)^2-'Data Schema'!$C$3*(1+B381)^1)*$I$12)/(1+C381)^2+(('Data Schema'!$C$3*(1+B381)^3)*((1-$I$4-$I$5+E381)*(1-$I$10)+$I$6-$I$11)-('Data Schema'!$C$3*(1+B381)^3-'Data Schema'!$C$3*(1+B381)^2)*$I$12)/(1+C381)^3+(('Data Schema'!$C$3*(1+B381)^4)*((1-$I$4-$I$5+E381)*(1-$I$10)+$I$6-$I$11)-('Data Schema'!$C$3*(1+B381)^4-'Data Schema'!$C$3*(1+B381)^3)*$I$12)/(1+C381)^4+(('Data Schema'!$C$3*(1+B381)^5)*((1-$I$4-$I$5+E381)*(1-$I$10)+$I$6-$I$11)-('Data Schema'!$C$3*(1+B381)^5-'Data Schema'!$C$3*(1+B381)^4)*$I$12)/(1+C381)^5+((('Data Schema'!$C$3*(1+B381)^5)*((1-$I$4-$I$5+E381)*(1-$I$10)+$I$6-$I$11)-('Data Schema'!$C$3*(1+B381)^5-'Data Schema'!$C$3*(1+B381)^4)*$I$12)*(1+D381)/(C381-D381))/(1+C381)^5-'Data Schema'!$C$31+'Data Schema'!$C$21)/'Data Schema'!$B$17,0),"INVALID")</f>
        <v>INVALID</v>
      </c>
      <c r="H381" s="189" t="b">
        <f t="shared" ca="1" si="42"/>
        <v>0</v>
      </c>
      <c r="I381" s="188" t="str">
        <f t="shared" ca="1" si="43"/>
        <v/>
      </c>
      <c r="J381" s="349" t="str">
        <f t="shared" ca="1" si="36"/>
        <v/>
      </c>
    </row>
    <row r="382" spans="1:10">
      <c r="A382" s="191">
        <v>203</v>
      </c>
      <c r="B382" s="190">
        <f t="shared" ca="1" si="37"/>
        <v>7.266704331150721E-2</v>
      </c>
      <c r="C382" s="190">
        <f t="shared" ca="1" si="38"/>
        <v>7.6482660659662555E-2</v>
      </c>
      <c r="D382" s="190">
        <f t="shared" ca="1" si="39"/>
        <v>2.7648203119061188E-2</v>
      </c>
      <c r="E382" s="190">
        <f t="shared" ca="1" si="40"/>
        <v>-7.366553978788804E-3</v>
      </c>
      <c r="F382" s="189" t="b">
        <f t="shared" ca="1" si="41"/>
        <v>1</v>
      </c>
      <c r="G382" s="188">
        <f ca="1">IF(F382,IFERROR(((('Data Schema'!$C$3*(1+B382)^1)*((1-$I$4-$I$5+E382)*(1-$I$10)+$I$6-$I$11)-('Data Schema'!$C$3*(1+B382)^1-'Data Schema'!$C$3)*$I$12)/(1+C382)^1+(('Data Schema'!$C$3*(1+B382)^2)*((1-$I$4-$I$5+E382)*(1-$I$10)+$I$6-$I$11)-('Data Schema'!$C$3*(1+B382)^2-'Data Schema'!$C$3*(1+B382)^1)*$I$12)/(1+C382)^2+(('Data Schema'!$C$3*(1+B382)^3)*((1-$I$4-$I$5+E382)*(1-$I$10)+$I$6-$I$11)-('Data Schema'!$C$3*(1+B382)^3-'Data Schema'!$C$3*(1+B382)^2)*$I$12)/(1+C382)^3+(('Data Schema'!$C$3*(1+B382)^4)*((1-$I$4-$I$5+E382)*(1-$I$10)+$I$6-$I$11)-('Data Schema'!$C$3*(1+B382)^4-'Data Schema'!$C$3*(1+B382)^3)*$I$12)/(1+C382)^4+(('Data Schema'!$C$3*(1+B382)^5)*((1-$I$4-$I$5+E382)*(1-$I$10)+$I$6-$I$11)-('Data Schema'!$C$3*(1+B382)^5-'Data Schema'!$C$3*(1+B382)^4)*$I$12)/(1+C382)^5+((('Data Schema'!$C$3*(1+B382)^5)*((1-$I$4-$I$5+E382)*(1-$I$10)+$I$6-$I$11)-('Data Schema'!$C$3*(1+B382)^5-'Data Schema'!$C$3*(1+B382)^4)*$I$12)*(1+D382)/(C382-D382))/(1+C382)^5-'Data Schema'!$C$31+'Data Schema'!$C$21)/'Data Schema'!$B$17,0),"INVALID")</f>
        <v>39.369826327201231</v>
      </c>
      <c r="H382" s="189" t="b">
        <f t="shared" ca="1" si="42"/>
        <v>1</v>
      </c>
      <c r="I382" s="188">
        <f t="shared" ca="1" si="43"/>
        <v>39.369826327201231</v>
      </c>
      <c r="J382" s="349">
        <f t="shared" ca="1" si="36"/>
        <v>39.369826327201231</v>
      </c>
    </row>
    <row r="383" spans="1:10">
      <c r="A383" s="187">
        <v>204</v>
      </c>
      <c r="B383" s="190">
        <f t="shared" ca="1" si="37"/>
        <v>9.3394939979542832E-2</v>
      </c>
      <c r="C383" s="190">
        <f t="shared" ca="1" si="38"/>
        <v>7.5815636221221616E-2</v>
      </c>
      <c r="D383" s="190">
        <f t="shared" ca="1" si="39"/>
        <v>2.8157434651282572E-2</v>
      </c>
      <c r="E383" s="190">
        <f t="shared" ca="1" si="40"/>
        <v>-8.4187169384021456E-3</v>
      </c>
      <c r="F383" s="189" t="b">
        <f t="shared" ca="1" si="41"/>
        <v>1</v>
      </c>
      <c r="G383" s="188">
        <f ca="1">IF(F383,IFERROR(((('Data Schema'!$C$3*(1+B383)^1)*((1-$I$4-$I$5+E383)*(1-$I$10)+$I$6-$I$11)-('Data Schema'!$C$3*(1+B383)^1-'Data Schema'!$C$3)*$I$12)/(1+C383)^1+(('Data Schema'!$C$3*(1+B383)^2)*((1-$I$4-$I$5+E383)*(1-$I$10)+$I$6-$I$11)-('Data Schema'!$C$3*(1+B383)^2-'Data Schema'!$C$3*(1+B383)^1)*$I$12)/(1+C383)^2+(('Data Schema'!$C$3*(1+B383)^3)*((1-$I$4-$I$5+E383)*(1-$I$10)+$I$6-$I$11)-('Data Schema'!$C$3*(1+B383)^3-'Data Schema'!$C$3*(1+B383)^2)*$I$12)/(1+C383)^3+(('Data Schema'!$C$3*(1+B383)^4)*((1-$I$4-$I$5+E383)*(1-$I$10)+$I$6-$I$11)-('Data Schema'!$C$3*(1+B383)^4-'Data Schema'!$C$3*(1+B383)^3)*$I$12)/(1+C383)^4+(('Data Schema'!$C$3*(1+B383)^5)*((1-$I$4-$I$5+E383)*(1-$I$10)+$I$6-$I$11)-('Data Schema'!$C$3*(1+B383)^5-'Data Schema'!$C$3*(1+B383)^4)*$I$12)/(1+C383)^5+((('Data Schema'!$C$3*(1+B383)^5)*((1-$I$4-$I$5+E383)*(1-$I$10)+$I$6-$I$11)-('Data Schema'!$C$3*(1+B383)^5-'Data Schema'!$C$3*(1+B383)^4)*$I$12)*(1+D383)/(C383-D383))/(1+C383)^5-'Data Schema'!$C$31+'Data Schema'!$C$21)/'Data Schema'!$B$17,0),"INVALID")</f>
        <v>41.938129046003631</v>
      </c>
      <c r="H383" s="189" t="b">
        <f t="shared" ca="1" si="42"/>
        <v>1</v>
      </c>
      <c r="I383" s="188">
        <f t="shared" ca="1" si="43"/>
        <v>41.938129046003631</v>
      </c>
      <c r="J383" s="349">
        <f t="shared" ca="1" si="36"/>
        <v>41.938129046003631</v>
      </c>
    </row>
    <row r="384" spans="1:10">
      <c r="A384" s="191">
        <v>205</v>
      </c>
      <c r="B384" s="190">
        <f t="shared" ca="1" si="37"/>
        <v>0.1182291300576821</v>
      </c>
      <c r="C384" s="190">
        <f t="shared" ca="1" si="38"/>
        <v>6.9151693712283052E-2</v>
      </c>
      <c r="D384" s="190">
        <f t="shared" ca="1" si="39"/>
        <v>1.7460507986834215E-2</v>
      </c>
      <c r="E384" s="190">
        <f t="shared" ca="1" si="40"/>
        <v>-8.8263506086549044E-3</v>
      </c>
      <c r="F384" s="189" t="b">
        <f t="shared" ca="1" si="41"/>
        <v>1</v>
      </c>
      <c r="G384" s="188">
        <f ca="1">IF(F384,IFERROR(((('Data Schema'!$C$3*(1+B384)^1)*((1-$I$4-$I$5+E384)*(1-$I$10)+$I$6-$I$11)-('Data Schema'!$C$3*(1+B384)^1-'Data Schema'!$C$3)*$I$12)/(1+C384)^1+(('Data Schema'!$C$3*(1+B384)^2)*((1-$I$4-$I$5+E384)*(1-$I$10)+$I$6-$I$11)-('Data Schema'!$C$3*(1+B384)^2-'Data Schema'!$C$3*(1+B384)^1)*$I$12)/(1+C384)^2+(('Data Schema'!$C$3*(1+B384)^3)*((1-$I$4-$I$5+E384)*(1-$I$10)+$I$6-$I$11)-('Data Schema'!$C$3*(1+B384)^3-'Data Schema'!$C$3*(1+B384)^2)*$I$12)/(1+C384)^3+(('Data Schema'!$C$3*(1+B384)^4)*((1-$I$4-$I$5+E384)*(1-$I$10)+$I$6-$I$11)-('Data Schema'!$C$3*(1+B384)^4-'Data Schema'!$C$3*(1+B384)^3)*$I$12)/(1+C384)^4+(('Data Schema'!$C$3*(1+B384)^5)*((1-$I$4-$I$5+E384)*(1-$I$10)+$I$6-$I$11)-('Data Schema'!$C$3*(1+B384)^5-'Data Schema'!$C$3*(1+B384)^4)*$I$12)/(1+C384)^5+((('Data Schema'!$C$3*(1+B384)^5)*((1-$I$4-$I$5+E384)*(1-$I$10)+$I$6-$I$11)-('Data Schema'!$C$3*(1+B384)^5-'Data Schema'!$C$3*(1+B384)^4)*$I$12)*(1+D384)/(C384-D384))/(1+C384)^5-'Data Schema'!$C$31+'Data Schema'!$C$21)/'Data Schema'!$B$17,0),"INVALID")</f>
        <v>42.96001107714654</v>
      </c>
      <c r="H384" s="189" t="b">
        <f t="shared" ca="1" si="42"/>
        <v>1</v>
      </c>
      <c r="I384" s="188">
        <f t="shared" ca="1" si="43"/>
        <v>42.96001107714654</v>
      </c>
      <c r="J384" s="349">
        <f t="shared" ca="1" si="36"/>
        <v>42.96001107714654</v>
      </c>
    </row>
    <row r="385" spans="1:10">
      <c r="A385" s="187">
        <v>206</v>
      </c>
      <c r="B385" s="190">
        <f t="shared" ca="1" si="37"/>
        <v>0.10434253667131248</v>
      </c>
      <c r="C385" s="190">
        <f t="shared" ca="1" si="38"/>
        <v>6.7243148948761211E-2</v>
      </c>
      <c r="D385" s="190">
        <f t="shared" ca="1" si="39"/>
        <v>2.5507069728722628E-2</v>
      </c>
      <c r="E385" s="190">
        <f t="shared" ca="1" si="40"/>
        <v>1.8779808761441145E-3</v>
      </c>
      <c r="F385" s="189" t="b">
        <f t="shared" ca="1" si="41"/>
        <v>1</v>
      </c>
      <c r="G385" s="188">
        <f ca="1">IF(F385,IFERROR(((('Data Schema'!$C$3*(1+B385)^1)*((1-$I$4-$I$5+E385)*(1-$I$10)+$I$6-$I$11)-('Data Schema'!$C$3*(1+B385)^1-'Data Schema'!$C$3)*$I$12)/(1+C385)^1+(('Data Schema'!$C$3*(1+B385)^2)*((1-$I$4-$I$5+E385)*(1-$I$10)+$I$6-$I$11)-('Data Schema'!$C$3*(1+B385)^2-'Data Schema'!$C$3*(1+B385)^1)*$I$12)/(1+C385)^2+(('Data Schema'!$C$3*(1+B385)^3)*((1-$I$4-$I$5+E385)*(1-$I$10)+$I$6-$I$11)-('Data Schema'!$C$3*(1+B385)^3-'Data Schema'!$C$3*(1+B385)^2)*$I$12)/(1+C385)^3+(('Data Schema'!$C$3*(1+B385)^4)*((1-$I$4-$I$5+E385)*(1-$I$10)+$I$6-$I$11)-('Data Schema'!$C$3*(1+B385)^4-'Data Schema'!$C$3*(1+B385)^3)*$I$12)/(1+C385)^4+(('Data Schema'!$C$3*(1+B385)^5)*((1-$I$4-$I$5+E385)*(1-$I$10)+$I$6-$I$11)-('Data Schema'!$C$3*(1+B385)^5-'Data Schema'!$C$3*(1+B385)^4)*$I$12)/(1+C385)^5+((('Data Schema'!$C$3*(1+B385)^5)*((1-$I$4-$I$5+E385)*(1-$I$10)+$I$6-$I$11)-('Data Schema'!$C$3*(1+B385)^5-'Data Schema'!$C$3*(1+B385)^4)*$I$12)*(1+D385)/(C385-D385))/(1+C385)^5-'Data Schema'!$C$31+'Data Schema'!$C$21)/'Data Schema'!$B$17,0),"INVALID")</f>
        <v>75.540915864066733</v>
      </c>
      <c r="H385" s="189" t="b">
        <f t="shared" ca="1" si="42"/>
        <v>1</v>
      </c>
      <c r="I385" s="188">
        <f t="shared" ca="1" si="43"/>
        <v>75.540915864066733</v>
      </c>
      <c r="J385" s="349">
        <f t="shared" ca="1" si="36"/>
        <v>75.540915864066733</v>
      </c>
    </row>
    <row r="386" spans="1:10">
      <c r="A386" s="191">
        <v>207</v>
      </c>
      <c r="B386" s="190">
        <f t="shared" ca="1" si="37"/>
        <v>8.6594771806933729E-2</v>
      </c>
      <c r="C386" s="190">
        <f t="shared" ca="1" si="38"/>
        <v>5.0865260323442844E-2</v>
      </c>
      <c r="D386" s="190">
        <f t="shared" ca="1" si="39"/>
        <v>2.3526191773626522E-2</v>
      </c>
      <c r="E386" s="190">
        <f t="shared" ca="1" si="40"/>
        <v>7.4325408706574286E-3</v>
      </c>
      <c r="F386" s="189" t="b">
        <f t="shared" ca="1" si="41"/>
        <v>1</v>
      </c>
      <c r="G386" s="188">
        <f ca="1">IF(F386,IFERROR(((('Data Schema'!$C$3*(1+B386)^1)*((1-$I$4-$I$5+E386)*(1-$I$10)+$I$6-$I$11)-('Data Schema'!$C$3*(1+B386)^1-'Data Schema'!$C$3)*$I$12)/(1+C386)^1+(('Data Schema'!$C$3*(1+B386)^2)*((1-$I$4-$I$5+E386)*(1-$I$10)+$I$6-$I$11)-('Data Schema'!$C$3*(1+B386)^2-'Data Schema'!$C$3*(1+B386)^1)*$I$12)/(1+C386)^2+(('Data Schema'!$C$3*(1+B386)^3)*((1-$I$4-$I$5+E386)*(1-$I$10)+$I$6-$I$11)-('Data Schema'!$C$3*(1+B386)^3-'Data Schema'!$C$3*(1+B386)^2)*$I$12)/(1+C386)^3+(('Data Schema'!$C$3*(1+B386)^4)*((1-$I$4-$I$5+E386)*(1-$I$10)+$I$6-$I$11)-('Data Schema'!$C$3*(1+B386)^4-'Data Schema'!$C$3*(1+B386)^3)*$I$12)/(1+C386)^4+(('Data Schema'!$C$3*(1+B386)^5)*((1-$I$4-$I$5+E386)*(1-$I$10)+$I$6-$I$11)-('Data Schema'!$C$3*(1+B386)^5-'Data Schema'!$C$3*(1+B386)^4)*$I$12)/(1+C386)^5+((('Data Schema'!$C$3*(1+B386)^5)*((1-$I$4-$I$5+E386)*(1-$I$10)+$I$6-$I$11)-('Data Schema'!$C$3*(1+B386)^5-'Data Schema'!$C$3*(1+B386)^4)*$I$12)*(1+D386)/(C386-D386))/(1+C386)^5-'Data Schema'!$C$31+'Data Schema'!$C$21)/'Data Schema'!$B$17,0),"INVALID")</f>
        <v>131.19532191118563</v>
      </c>
      <c r="H386" s="189" t="b">
        <f t="shared" ca="1" si="42"/>
        <v>1</v>
      </c>
      <c r="I386" s="188">
        <f t="shared" ca="1" si="43"/>
        <v>131.19532191118563</v>
      </c>
      <c r="J386" s="349">
        <f t="shared" ca="1" si="36"/>
        <v>131.19532191118563</v>
      </c>
    </row>
    <row r="387" spans="1:10">
      <c r="A387" s="187">
        <v>208</v>
      </c>
      <c r="B387" s="190">
        <f t="shared" ca="1" si="37"/>
        <v>0.13659193974795941</v>
      </c>
      <c r="C387" s="190">
        <f t="shared" ca="1" si="38"/>
        <v>5.0346268204255459E-2</v>
      </c>
      <c r="D387" s="190">
        <f t="shared" ca="1" si="39"/>
        <v>2.4806899541320204E-2</v>
      </c>
      <c r="E387" s="190">
        <f t="shared" ca="1" si="40"/>
        <v>1.8858030528677756E-2</v>
      </c>
      <c r="F387" s="189" t="b">
        <f t="shared" ca="1" si="41"/>
        <v>1</v>
      </c>
      <c r="G387" s="188">
        <f ca="1">IF(F387,IFERROR(((('Data Schema'!$C$3*(1+B387)^1)*((1-$I$4-$I$5+E387)*(1-$I$10)+$I$6-$I$11)-('Data Schema'!$C$3*(1+B387)^1-'Data Schema'!$C$3)*$I$12)/(1+C387)^1+(('Data Schema'!$C$3*(1+B387)^2)*((1-$I$4-$I$5+E387)*(1-$I$10)+$I$6-$I$11)-('Data Schema'!$C$3*(1+B387)^2-'Data Schema'!$C$3*(1+B387)^1)*$I$12)/(1+C387)^2+(('Data Schema'!$C$3*(1+B387)^3)*((1-$I$4-$I$5+E387)*(1-$I$10)+$I$6-$I$11)-('Data Schema'!$C$3*(1+B387)^3-'Data Schema'!$C$3*(1+B387)^2)*$I$12)/(1+C387)^3+(('Data Schema'!$C$3*(1+B387)^4)*((1-$I$4-$I$5+E387)*(1-$I$10)+$I$6-$I$11)-('Data Schema'!$C$3*(1+B387)^4-'Data Schema'!$C$3*(1+B387)^3)*$I$12)/(1+C387)^4+(('Data Schema'!$C$3*(1+B387)^5)*((1-$I$4-$I$5+E387)*(1-$I$10)+$I$6-$I$11)-('Data Schema'!$C$3*(1+B387)^5-'Data Schema'!$C$3*(1+B387)^4)*$I$12)/(1+C387)^5+((('Data Schema'!$C$3*(1+B387)^5)*((1-$I$4-$I$5+E387)*(1-$I$10)+$I$6-$I$11)-('Data Schema'!$C$3*(1+B387)^5-'Data Schema'!$C$3*(1+B387)^4)*$I$12)*(1+D387)/(C387-D387))/(1+C387)^5-'Data Schema'!$C$31+'Data Schema'!$C$21)/'Data Schema'!$B$17,0),"INVALID")</f>
        <v>221.44333513212169</v>
      </c>
      <c r="H387" s="189" t="b">
        <f t="shared" ca="1" si="42"/>
        <v>1</v>
      </c>
      <c r="I387" s="188">
        <f t="shared" ca="1" si="43"/>
        <v>221.44333513212169</v>
      </c>
      <c r="J387" s="349">
        <f t="shared" ca="1" si="36"/>
        <v>221.44333513212169</v>
      </c>
    </row>
    <row r="388" spans="1:10">
      <c r="A388" s="191">
        <v>209</v>
      </c>
      <c r="B388" s="190">
        <f t="shared" ca="1" si="37"/>
        <v>9.4747565514483864E-2</v>
      </c>
      <c r="C388" s="190">
        <f t="shared" ca="1" si="38"/>
        <v>5.1562003280546352E-2</v>
      </c>
      <c r="D388" s="190">
        <f t="shared" ca="1" si="39"/>
        <v>3.2072457774791938E-2</v>
      </c>
      <c r="E388" s="190">
        <f t="shared" ca="1" si="40"/>
        <v>-1.7689788291539558E-2</v>
      </c>
      <c r="F388" s="189" t="b">
        <f t="shared" ca="1" si="41"/>
        <v>1</v>
      </c>
      <c r="G388" s="188">
        <f ca="1">IF(F388,IFERROR(((('Data Schema'!$C$3*(1+B388)^1)*((1-$I$4-$I$5+E388)*(1-$I$10)+$I$6-$I$11)-('Data Schema'!$C$3*(1+B388)^1-'Data Schema'!$C$3)*$I$12)/(1+C388)^1+(('Data Schema'!$C$3*(1+B388)^2)*((1-$I$4-$I$5+E388)*(1-$I$10)+$I$6-$I$11)-('Data Schema'!$C$3*(1+B388)^2-'Data Schema'!$C$3*(1+B388)^1)*$I$12)/(1+C388)^2+(('Data Schema'!$C$3*(1+B388)^3)*((1-$I$4-$I$5+E388)*(1-$I$10)+$I$6-$I$11)-('Data Schema'!$C$3*(1+B388)^3-'Data Schema'!$C$3*(1+B388)^2)*$I$12)/(1+C388)^3+(('Data Schema'!$C$3*(1+B388)^4)*((1-$I$4-$I$5+E388)*(1-$I$10)+$I$6-$I$11)-('Data Schema'!$C$3*(1+B388)^4-'Data Schema'!$C$3*(1+B388)^3)*$I$12)/(1+C388)^4+(('Data Schema'!$C$3*(1+B388)^5)*((1-$I$4-$I$5+E388)*(1-$I$10)+$I$6-$I$11)-('Data Schema'!$C$3*(1+B388)^5-'Data Schema'!$C$3*(1+B388)^4)*$I$12)/(1+C388)^5+((('Data Schema'!$C$3*(1+B388)^5)*((1-$I$4-$I$5+E388)*(1-$I$10)+$I$6-$I$11)-('Data Schema'!$C$3*(1+B388)^5-'Data Schema'!$C$3*(1+B388)^4)*$I$12)*(1+D388)/(C388-D388))/(1+C388)^5-'Data Schema'!$C$31+'Data Schema'!$C$21)/'Data Schema'!$B$17,0),"INVALID")</f>
        <v>69.663472721282986</v>
      </c>
      <c r="H388" s="189" t="b">
        <f t="shared" ca="1" si="42"/>
        <v>1</v>
      </c>
      <c r="I388" s="188">
        <f t="shared" ca="1" si="43"/>
        <v>69.663472721282986</v>
      </c>
      <c r="J388" s="349">
        <f t="shared" ca="1" si="36"/>
        <v>69.663472721282986</v>
      </c>
    </row>
    <row r="389" spans="1:10">
      <c r="A389" s="187">
        <v>210</v>
      </c>
      <c r="B389" s="190">
        <f t="shared" ca="1" si="37"/>
        <v>0.10711268718621518</v>
      </c>
      <c r="C389" s="190">
        <f t="shared" ca="1" si="38"/>
        <v>4.527116812172681E-2</v>
      </c>
      <c r="D389" s="190">
        <f t="shared" ca="1" si="39"/>
        <v>3.0365507867252717E-2</v>
      </c>
      <c r="E389" s="190">
        <f t="shared" ca="1" si="40"/>
        <v>-1.6452296844310482E-4</v>
      </c>
      <c r="F389" s="189" t="b">
        <f t="shared" ca="1" si="41"/>
        <v>0</v>
      </c>
      <c r="G389" s="188" t="str">
        <f ca="1">IF(F389,IFERROR(((('Data Schema'!$C$3*(1+B389)^1)*((1-$I$4-$I$5+E389)*(1-$I$10)+$I$6-$I$11)-('Data Schema'!$C$3*(1+B389)^1-'Data Schema'!$C$3)*$I$12)/(1+C389)^1+(('Data Schema'!$C$3*(1+B389)^2)*((1-$I$4-$I$5+E389)*(1-$I$10)+$I$6-$I$11)-('Data Schema'!$C$3*(1+B389)^2-'Data Schema'!$C$3*(1+B389)^1)*$I$12)/(1+C389)^2+(('Data Schema'!$C$3*(1+B389)^3)*((1-$I$4-$I$5+E389)*(1-$I$10)+$I$6-$I$11)-('Data Schema'!$C$3*(1+B389)^3-'Data Schema'!$C$3*(1+B389)^2)*$I$12)/(1+C389)^3+(('Data Schema'!$C$3*(1+B389)^4)*((1-$I$4-$I$5+E389)*(1-$I$10)+$I$6-$I$11)-('Data Schema'!$C$3*(1+B389)^4-'Data Schema'!$C$3*(1+B389)^3)*$I$12)/(1+C389)^4+(('Data Schema'!$C$3*(1+B389)^5)*((1-$I$4-$I$5+E389)*(1-$I$10)+$I$6-$I$11)-('Data Schema'!$C$3*(1+B389)^5-'Data Schema'!$C$3*(1+B389)^4)*$I$12)/(1+C389)^5+((('Data Schema'!$C$3*(1+B389)^5)*((1-$I$4-$I$5+E389)*(1-$I$10)+$I$6-$I$11)-('Data Schema'!$C$3*(1+B389)^5-'Data Schema'!$C$3*(1+B389)^4)*$I$12)*(1+D389)/(C389-D389))/(1+C389)^5-'Data Schema'!$C$31+'Data Schema'!$C$21)/'Data Schema'!$B$17,0),"INVALID")</f>
        <v>INVALID</v>
      </c>
      <c r="H389" s="189" t="b">
        <f t="shared" ca="1" si="42"/>
        <v>0</v>
      </c>
      <c r="I389" s="188" t="str">
        <f t="shared" ca="1" si="43"/>
        <v/>
      </c>
      <c r="J389" s="349" t="str">
        <f t="shared" ca="1" si="36"/>
        <v/>
      </c>
    </row>
    <row r="390" spans="1:10">
      <c r="A390" s="191">
        <v>211</v>
      </c>
      <c r="B390" s="190">
        <f t="shared" ca="1" si="37"/>
        <v>0.11741084664080403</v>
      </c>
      <c r="C390" s="190">
        <f t="shared" ca="1" si="38"/>
        <v>6.3536080348580035E-2</v>
      </c>
      <c r="D390" s="190">
        <f t="shared" ca="1" si="39"/>
        <v>2.4329043187655313E-2</v>
      </c>
      <c r="E390" s="190">
        <f t="shared" ca="1" si="40"/>
        <v>8.0761401694526731E-3</v>
      </c>
      <c r="F390" s="189" t="b">
        <f t="shared" ca="1" si="41"/>
        <v>1</v>
      </c>
      <c r="G390" s="188">
        <f ca="1">IF(F390,IFERROR(((('Data Schema'!$C$3*(1+B390)^1)*((1-$I$4-$I$5+E390)*(1-$I$10)+$I$6-$I$11)-('Data Schema'!$C$3*(1+B390)^1-'Data Schema'!$C$3)*$I$12)/(1+C390)^1+(('Data Schema'!$C$3*(1+B390)^2)*((1-$I$4-$I$5+E390)*(1-$I$10)+$I$6-$I$11)-('Data Schema'!$C$3*(1+B390)^2-'Data Schema'!$C$3*(1+B390)^1)*$I$12)/(1+C390)^2+(('Data Schema'!$C$3*(1+B390)^3)*((1-$I$4-$I$5+E390)*(1-$I$10)+$I$6-$I$11)-('Data Schema'!$C$3*(1+B390)^3-'Data Schema'!$C$3*(1+B390)^2)*$I$12)/(1+C390)^3+(('Data Schema'!$C$3*(1+B390)^4)*((1-$I$4-$I$5+E390)*(1-$I$10)+$I$6-$I$11)-('Data Schema'!$C$3*(1+B390)^4-'Data Schema'!$C$3*(1+B390)^3)*$I$12)/(1+C390)^4+(('Data Schema'!$C$3*(1+B390)^5)*((1-$I$4-$I$5+E390)*(1-$I$10)+$I$6-$I$11)-('Data Schema'!$C$3*(1+B390)^5-'Data Schema'!$C$3*(1+B390)^4)*$I$12)/(1+C390)^5+((('Data Schema'!$C$3*(1+B390)^5)*((1-$I$4-$I$5+E390)*(1-$I$10)+$I$6-$I$11)-('Data Schema'!$C$3*(1+B390)^5-'Data Schema'!$C$3*(1+B390)^4)*$I$12)*(1+D390)/(C390-D390))/(1+C390)^5-'Data Schema'!$C$31+'Data Schema'!$C$21)/'Data Schema'!$B$17,0),"INVALID")</f>
        <v>101.89376867017532</v>
      </c>
      <c r="H390" s="189" t="b">
        <f t="shared" ca="1" si="42"/>
        <v>1</v>
      </c>
      <c r="I390" s="188">
        <f t="shared" ca="1" si="43"/>
        <v>101.89376867017532</v>
      </c>
      <c r="J390" s="349">
        <f t="shared" ca="1" si="36"/>
        <v>101.89376867017532</v>
      </c>
    </row>
    <row r="391" spans="1:10">
      <c r="A391" s="187">
        <v>212</v>
      </c>
      <c r="B391" s="190">
        <f t="shared" ca="1" si="37"/>
        <v>7.5647084347464422E-2</v>
      </c>
      <c r="C391" s="190">
        <f t="shared" ca="1" si="38"/>
        <v>5.8527313414130117E-2</v>
      </c>
      <c r="D391" s="190">
        <f t="shared" ca="1" si="39"/>
        <v>1.6855273894721447E-2</v>
      </c>
      <c r="E391" s="190">
        <f t="shared" ca="1" si="40"/>
        <v>-7.7659087414696931E-3</v>
      </c>
      <c r="F391" s="189" t="b">
        <f t="shared" ca="1" si="41"/>
        <v>1</v>
      </c>
      <c r="G391" s="188">
        <f ca="1">IF(F391,IFERROR(((('Data Schema'!$C$3*(1+B391)^1)*((1-$I$4-$I$5+E391)*(1-$I$10)+$I$6-$I$11)-('Data Schema'!$C$3*(1+B391)^1-'Data Schema'!$C$3)*$I$12)/(1+C391)^1+(('Data Schema'!$C$3*(1+B391)^2)*((1-$I$4-$I$5+E391)*(1-$I$10)+$I$6-$I$11)-('Data Schema'!$C$3*(1+B391)^2-'Data Schema'!$C$3*(1+B391)^1)*$I$12)/(1+C391)^2+(('Data Schema'!$C$3*(1+B391)^3)*((1-$I$4-$I$5+E391)*(1-$I$10)+$I$6-$I$11)-('Data Schema'!$C$3*(1+B391)^3-'Data Schema'!$C$3*(1+B391)^2)*$I$12)/(1+C391)^3+(('Data Schema'!$C$3*(1+B391)^4)*((1-$I$4-$I$5+E391)*(1-$I$10)+$I$6-$I$11)-('Data Schema'!$C$3*(1+B391)^4-'Data Schema'!$C$3*(1+B391)^3)*$I$12)/(1+C391)^4+(('Data Schema'!$C$3*(1+B391)^5)*((1-$I$4-$I$5+E391)*(1-$I$10)+$I$6-$I$11)-('Data Schema'!$C$3*(1+B391)^5-'Data Schema'!$C$3*(1+B391)^4)*$I$12)/(1+C391)^5+((('Data Schema'!$C$3*(1+B391)^5)*((1-$I$4-$I$5+E391)*(1-$I$10)+$I$6-$I$11)-('Data Schema'!$C$3*(1+B391)^5-'Data Schema'!$C$3*(1+B391)^4)*$I$12)*(1+D391)/(C391-D391))/(1+C391)^5-'Data Schema'!$C$31+'Data Schema'!$C$21)/'Data Schema'!$B$17,0),"INVALID")</f>
        <v>49.367660067662001</v>
      </c>
      <c r="H391" s="189" t="b">
        <f t="shared" ca="1" si="42"/>
        <v>1</v>
      </c>
      <c r="I391" s="188">
        <f t="shared" ca="1" si="43"/>
        <v>49.367660067662001</v>
      </c>
      <c r="J391" s="349">
        <f t="shared" ca="1" si="36"/>
        <v>49.367660067662001</v>
      </c>
    </row>
    <row r="392" spans="1:10">
      <c r="A392" s="191">
        <v>213</v>
      </c>
      <c r="B392" s="190">
        <f t="shared" ca="1" si="37"/>
        <v>0.11077095009890534</v>
      </c>
      <c r="C392" s="190">
        <f t="shared" ca="1" si="38"/>
        <v>6.3943676921192766E-2</v>
      </c>
      <c r="D392" s="190">
        <f t="shared" ca="1" si="39"/>
        <v>2.953743402127091E-2</v>
      </c>
      <c r="E392" s="190">
        <f t="shared" ca="1" si="40"/>
        <v>-1.4176554862654643E-2</v>
      </c>
      <c r="F392" s="189" t="b">
        <f t="shared" ca="1" si="41"/>
        <v>1</v>
      </c>
      <c r="G392" s="188">
        <f ca="1">IF(F392,IFERROR(((('Data Schema'!$C$3*(1+B392)^1)*((1-$I$4-$I$5+E392)*(1-$I$10)+$I$6-$I$11)-('Data Schema'!$C$3*(1+B392)^1-'Data Schema'!$C$3)*$I$12)/(1+C392)^1+(('Data Schema'!$C$3*(1+B392)^2)*((1-$I$4-$I$5+E392)*(1-$I$10)+$I$6-$I$11)-('Data Schema'!$C$3*(1+B392)^2-'Data Schema'!$C$3*(1+B392)^1)*$I$12)/(1+C392)^2+(('Data Schema'!$C$3*(1+B392)^3)*((1-$I$4-$I$5+E392)*(1-$I$10)+$I$6-$I$11)-('Data Schema'!$C$3*(1+B392)^3-'Data Schema'!$C$3*(1+B392)^2)*$I$12)/(1+C392)^3+(('Data Schema'!$C$3*(1+B392)^4)*((1-$I$4-$I$5+E392)*(1-$I$10)+$I$6-$I$11)-('Data Schema'!$C$3*(1+B392)^4-'Data Schema'!$C$3*(1+B392)^3)*$I$12)/(1+C392)^4+(('Data Schema'!$C$3*(1+B392)^5)*((1-$I$4-$I$5+E392)*(1-$I$10)+$I$6-$I$11)-('Data Schema'!$C$3*(1+B392)^5-'Data Schema'!$C$3*(1+B392)^4)*$I$12)/(1+C392)^5+((('Data Schema'!$C$3*(1+B392)^5)*((1-$I$4-$I$5+E392)*(1-$I$10)+$I$6-$I$11)-('Data Schema'!$C$3*(1+B392)^5-'Data Schema'!$C$3*(1+B392)^4)*$I$12)*(1+D392)/(C392-D392))/(1+C392)^5-'Data Schema'!$C$31+'Data Schema'!$C$21)/'Data Schema'!$B$17,0),"INVALID")</f>
        <v>48.631717466637127</v>
      </c>
      <c r="H392" s="189" t="b">
        <f t="shared" ca="1" si="42"/>
        <v>1</v>
      </c>
      <c r="I392" s="188">
        <f t="shared" ca="1" si="43"/>
        <v>48.631717466637127</v>
      </c>
      <c r="J392" s="349">
        <f t="shared" ca="1" si="36"/>
        <v>48.631717466637127</v>
      </c>
    </row>
    <row r="393" spans="1:10">
      <c r="A393" s="187">
        <v>214</v>
      </c>
      <c r="B393" s="190">
        <f t="shared" ca="1" si="37"/>
        <v>9.0842399650335734E-2</v>
      </c>
      <c r="C393" s="190">
        <f t="shared" ca="1" si="38"/>
        <v>3.9578185555700252E-2</v>
      </c>
      <c r="D393" s="190">
        <f t="shared" ca="1" si="39"/>
        <v>2.0764418708691348E-2</v>
      </c>
      <c r="E393" s="190">
        <f t="shared" ca="1" si="40"/>
        <v>1.392027368934152E-3</v>
      </c>
      <c r="F393" s="189" t="b">
        <f t="shared" ca="1" si="41"/>
        <v>1</v>
      </c>
      <c r="G393" s="188">
        <f ca="1">IF(F393,IFERROR(((('Data Schema'!$C$3*(1+B393)^1)*((1-$I$4-$I$5+E393)*(1-$I$10)+$I$6-$I$11)-('Data Schema'!$C$3*(1+B393)^1-'Data Schema'!$C$3)*$I$12)/(1+C393)^1+(('Data Schema'!$C$3*(1+B393)^2)*((1-$I$4-$I$5+E393)*(1-$I$10)+$I$6-$I$11)-('Data Schema'!$C$3*(1+B393)^2-'Data Schema'!$C$3*(1+B393)^1)*$I$12)/(1+C393)^2+(('Data Schema'!$C$3*(1+B393)^3)*((1-$I$4-$I$5+E393)*(1-$I$10)+$I$6-$I$11)-('Data Schema'!$C$3*(1+B393)^3-'Data Schema'!$C$3*(1+B393)^2)*$I$12)/(1+C393)^3+(('Data Schema'!$C$3*(1+B393)^4)*((1-$I$4-$I$5+E393)*(1-$I$10)+$I$6-$I$11)-('Data Schema'!$C$3*(1+B393)^4-'Data Schema'!$C$3*(1+B393)^3)*$I$12)/(1+C393)^4+(('Data Schema'!$C$3*(1+B393)^5)*((1-$I$4-$I$5+E393)*(1-$I$10)+$I$6-$I$11)-('Data Schema'!$C$3*(1+B393)^5-'Data Schema'!$C$3*(1+B393)^4)*$I$12)/(1+C393)^5+((('Data Schema'!$C$3*(1+B393)^5)*((1-$I$4-$I$5+E393)*(1-$I$10)+$I$6-$I$11)-('Data Schema'!$C$3*(1+B393)^5-'Data Schema'!$C$3*(1+B393)^4)*$I$12)*(1+D393)/(C393-D393))/(1+C393)^5-'Data Schema'!$C$31+'Data Schema'!$C$21)/'Data Schema'!$B$17,0),"INVALID")</f>
        <v>170.07070681580078</v>
      </c>
      <c r="H393" s="189" t="b">
        <f t="shared" ca="1" si="42"/>
        <v>1</v>
      </c>
      <c r="I393" s="188">
        <f t="shared" ca="1" si="43"/>
        <v>170.07070681580078</v>
      </c>
      <c r="J393" s="349">
        <f t="shared" ca="1" si="36"/>
        <v>170.07070681580078</v>
      </c>
    </row>
    <row r="394" spans="1:10">
      <c r="A394" s="191">
        <v>215</v>
      </c>
      <c r="B394" s="190">
        <f t="shared" ca="1" si="37"/>
        <v>6.1690635474822973E-2</v>
      </c>
      <c r="C394" s="190">
        <f t="shared" ca="1" si="38"/>
        <v>6.8693000202891749E-2</v>
      </c>
      <c r="D394" s="190">
        <f t="shared" ca="1" si="39"/>
        <v>3.1072442404139401E-2</v>
      </c>
      <c r="E394" s="190">
        <f t="shared" ca="1" si="40"/>
        <v>2.5338869457661138E-3</v>
      </c>
      <c r="F394" s="189" t="b">
        <f t="shared" ca="1" si="41"/>
        <v>1</v>
      </c>
      <c r="G394" s="188">
        <f ca="1">IF(F394,IFERROR(((('Data Schema'!$C$3*(1+B394)^1)*((1-$I$4-$I$5+E394)*(1-$I$10)+$I$6-$I$11)-('Data Schema'!$C$3*(1+B394)^1-'Data Schema'!$C$3)*$I$12)/(1+C394)^1+(('Data Schema'!$C$3*(1+B394)^2)*((1-$I$4-$I$5+E394)*(1-$I$10)+$I$6-$I$11)-('Data Schema'!$C$3*(1+B394)^2-'Data Schema'!$C$3*(1+B394)^1)*$I$12)/(1+C394)^2+(('Data Schema'!$C$3*(1+B394)^3)*((1-$I$4-$I$5+E394)*(1-$I$10)+$I$6-$I$11)-('Data Schema'!$C$3*(1+B394)^3-'Data Schema'!$C$3*(1+B394)^2)*$I$12)/(1+C394)^3+(('Data Schema'!$C$3*(1+B394)^4)*((1-$I$4-$I$5+E394)*(1-$I$10)+$I$6-$I$11)-('Data Schema'!$C$3*(1+B394)^4-'Data Schema'!$C$3*(1+B394)^3)*$I$12)/(1+C394)^4+(('Data Schema'!$C$3*(1+B394)^5)*((1-$I$4-$I$5+E394)*(1-$I$10)+$I$6-$I$11)-('Data Schema'!$C$3*(1+B394)^5-'Data Schema'!$C$3*(1+B394)^4)*$I$12)/(1+C394)^5+((('Data Schema'!$C$3*(1+B394)^5)*((1-$I$4-$I$5+E394)*(1-$I$10)+$I$6-$I$11)-('Data Schema'!$C$3*(1+B394)^5-'Data Schema'!$C$3*(1+B394)^4)*$I$12)*(1+D394)/(C394-D394))/(1+C394)^5-'Data Schema'!$C$31+'Data Schema'!$C$21)/'Data Schema'!$B$17,0),"INVALID")</f>
        <v>71.160836917000452</v>
      </c>
      <c r="H394" s="189" t="b">
        <f t="shared" ca="1" si="42"/>
        <v>1</v>
      </c>
      <c r="I394" s="188">
        <f t="shared" ca="1" si="43"/>
        <v>71.160836917000452</v>
      </c>
      <c r="J394" s="349">
        <f t="shared" ca="1" si="36"/>
        <v>71.160836917000452</v>
      </c>
    </row>
    <row r="395" spans="1:10">
      <c r="A395" s="187">
        <v>216</v>
      </c>
      <c r="B395" s="190">
        <f t="shared" ca="1" si="37"/>
        <v>9.8167019687106574E-2</v>
      </c>
      <c r="C395" s="190">
        <f t="shared" ca="1" si="38"/>
        <v>4.9530628197919986E-2</v>
      </c>
      <c r="D395" s="190">
        <f t="shared" ca="1" si="39"/>
        <v>2.417283133408351E-2</v>
      </c>
      <c r="E395" s="190">
        <f t="shared" ca="1" si="40"/>
        <v>-2.3632984768376698E-2</v>
      </c>
      <c r="F395" s="189" t="b">
        <f t="shared" ca="1" si="41"/>
        <v>1</v>
      </c>
      <c r="G395" s="188">
        <f ca="1">IF(F395,IFERROR(((('Data Schema'!$C$3*(1+B395)^1)*((1-$I$4-$I$5+E395)*(1-$I$10)+$I$6-$I$11)-('Data Schema'!$C$3*(1+B395)^1-'Data Schema'!$C$3)*$I$12)/(1+C395)^1+(('Data Schema'!$C$3*(1+B395)^2)*((1-$I$4-$I$5+E395)*(1-$I$10)+$I$6-$I$11)-('Data Schema'!$C$3*(1+B395)^2-'Data Schema'!$C$3*(1+B395)^1)*$I$12)/(1+C395)^2+(('Data Schema'!$C$3*(1+B395)^3)*((1-$I$4-$I$5+E395)*(1-$I$10)+$I$6-$I$11)-('Data Schema'!$C$3*(1+B395)^3-'Data Schema'!$C$3*(1+B395)^2)*$I$12)/(1+C395)^3+(('Data Schema'!$C$3*(1+B395)^4)*((1-$I$4-$I$5+E395)*(1-$I$10)+$I$6-$I$11)-('Data Schema'!$C$3*(1+B395)^4-'Data Schema'!$C$3*(1+B395)^3)*$I$12)/(1+C395)^4+(('Data Schema'!$C$3*(1+B395)^5)*((1-$I$4-$I$5+E395)*(1-$I$10)+$I$6-$I$11)-('Data Schema'!$C$3*(1+B395)^5-'Data Schema'!$C$3*(1+B395)^4)*$I$12)/(1+C395)^5+((('Data Schema'!$C$3*(1+B395)^5)*((1-$I$4-$I$5+E395)*(1-$I$10)+$I$6-$I$11)-('Data Schema'!$C$3*(1+B395)^5-'Data Schema'!$C$3*(1+B395)^4)*$I$12)*(1+D395)/(C395-D395))/(1+C395)^5-'Data Schema'!$C$31+'Data Schema'!$C$21)/'Data Schema'!$B$17,0),"INVALID")</f>
        <v>31.765609164829794</v>
      </c>
      <c r="H395" s="189" t="b">
        <f t="shared" ca="1" si="42"/>
        <v>1</v>
      </c>
      <c r="I395" s="188">
        <f t="shared" ca="1" si="43"/>
        <v>31.765609164829794</v>
      </c>
      <c r="J395" s="349">
        <f t="shared" ca="1" si="36"/>
        <v>31.765609164829794</v>
      </c>
    </row>
    <row r="396" spans="1:10">
      <c r="A396" s="191">
        <v>217</v>
      </c>
      <c r="B396" s="190">
        <f t="shared" ca="1" si="37"/>
        <v>9.8529778454378394E-2</v>
      </c>
      <c r="C396" s="190">
        <f t="shared" ca="1" si="38"/>
        <v>5.4365193353165281E-2</v>
      </c>
      <c r="D396" s="190">
        <f t="shared" ca="1" si="39"/>
        <v>3.1744566576445921E-2</v>
      </c>
      <c r="E396" s="190">
        <f t="shared" ca="1" si="40"/>
        <v>-4.8660286668972012E-3</v>
      </c>
      <c r="F396" s="189" t="b">
        <f t="shared" ca="1" si="41"/>
        <v>1</v>
      </c>
      <c r="G396" s="188">
        <f ca="1">IF(F396,IFERROR(((('Data Schema'!$C$3*(1+B396)^1)*((1-$I$4-$I$5+E396)*(1-$I$10)+$I$6-$I$11)-('Data Schema'!$C$3*(1+B396)^1-'Data Schema'!$C$3)*$I$12)/(1+C396)^1+(('Data Schema'!$C$3*(1+B396)^2)*((1-$I$4-$I$5+E396)*(1-$I$10)+$I$6-$I$11)-('Data Schema'!$C$3*(1+B396)^2-'Data Schema'!$C$3*(1+B396)^1)*$I$12)/(1+C396)^2+(('Data Schema'!$C$3*(1+B396)^3)*((1-$I$4-$I$5+E396)*(1-$I$10)+$I$6-$I$11)-('Data Schema'!$C$3*(1+B396)^3-'Data Schema'!$C$3*(1+B396)^2)*$I$12)/(1+C396)^3+(('Data Schema'!$C$3*(1+B396)^4)*((1-$I$4-$I$5+E396)*(1-$I$10)+$I$6-$I$11)-('Data Schema'!$C$3*(1+B396)^4-'Data Schema'!$C$3*(1+B396)^3)*$I$12)/(1+C396)^4+(('Data Schema'!$C$3*(1+B396)^5)*((1-$I$4-$I$5+E396)*(1-$I$10)+$I$6-$I$11)-('Data Schema'!$C$3*(1+B396)^5-'Data Schema'!$C$3*(1+B396)^4)*$I$12)/(1+C396)^5+((('Data Schema'!$C$3*(1+B396)^5)*((1-$I$4-$I$5+E396)*(1-$I$10)+$I$6-$I$11)-('Data Schema'!$C$3*(1+B396)^5-'Data Schema'!$C$3*(1+B396)^4)*$I$12)*(1+D396)/(C396-D396))/(1+C396)^5-'Data Schema'!$C$31+'Data Schema'!$C$21)/'Data Schema'!$B$17,0),"INVALID")</f>
        <v>112.51380560632451</v>
      </c>
      <c r="H396" s="189" t="b">
        <f t="shared" ca="1" si="42"/>
        <v>1</v>
      </c>
      <c r="I396" s="188">
        <f t="shared" ca="1" si="43"/>
        <v>112.51380560632451</v>
      </c>
      <c r="J396" s="349">
        <f t="shared" ca="1" si="36"/>
        <v>112.51380560632451</v>
      </c>
    </row>
    <row r="397" spans="1:10">
      <c r="A397" s="187">
        <v>218</v>
      </c>
      <c r="B397" s="190">
        <f t="shared" ca="1" si="37"/>
        <v>0.14887762318639711</v>
      </c>
      <c r="C397" s="190">
        <f t="shared" ca="1" si="38"/>
        <v>6.3492435232650676E-2</v>
      </c>
      <c r="D397" s="190">
        <f t="shared" ca="1" si="39"/>
        <v>2.7975393467764162E-2</v>
      </c>
      <c r="E397" s="190">
        <f t="shared" ca="1" si="40"/>
        <v>2.5199868368668162E-2</v>
      </c>
      <c r="F397" s="189" t="b">
        <f t="shared" ca="1" si="41"/>
        <v>1</v>
      </c>
      <c r="G397" s="188">
        <f ca="1">IF(F397,IFERROR(((('Data Schema'!$C$3*(1+B397)^1)*((1-$I$4-$I$5+E397)*(1-$I$10)+$I$6-$I$11)-('Data Schema'!$C$3*(1+B397)^1-'Data Schema'!$C$3)*$I$12)/(1+C397)^1+(('Data Schema'!$C$3*(1+B397)^2)*((1-$I$4-$I$5+E397)*(1-$I$10)+$I$6-$I$11)-('Data Schema'!$C$3*(1+B397)^2-'Data Schema'!$C$3*(1+B397)^1)*$I$12)/(1+C397)^2+(('Data Schema'!$C$3*(1+B397)^3)*((1-$I$4-$I$5+E397)*(1-$I$10)+$I$6-$I$11)-('Data Schema'!$C$3*(1+B397)^3-'Data Schema'!$C$3*(1+B397)^2)*$I$12)/(1+C397)^3+(('Data Schema'!$C$3*(1+B397)^4)*((1-$I$4-$I$5+E397)*(1-$I$10)+$I$6-$I$11)-('Data Schema'!$C$3*(1+B397)^4-'Data Schema'!$C$3*(1+B397)^3)*$I$12)/(1+C397)^4+(('Data Schema'!$C$3*(1+B397)^5)*((1-$I$4-$I$5+E397)*(1-$I$10)+$I$6-$I$11)-('Data Schema'!$C$3*(1+B397)^5-'Data Schema'!$C$3*(1+B397)^4)*$I$12)/(1+C397)^5+((('Data Schema'!$C$3*(1+B397)^5)*((1-$I$4-$I$5+E397)*(1-$I$10)+$I$6-$I$11)-('Data Schema'!$C$3*(1+B397)^5-'Data Schema'!$C$3*(1+B397)^4)*$I$12)*(1+D397)/(C397-D397))/(1+C397)^5-'Data Schema'!$C$31+'Data Schema'!$C$21)/'Data Schema'!$B$17,0),"INVALID")</f>
        <v>182.42823701121389</v>
      </c>
      <c r="H397" s="189" t="b">
        <f t="shared" ca="1" si="42"/>
        <v>1</v>
      </c>
      <c r="I397" s="188">
        <f t="shared" ca="1" si="43"/>
        <v>182.42823701121389</v>
      </c>
      <c r="J397" s="349">
        <f t="shared" ca="1" si="36"/>
        <v>182.42823701121389</v>
      </c>
    </row>
    <row r="398" spans="1:10">
      <c r="A398" s="191">
        <v>219</v>
      </c>
      <c r="B398" s="190">
        <f t="shared" ca="1" si="37"/>
        <v>6.9023678718925258E-2</v>
      </c>
      <c r="C398" s="190">
        <f t="shared" ca="1" si="38"/>
        <v>6.1755726716526467E-2</v>
      </c>
      <c r="D398" s="190">
        <f t="shared" ca="1" si="39"/>
        <v>2.4120685249567893E-2</v>
      </c>
      <c r="E398" s="190">
        <f t="shared" ca="1" si="40"/>
        <v>-1.8650484969634118E-2</v>
      </c>
      <c r="F398" s="189" t="b">
        <f t="shared" ca="1" si="41"/>
        <v>1</v>
      </c>
      <c r="G398" s="188">
        <f ca="1">IF(F398,IFERROR(((('Data Schema'!$C$3*(1+B398)^1)*((1-$I$4-$I$5+E398)*(1-$I$10)+$I$6-$I$11)-('Data Schema'!$C$3*(1+B398)^1-'Data Schema'!$C$3)*$I$12)/(1+C398)^1+(('Data Schema'!$C$3*(1+B398)^2)*((1-$I$4-$I$5+E398)*(1-$I$10)+$I$6-$I$11)-('Data Schema'!$C$3*(1+B398)^2-'Data Schema'!$C$3*(1+B398)^1)*$I$12)/(1+C398)^2+(('Data Schema'!$C$3*(1+B398)^3)*((1-$I$4-$I$5+E398)*(1-$I$10)+$I$6-$I$11)-('Data Schema'!$C$3*(1+B398)^3-'Data Schema'!$C$3*(1+B398)^2)*$I$12)/(1+C398)^3+(('Data Schema'!$C$3*(1+B398)^4)*((1-$I$4-$I$5+E398)*(1-$I$10)+$I$6-$I$11)-('Data Schema'!$C$3*(1+B398)^4-'Data Schema'!$C$3*(1+B398)^3)*$I$12)/(1+C398)^4+(('Data Schema'!$C$3*(1+B398)^5)*((1-$I$4-$I$5+E398)*(1-$I$10)+$I$6-$I$11)-('Data Schema'!$C$3*(1+B398)^5-'Data Schema'!$C$3*(1+B398)^4)*$I$12)/(1+C398)^5+((('Data Schema'!$C$3*(1+B398)^5)*((1-$I$4-$I$5+E398)*(1-$I$10)+$I$6-$I$11)-('Data Schema'!$C$3*(1+B398)^5-'Data Schema'!$C$3*(1+B398)^4)*$I$12)*(1+D398)/(C398-D398))/(1+C398)^5-'Data Schema'!$C$31+'Data Schema'!$C$21)/'Data Schema'!$B$17,0),"INVALID")</f>
        <v>28.368786035117164</v>
      </c>
      <c r="H398" s="189" t="b">
        <f t="shared" ca="1" si="42"/>
        <v>1</v>
      </c>
      <c r="I398" s="188">
        <f t="shared" ca="1" si="43"/>
        <v>28.368786035117164</v>
      </c>
      <c r="J398" s="349">
        <f t="shared" ca="1" si="36"/>
        <v>28.368786035117164</v>
      </c>
    </row>
    <row r="399" spans="1:10">
      <c r="A399" s="187">
        <v>220</v>
      </c>
      <c r="B399" s="190">
        <f t="shared" ca="1" si="37"/>
        <v>9.6929959572309071E-2</v>
      </c>
      <c r="C399" s="190">
        <f t="shared" ca="1" si="38"/>
        <v>5.1918945358342468E-2</v>
      </c>
      <c r="D399" s="190">
        <f t="shared" ca="1" si="39"/>
        <v>2.2071487079585398E-2</v>
      </c>
      <c r="E399" s="190">
        <f t="shared" ca="1" si="40"/>
        <v>5.6324683601406439E-2</v>
      </c>
      <c r="F399" s="189" t="b">
        <f t="shared" ca="1" si="41"/>
        <v>1</v>
      </c>
      <c r="G399" s="188">
        <f ca="1">IF(F399,IFERROR(((('Data Schema'!$C$3*(1+B399)^1)*((1-$I$4-$I$5+E399)*(1-$I$10)+$I$6-$I$11)-('Data Schema'!$C$3*(1+B399)^1-'Data Schema'!$C$3)*$I$12)/(1+C399)^1+(('Data Schema'!$C$3*(1+B399)^2)*((1-$I$4-$I$5+E399)*(1-$I$10)+$I$6-$I$11)-('Data Schema'!$C$3*(1+B399)^2-'Data Schema'!$C$3*(1+B399)^1)*$I$12)/(1+C399)^2+(('Data Schema'!$C$3*(1+B399)^3)*((1-$I$4-$I$5+E399)*(1-$I$10)+$I$6-$I$11)-('Data Schema'!$C$3*(1+B399)^3-'Data Schema'!$C$3*(1+B399)^2)*$I$12)/(1+C399)^3+(('Data Schema'!$C$3*(1+B399)^4)*((1-$I$4-$I$5+E399)*(1-$I$10)+$I$6-$I$11)-('Data Schema'!$C$3*(1+B399)^4-'Data Schema'!$C$3*(1+B399)^3)*$I$12)/(1+C399)^4+(('Data Schema'!$C$3*(1+B399)^5)*((1-$I$4-$I$5+E399)*(1-$I$10)+$I$6-$I$11)-('Data Schema'!$C$3*(1+B399)^5-'Data Schema'!$C$3*(1+B399)^4)*$I$12)/(1+C399)^5+((('Data Schema'!$C$3*(1+B399)^5)*((1-$I$4-$I$5+E399)*(1-$I$10)+$I$6-$I$11)-('Data Schema'!$C$3*(1+B399)^5-'Data Schema'!$C$3*(1+B399)^4)*$I$12)*(1+D399)/(C399-D399))/(1+C399)^5-'Data Schema'!$C$31+'Data Schema'!$C$21)/'Data Schema'!$B$17,0),"INVALID")</f>
        <v>281.39609966854044</v>
      </c>
      <c r="H399" s="189" t="b">
        <f t="shared" ca="1" si="42"/>
        <v>1</v>
      </c>
      <c r="I399" s="188">
        <f t="shared" ca="1" si="43"/>
        <v>281.39609966854044</v>
      </c>
      <c r="J399" s="349" t="str">
        <f t="shared" ca="1" si="36"/>
        <v/>
      </c>
    </row>
    <row r="400" spans="1:10">
      <c r="A400" s="191">
        <v>221</v>
      </c>
      <c r="B400" s="190">
        <f t="shared" ca="1" si="37"/>
        <v>0.12052666432404034</v>
      </c>
      <c r="C400" s="190">
        <f t="shared" ca="1" si="38"/>
        <v>6.6181837326851276E-2</v>
      </c>
      <c r="D400" s="190">
        <f t="shared" ca="1" si="39"/>
        <v>2.0385988257413397E-2</v>
      </c>
      <c r="E400" s="190">
        <f t="shared" ca="1" si="40"/>
        <v>1.5509549461060682E-2</v>
      </c>
      <c r="F400" s="189" t="b">
        <f t="shared" ca="1" si="41"/>
        <v>1</v>
      </c>
      <c r="G400" s="188">
        <f ca="1">IF(F400,IFERROR(((('Data Schema'!$C$3*(1+B400)^1)*((1-$I$4-$I$5+E400)*(1-$I$10)+$I$6-$I$11)-('Data Schema'!$C$3*(1+B400)^1-'Data Schema'!$C$3)*$I$12)/(1+C400)^1+(('Data Schema'!$C$3*(1+B400)^2)*((1-$I$4-$I$5+E400)*(1-$I$10)+$I$6-$I$11)-('Data Schema'!$C$3*(1+B400)^2-'Data Schema'!$C$3*(1+B400)^1)*$I$12)/(1+C400)^2+(('Data Schema'!$C$3*(1+B400)^3)*((1-$I$4-$I$5+E400)*(1-$I$10)+$I$6-$I$11)-('Data Schema'!$C$3*(1+B400)^3-'Data Schema'!$C$3*(1+B400)^2)*$I$12)/(1+C400)^3+(('Data Schema'!$C$3*(1+B400)^4)*((1-$I$4-$I$5+E400)*(1-$I$10)+$I$6-$I$11)-('Data Schema'!$C$3*(1+B400)^4-'Data Schema'!$C$3*(1+B400)^3)*$I$12)/(1+C400)^4+(('Data Schema'!$C$3*(1+B400)^5)*((1-$I$4-$I$5+E400)*(1-$I$10)+$I$6-$I$11)-('Data Schema'!$C$3*(1+B400)^5-'Data Schema'!$C$3*(1+B400)^4)*$I$12)/(1+C400)^5+((('Data Schema'!$C$3*(1+B400)^5)*((1-$I$4-$I$5+E400)*(1-$I$10)+$I$6-$I$11)-('Data Schema'!$C$3*(1+B400)^5-'Data Schema'!$C$3*(1+B400)^4)*$I$12)*(1+D400)/(C400-D400))/(1+C400)^5-'Data Schema'!$C$31+'Data Schema'!$C$21)/'Data Schema'!$B$17,0),"INVALID")</f>
        <v>105.26239431586654</v>
      </c>
      <c r="H400" s="189" t="b">
        <f t="shared" ca="1" si="42"/>
        <v>1</v>
      </c>
      <c r="I400" s="188">
        <f t="shared" ca="1" si="43"/>
        <v>105.26239431586654</v>
      </c>
      <c r="J400" s="349">
        <f t="shared" ca="1" si="36"/>
        <v>105.26239431586654</v>
      </c>
    </row>
    <row r="401" spans="1:10">
      <c r="A401" s="187">
        <v>222</v>
      </c>
      <c r="B401" s="190">
        <f t="shared" ca="1" si="37"/>
        <v>0.10316343123405658</v>
      </c>
      <c r="C401" s="190">
        <f t="shared" ca="1" si="38"/>
        <v>5.2524255014728558E-2</v>
      </c>
      <c r="D401" s="190">
        <f t="shared" ca="1" si="39"/>
        <v>1.7769816093651188E-2</v>
      </c>
      <c r="E401" s="190">
        <f t="shared" ca="1" si="40"/>
        <v>4.6298967930809625E-3</v>
      </c>
      <c r="F401" s="189" t="b">
        <f t="shared" ca="1" si="41"/>
        <v>1</v>
      </c>
      <c r="G401" s="188">
        <f ca="1">IF(F401,IFERROR(((('Data Schema'!$C$3*(1+B401)^1)*((1-$I$4-$I$5+E401)*(1-$I$10)+$I$6-$I$11)-('Data Schema'!$C$3*(1+B401)^1-'Data Schema'!$C$3)*$I$12)/(1+C401)^1+(('Data Schema'!$C$3*(1+B401)^2)*((1-$I$4-$I$5+E401)*(1-$I$10)+$I$6-$I$11)-('Data Schema'!$C$3*(1+B401)^2-'Data Schema'!$C$3*(1+B401)^1)*$I$12)/(1+C401)^2+(('Data Schema'!$C$3*(1+B401)^3)*((1-$I$4-$I$5+E401)*(1-$I$10)+$I$6-$I$11)-('Data Schema'!$C$3*(1+B401)^3-'Data Schema'!$C$3*(1+B401)^2)*$I$12)/(1+C401)^3+(('Data Schema'!$C$3*(1+B401)^4)*((1-$I$4-$I$5+E401)*(1-$I$10)+$I$6-$I$11)-('Data Schema'!$C$3*(1+B401)^4-'Data Schema'!$C$3*(1+B401)^3)*$I$12)/(1+C401)^4+(('Data Schema'!$C$3*(1+B401)^5)*((1-$I$4-$I$5+E401)*(1-$I$10)+$I$6-$I$11)-('Data Schema'!$C$3*(1+B401)^5-'Data Schema'!$C$3*(1+B401)^4)*$I$12)/(1+C401)^5+((('Data Schema'!$C$3*(1+B401)^5)*((1-$I$4-$I$5+E401)*(1-$I$10)+$I$6-$I$11)-('Data Schema'!$C$3*(1+B401)^5-'Data Schema'!$C$3*(1+B401)^4)*$I$12)*(1+D401)/(C401-D401))/(1+C401)^5-'Data Schema'!$C$31+'Data Schema'!$C$21)/'Data Schema'!$B$17,0),"INVALID")</f>
        <v>102.78074122453638</v>
      </c>
      <c r="H401" s="189" t="b">
        <f t="shared" ca="1" si="42"/>
        <v>1</v>
      </c>
      <c r="I401" s="188">
        <f t="shared" ca="1" si="43"/>
        <v>102.78074122453638</v>
      </c>
      <c r="J401" s="349">
        <f t="shared" ca="1" si="36"/>
        <v>102.78074122453638</v>
      </c>
    </row>
    <row r="402" spans="1:10">
      <c r="A402" s="191">
        <v>223</v>
      </c>
      <c r="B402" s="190">
        <f t="shared" ca="1" si="37"/>
        <v>9.1068376494907455E-2</v>
      </c>
      <c r="C402" s="190">
        <f t="shared" ca="1" si="38"/>
        <v>5.9405510089325014E-2</v>
      </c>
      <c r="D402" s="190">
        <f t="shared" ca="1" si="39"/>
        <v>1.3842294243050586E-2</v>
      </c>
      <c r="E402" s="190">
        <f t="shared" ca="1" si="40"/>
        <v>-7.9946854161523258E-3</v>
      </c>
      <c r="F402" s="189" t="b">
        <f t="shared" ca="1" si="41"/>
        <v>1</v>
      </c>
      <c r="G402" s="188">
        <f ca="1">IF(F402,IFERROR(((('Data Schema'!$C$3*(1+B402)^1)*((1-$I$4-$I$5+E402)*(1-$I$10)+$I$6-$I$11)-('Data Schema'!$C$3*(1+B402)^1-'Data Schema'!$C$3)*$I$12)/(1+C402)^1+(('Data Schema'!$C$3*(1+B402)^2)*((1-$I$4-$I$5+E402)*(1-$I$10)+$I$6-$I$11)-('Data Schema'!$C$3*(1+B402)^2-'Data Schema'!$C$3*(1+B402)^1)*$I$12)/(1+C402)^2+(('Data Schema'!$C$3*(1+B402)^3)*((1-$I$4-$I$5+E402)*(1-$I$10)+$I$6-$I$11)-('Data Schema'!$C$3*(1+B402)^3-'Data Schema'!$C$3*(1+B402)^2)*$I$12)/(1+C402)^3+(('Data Schema'!$C$3*(1+B402)^4)*((1-$I$4-$I$5+E402)*(1-$I$10)+$I$6-$I$11)-('Data Schema'!$C$3*(1+B402)^4-'Data Schema'!$C$3*(1+B402)^3)*$I$12)/(1+C402)^4+(('Data Schema'!$C$3*(1+B402)^5)*((1-$I$4-$I$5+E402)*(1-$I$10)+$I$6-$I$11)-('Data Schema'!$C$3*(1+B402)^5-'Data Schema'!$C$3*(1+B402)^4)*$I$12)/(1+C402)^5+((('Data Schema'!$C$3*(1+B402)^5)*((1-$I$4-$I$5+E402)*(1-$I$10)+$I$6-$I$11)-('Data Schema'!$C$3*(1+B402)^5-'Data Schema'!$C$3*(1+B402)^4)*$I$12)*(1+D402)/(C402-D402))/(1+C402)^5-'Data Schema'!$C$31+'Data Schema'!$C$21)/'Data Schema'!$B$17,0),"INVALID")</f>
        <v>47.3787620059693</v>
      </c>
      <c r="H402" s="189" t="b">
        <f t="shared" ca="1" si="42"/>
        <v>1</v>
      </c>
      <c r="I402" s="188">
        <f t="shared" ca="1" si="43"/>
        <v>47.3787620059693</v>
      </c>
      <c r="J402" s="349">
        <f t="shared" ca="1" si="36"/>
        <v>47.3787620059693</v>
      </c>
    </row>
    <row r="403" spans="1:10">
      <c r="A403" s="187">
        <v>224</v>
      </c>
      <c r="B403" s="190">
        <f t="shared" ca="1" si="37"/>
        <v>7.6390814781296779E-2</v>
      </c>
      <c r="C403" s="190">
        <f t="shared" ca="1" si="38"/>
        <v>5.4230937459761187E-2</v>
      </c>
      <c r="D403" s="190">
        <f t="shared" ca="1" si="39"/>
        <v>1.6397275135197491E-2</v>
      </c>
      <c r="E403" s="190">
        <f t="shared" ca="1" si="40"/>
        <v>-1.3100170845225405E-2</v>
      </c>
      <c r="F403" s="189" t="b">
        <f t="shared" ca="1" si="41"/>
        <v>1</v>
      </c>
      <c r="G403" s="188">
        <f ca="1">IF(F403,IFERROR(((('Data Schema'!$C$3*(1+B403)^1)*((1-$I$4-$I$5+E403)*(1-$I$10)+$I$6-$I$11)-('Data Schema'!$C$3*(1+B403)^1-'Data Schema'!$C$3)*$I$12)/(1+C403)^1+(('Data Schema'!$C$3*(1+B403)^2)*((1-$I$4-$I$5+E403)*(1-$I$10)+$I$6-$I$11)-('Data Schema'!$C$3*(1+B403)^2-'Data Schema'!$C$3*(1+B403)^1)*$I$12)/(1+C403)^2+(('Data Schema'!$C$3*(1+B403)^3)*((1-$I$4-$I$5+E403)*(1-$I$10)+$I$6-$I$11)-('Data Schema'!$C$3*(1+B403)^3-'Data Schema'!$C$3*(1+B403)^2)*$I$12)/(1+C403)^3+(('Data Schema'!$C$3*(1+B403)^4)*((1-$I$4-$I$5+E403)*(1-$I$10)+$I$6-$I$11)-('Data Schema'!$C$3*(1+B403)^4-'Data Schema'!$C$3*(1+B403)^3)*$I$12)/(1+C403)^4+(('Data Schema'!$C$3*(1+B403)^5)*((1-$I$4-$I$5+E403)*(1-$I$10)+$I$6-$I$11)-('Data Schema'!$C$3*(1+B403)^5-'Data Schema'!$C$3*(1+B403)^4)*$I$12)/(1+C403)^5+((('Data Schema'!$C$3*(1+B403)^5)*((1-$I$4-$I$5+E403)*(1-$I$10)+$I$6-$I$11)-('Data Schema'!$C$3*(1+B403)^5-'Data Schema'!$C$3*(1+B403)^4)*$I$12)*(1+D403)/(C403-D403))/(1+C403)^5-'Data Schema'!$C$31+'Data Schema'!$C$21)/'Data Schema'!$B$17,0),"INVALID")</f>
        <v>42.965390912160508</v>
      </c>
      <c r="H403" s="189" t="b">
        <f t="shared" ca="1" si="42"/>
        <v>1</v>
      </c>
      <c r="I403" s="188">
        <f t="shared" ca="1" si="43"/>
        <v>42.965390912160508</v>
      </c>
      <c r="J403" s="349">
        <f t="shared" ca="1" si="36"/>
        <v>42.965390912160508</v>
      </c>
    </row>
    <row r="404" spans="1:10">
      <c r="A404" s="191">
        <v>225</v>
      </c>
      <c r="B404" s="190">
        <f t="shared" ca="1" si="37"/>
        <v>0.10992303579062977</v>
      </c>
      <c r="C404" s="190">
        <f t="shared" ca="1" si="38"/>
        <v>7.3875603507939355E-2</v>
      </c>
      <c r="D404" s="190">
        <f t="shared" ca="1" si="39"/>
        <v>2.0507843996986054E-2</v>
      </c>
      <c r="E404" s="190">
        <f t="shared" ca="1" si="40"/>
        <v>-1.1614119231039126E-2</v>
      </c>
      <c r="F404" s="189" t="b">
        <f t="shared" ca="1" si="41"/>
        <v>1</v>
      </c>
      <c r="G404" s="188">
        <f ca="1">IF(F404,IFERROR(((('Data Schema'!$C$3*(1+B404)^1)*((1-$I$4-$I$5+E404)*(1-$I$10)+$I$6-$I$11)-('Data Schema'!$C$3*(1+B404)^1-'Data Schema'!$C$3)*$I$12)/(1+C404)^1+(('Data Schema'!$C$3*(1+B404)^2)*((1-$I$4-$I$5+E404)*(1-$I$10)+$I$6-$I$11)-('Data Schema'!$C$3*(1+B404)^2-'Data Schema'!$C$3*(1+B404)^1)*$I$12)/(1+C404)^2+(('Data Schema'!$C$3*(1+B404)^3)*((1-$I$4-$I$5+E404)*(1-$I$10)+$I$6-$I$11)-('Data Schema'!$C$3*(1+B404)^3-'Data Schema'!$C$3*(1+B404)^2)*$I$12)/(1+C404)^3+(('Data Schema'!$C$3*(1+B404)^4)*((1-$I$4-$I$5+E404)*(1-$I$10)+$I$6-$I$11)-('Data Schema'!$C$3*(1+B404)^4-'Data Schema'!$C$3*(1+B404)^3)*$I$12)/(1+C404)^4+(('Data Schema'!$C$3*(1+B404)^5)*((1-$I$4-$I$5+E404)*(1-$I$10)+$I$6-$I$11)-('Data Schema'!$C$3*(1+B404)^5-'Data Schema'!$C$3*(1+B404)^4)*$I$12)/(1+C404)^5+((('Data Schema'!$C$3*(1+B404)^5)*((1-$I$4-$I$5+E404)*(1-$I$10)+$I$6-$I$11)-('Data Schema'!$C$3*(1+B404)^5-'Data Schema'!$C$3*(1+B404)^4)*$I$12)*(1+D404)/(C404-D404))/(1+C404)^5-'Data Schema'!$C$31+'Data Schema'!$C$21)/'Data Schema'!$B$17,0),"INVALID")</f>
        <v>34.310917319753926</v>
      </c>
      <c r="H404" s="189" t="b">
        <f t="shared" ca="1" si="42"/>
        <v>1</v>
      </c>
      <c r="I404" s="188">
        <f t="shared" ca="1" si="43"/>
        <v>34.310917319753926</v>
      </c>
      <c r="J404" s="349">
        <f t="shared" ca="1" si="36"/>
        <v>34.310917319753926</v>
      </c>
    </row>
    <row r="405" spans="1:10">
      <c r="A405" s="187">
        <v>226</v>
      </c>
      <c r="B405" s="190">
        <f t="shared" ca="1" si="37"/>
        <v>7.5805996370534381E-2</v>
      </c>
      <c r="C405" s="190">
        <f t="shared" ca="1" si="38"/>
        <v>5.4771967936620973E-2</v>
      </c>
      <c r="D405" s="190">
        <f t="shared" ca="1" si="39"/>
        <v>1.4675622176083564E-2</v>
      </c>
      <c r="E405" s="190">
        <f t="shared" ca="1" si="40"/>
        <v>-1.6170125637314844E-2</v>
      </c>
      <c r="F405" s="189" t="b">
        <f t="shared" ca="1" si="41"/>
        <v>1</v>
      </c>
      <c r="G405" s="188">
        <f ca="1">IF(F405,IFERROR(((('Data Schema'!$C$3*(1+B405)^1)*((1-$I$4-$I$5+E405)*(1-$I$10)+$I$6-$I$11)-('Data Schema'!$C$3*(1+B405)^1-'Data Schema'!$C$3)*$I$12)/(1+C405)^1+(('Data Schema'!$C$3*(1+B405)^2)*((1-$I$4-$I$5+E405)*(1-$I$10)+$I$6-$I$11)-('Data Schema'!$C$3*(1+B405)^2-'Data Schema'!$C$3*(1+B405)^1)*$I$12)/(1+C405)^2+(('Data Schema'!$C$3*(1+B405)^3)*((1-$I$4-$I$5+E405)*(1-$I$10)+$I$6-$I$11)-('Data Schema'!$C$3*(1+B405)^3-'Data Schema'!$C$3*(1+B405)^2)*$I$12)/(1+C405)^3+(('Data Schema'!$C$3*(1+B405)^4)*((1-$I$4-$I$5+E405)*(1-$I$10)+$I$6-$I$11)-('Data Schema'!$C$3*(1+B405)^4-'Data Schema'!$C$3*(1+B405)^3)*$I$12)/(1+C405)^4+(('Data Schema'!$C$3*(1+B405)^5)*((1-$I$4-$I$5+E405)*(1-$I$10)+$I$6-$I$11)-('Data Schema'!$C$3*(1+B405)^5-'Data Schema'!$C$3*(1+B405)^4)*$I$12)/(1+C405)^5+((('Data Schema'!$C$3*(1+B405)^5)*((1-$I$4-$I$5+E405)*(1-$I$10)+$I$6-$I$11)-('Data Schema'!$C$3*(1+B405)^5-'Data Schema'!$C$3*(1+B405)^4)*$I$12)*(1+D405)/(C405-D405))/(1+C405)^5-'Data Schema'!$C$31+'Data Schema'!$C$21)/'Data Schema'!$B$17,0),"INVALID")</f>
        <v>33.495304215290631</v>
      </c>
      <c r="H405" s="189" t="b">
        <f t="shared" ca="1" si="42"/>
        <v>1</v>
      </c>
      <c r="I405" s="188">
        <f t="shared" ca="1" si="43"/>
        <v>33.495304215290631</v>
      </c>
      <c r="J405" s="349">
        <f t="shared" ca="1" si="36"/>
        <v>33.495304215290631</v>
      </c>
    </row>
    <row r="406" spans="1:10">
      <c r="A406" s="191">
        <v>227</v>
      </c>
      <c r="B406" s="190">
        <f t="shared" ca="1" si="37"/>
        <v>8.3730692705613258E-2</v>
      </c>
      <c r="C406" s="190">
        <f t="shared" ca="1" si="38"/>
        <v>4.0519147270070659E-2</v>
      </c>
      <c r="D406" s="190">
        <f t="shared" ca="1" si="39"/>
        <v>2.9096611747033291E-2</v>
      </c>
      <c r="E406" s="190">
        <f t="shared" ca="1" si="40"/>
        <v>3.0344776625960228E-2</v>
      </c>
      <c r="F406" s="189" t="b">
        <f t="shared" ca="1" si="41"/>
        <v>0</v>
      </c>
      <c r="G406" s="188" t="str">
        <f ca="1">IF(F406,IFERROR(((('Data Schema'!$C$3*(1+B406)^1)*((1-$I$4-$I$5+E406)*(1-$I$10)+$I$6-$I$11)-('Data Schema'!$C$3*(1+B406)^1-'Data Schema'!$C$3)*$I$12)/(1+C406)^1+(('Data Schema'!$C$3*(1+B406)^2)*((1-$I$4-$I$5+E406)*(1-$I$10)+$I$6-$I$11)-('Data Schema'!$C$3*(1+B406)^2-'Data Schema'!$C$3*(1+B406)^1)*$I$12)/(1+C406)^2+(('Data Schema'!$C$3*(1+B406)^3)*((1-$I$4-$I$5+E406)*(1-$I$10)+$I$6-$I$11)-('Data Schema'!$C$3*(1+B406)^3-'Data Schema'!$C$3*(1+B406)^2)*$I$12)/(1+C406)^3+(('Data Schema'!$C$3*(1+B406)^4)*((1-$I$4-$I$5+E406)*(1-$I$10)+$I$6-$I$11)-('Data Schema'!$C$3*(1+B406)^4-'Data Schema'!$C$3*(1+B406)^3)*$I$12)/(1+C406)^4+(('Data Schema'!$C$3*(1+B406)^5)*((1-$I$4-$I$5+E406)*(1-$I$10)+$I$6-$I$11)-('Data Schema'!$C$3*(1+B406)^5-'Data Schema'!$C$3*(1+B406)^4)*$I$12)/(1+C406)^5+((('Data Schema'!$C$3*(1+B406)^5)*((1-$I$4-$I$5+E406)*(1-$I$10)+$I$6-$I$11)-('Data Schema'!$C$3*(1+B406)^5-'Data Schema'!$C$3*(1+B406)^4)*$I$12)*(1+D406)/(C406-D406))/(1+C406)^5-'Data Schema'!$C$31+'Data Schema'!$C$21)/'Data Schema'!$B$17,0),"INVALID")</f>
        <v>INVALID</v>
      </c>
      <c r="H406" s="189" t="b">
        <f t="shared" ca="1" si="42"/>
        <v>0</v>
      </c>
      <c r="I406" s="188" t="str">
        <f t="shared" ca="1" si="43"/>
        <v/>
      </c>
      <c r="J406" s="349" t="str">
        <f t="shared" ca="1" si="36"/>
        <v/>
      </c>
    </row>
    <row r="407" spans="1:10">
      <c r="A407" s="187">
        <v>228</v>
      </c>
      <c r="B407" s="190">
        <f t="shared" ca="1" si="37"/>
        <v>9.912851592634174E-2</v>
      </c>
      <c r="C407" s="190">
        <f t="shared" ca="1" si="38"/>
        <v>6.2413685942271258E-2</v>
      </c>
      <c r="D407" s="190">
        <f t="shared" ca="1" si="39"/>
        <v>1.8593742855061709E-2</v>
      </c>
      <c r="E407" s="190">
        <f t="shared" ca="1" si="40"/>
        <v>-3.1455701257233265E-2</v>
      </c>
      <c r="F407" s="189" t="b">
        <f t="shared" ca="1" si="41"/>
        <v>1</v>
      </c>
      <c r="G407" s="188">
        <f ca="1">IF(F407,IFERROR(((('Data Schema'!$C$3*(1+B407)^1)*((1-$I$4-$I$5+E407)*(1-$I$10)+$I$6-$I$11)-('Data Schema'!$C$3*(1+B407)^1-'Data Schema'!$C$3)*$I$12)/(1+C407)^1+(('Data Schema'!$C$3*(1+B407)^2)*((1-$I$4-$I$5+E407)*(1-$I$10)+$I$6-$I$11)-('Data Schema'!$C$3*(1+B407)^2-'Data Schema'!$C$3*(1+B407)^1)*$I$12)/(1+C407)^2+(('Data Schema'!$C$3*(1+B407)^3)*((1-$I$4-$I$5+E407)*(1-$I$10)+$I$6-$I$11)-('Data Schema'!$C$3*(1+B407)^3-'Data Schema'!$C$3*(1+B407)^2)*$I$12)/(1+C407)^3+(('Data Schema'!$C$3*(1+B407)^4)*((1-$I$4-$I$5+E407)*(1-$I$10)+$I$6-$I$11)-('Data Schema'!$C$3*(1+B407)^4-'Data Schema'!$C$3*(1+B407)^3)*$I$12)/(1+C407)^4+(('Data Schema'!$C$3*(1+B407)^5)*((1-$I$4-$I$5+E407)*(1-$I$10)+$I$6-$I$11)-('Data Schema'!$C$3*(1+B407)^5-'Data Schema'!$C$3*(1+B407)^4)*$I$12)/(1+C407)^5+((('Data Schema'!$C$3*(1+B407)^5)*((1-$I$4-$I$5+E407)*(1-$I$10)+$I$6-$I$11)-('Data Schema'!$C$3*(1+B407)^5-'Data Schema'!$C$3*(1+B407)^4)*$I$12)*(1+D407)/(C407-D407))/(1+C407)^5-'Data Schema'!$C$31+'Data Schema'!$C$21)/'Data Schema'!$B$17,0),"INVALID")</f>
        <v>-1.5710759918111337</v>
      </c>
      <c r="H407" s="189" t="b">
        <f t="shared" ca="1" si="42"/>
        <v>0</v>
      </c>
      <c r="I407" s="188" t="str">
        <f t="shared" ca="1" si="43"/>
        <v/>
      </c>
      <c r="J407" s="349" t="str">
        <f t="shared" ca="1" si="36"/>
        <v/>
      </c>
    </row>
    <row r="408" spans="1:10">
      <c r="A408" s="191">
        <v>229</v>
      </c>
      <c r="B408" s="190">
        <f t="shared" ca="1" si="37"/>
        <v>0.13507546736001275</v>
      </c>
      <c r="C408" s="190">
        <f t="shared" ca="1" si="38"/>
        <v>8.1426324109278581E-2</v>
      </c>
      <c r="D408" s="190">
        <f t="shared" ca="1" si="39"/>
        <v>2.30879449901428E-2</v>
      </c>
      <c r="E408" s="190">
        <f t="shared" ca="1" si="40"/>
        <v>1.9128322133881652E-2</v>
      </c>
      <c r="F408" s="189" t="b">
        <f t="shared" ca="1" si="41"/>
        <v>1</v>
      </c>
      <c r="G408" s="188">
        <f ca="1">IF(F408,IFERROR(((('Data Schema'!$C$3*(1+B408)^1)*((1-$I$4-$I$5+E408)*(1-$I$10)+$I$6-$I$11)-('Data Schema'!$C$3*(1+B408)^1-'Data Schema'!$C$3)*$I$12)/(1+C408)^1+(('Data Schema'!$C$3*(1+B408)^2)*((1-$I$4-$I$5+E408)*(1-$I$10)+$I$6-$I$11)-('Data Schema'!$C$3*(1+B408)^2-'Data Schema'!$C$3*(1+B408)^1)*$I$12)/(1+C408)^2+(('Data Schema'!$C$3*(1+B408)^3)*((1-$I$4-$I$5+E408)*(1-$I$10)+$I$6-$I$11)-('Data Schema'!$C$3*(1+B408)^3-'Data Schema'!$C$3*(1+B408)^2)*$I$12)/(1+C408)^3+(('Data Schema'!$C$3*(1+B408)^4)*((1-$I$4-$I$5+E408)*(1-$I$10)+$I$6-$I$11)-('Data Schema'!$C$3*(1+B408)^4-'Data Schema'!$C$3*(1+B408)^3)*$I$12)/(1+C408)^4+(('Data Schema'!$C$3*(1+B408)^5)*((1-$I$4-$I$5+E408)*(1-$I$10)+$I$6-$I$11)-('Data Schema'!$C$3*(1+B408)^5-'Data Schema'!$C$3*(1+B408)^4)*$I$12)/(1+C408)^5+((('Data Schema'!$C$3*(1+B408)^5)*((1-$I$4-$I$5+E408)*(1-$I$10)+$I$6-$I$11)-('Data Schema'!$C$3*(1+B408)^5-'Data Schema'!$C$3*(1+B408)^4)*$I$12)*(1+D408)/(C408-D408))/(1+C408)^5-'Data Schema'!$C$31+'Data Schema'!$C$21)/'Data Schema'!$B$17,0),"INVALID")</f>
        <v>91.065378189907022</v>
      </c>
      <c r="H408" s="189" t="b">
        <f t="shared" ca="1" si="42"/>
        <v>1</v>
      </c>
      <c r="I408" s="188">
        <f t="shared" ca="1" si="43"/>
        <v>91.065378189907022</v>
      </c>
      <c r="J408" s="349">
        <f t="shared" ca="1" si="36"/>
        <v>91.065378189907022</v>
      </c>
    </row>
    <row r="409" spans="1:10">
      <c r="A409" s="187">
        <v>230</v>
      </c>
      <c r="B409" s="190">
        <f t="shared" ca="1" si="37"/>
        <v>8.3435052098138396E-2</v>
      </c>
      <c r="C409" s="190">
        <f t="shared" ca="1" si="38"/>
        <v>8.8046561765808301E-2</v>
      </c>
      <c r="D409" s="190">
        <f t="shared" ca="1" si="39"/>
        <v>2.535321327322318E-2</v>
      </c>
      <c r="E409" s="190">
        <f t="shared" ca="1" si="40"/>
        <v>8.087822817176302E-3</v>
      </c>
      <c r="F409" s="189" t="b">
        <f t="shared" ca="1" si="41"/>
        <v>1</v>
      </c>
      <c r="G409" s="188">
        <f ca="1">IF(F409,IFERROR(((('Data Schema'!$C$3*(1+B409)^1)*((1-$I$4-$I$5+E409)*(1-$I$10)+$I$6-$I$11)-('Data Schema'!$C$3*(1+B409)^1-'Data Schema'!$C$3)*$I$12)/(1+C409)^1+(('Data Schema'!$C$3*(1+B409)^2)*((1-$I$4-$I$5+E409)*(1-$I$10)+$I$6-$I$11)-('Data Schema'!$C$3*(1+B409)^2-'Data Schema'!$C$3*(1+B409)^1)*$I$12)/(1+C409)^2+(('Data Schema'!$C$3*(1+B409)^3)*((1-$I$4-$I$5+E409)*(1-$I$10)+$I$6-$I$11)-('Data Schema'!$C$3*(1+B409)^3-'Data Schema'!$C$3*(1+B409)^2)*$I$12)/(1+C409)^3+(('Data Schema'!$C$3*(1+B409)^4)*((1-$I$4-$I$5+E409)*(1-$I$10)+$I$6-$I$11)-('Data Schema'!$C$3*(1+B409)^4-'Data Schema'!$C$3*(1+B409)^3)*$I$12)/(1+C409)^4+(('Data Schema'!$C$3*(1+B409)^5)*((1-$I$4-$I$5+E409)*(1-$I$10)+$I$6-$I$11)-('Data Schema'!$C$3*(1+B409)^5-'Data Schema'!$C$3*(1+B409)^4)*$I$12)/(1+C409)^5+((('Data Schema'!$C$3*(1+B409)^5)*((1-$I$4-$I$5+E409)*(1-$I$10)+$I$6-$I$11)-('Data Schema'!$C$3*(1+B409)^5-'Data Schema'!$C$3*(1+B409)^4)*$I$12)*(1+D409)/(C409-D409))/(1+C409)^5-'Data Schema'!$C$31+'Data Schema'!$C$21)/'Data Schema'!$B$17,0),"INVALID")</f>
        <v>52.149519711894463</v>
      </c>
      <c r="H409" s="189" t="b">
        <f t="shared" ca="1" si="42"/>
        <v>1</v>
      </c>
      <c r="I409" s="188">
        <f t="shared" ca="1" si="43"/>
        <v>52.149519711894463</v>
      </c>
      <c r="J409" s="349">
        <f t="shared" ca="1" si="36"/>
        <v>52.149519711894463</v>
      </c>
    </row>
    <row r="410" spans="1:10">
      <c r="A410" s="191">
        <v>231</v>
      </c>
      <c r="B410" s="190">
        <f t="shared" ca="1" si="37"/>
        <v>9.8904031440687226E-2</v>
      </c>
      <c r="C410" s="190">
        <f t="shared" ca="1" si="38"/>
        <v>7.3037340458580333E-2</v>
      </c>
      <c r="D410" s="190">
        <f t="shared" ca="1" si="39"/>
        <v>2.2383239552786101E-2</v>
      </c>
      <c r="E410" s="190">
        <f t="shared" ca="1" si="40"/>
        <v>-1.9448305681859165E-2</v>
      </c>
      <c r="F410" s="189" t="b">
        <f t="shared" ca="1" si="41"/>
        <v>1</v>
      </c>
      <c r="G410" s="188">
        <f ca="1">IF(F410,IFERROR(((('Data Schema'!$C$3*(1+B410)^1)*((1-$I$4-$I$5+E410)*(1-$I$10)+$I$6-$I$11)-('Data Schema'!$C$3*(1+B410)^1-'Data Schema'!$C$3)*$I$12)/(1+C410)^1+(('Data Schema'!$C$3*(1+B410)^2)*((1-$I$4-$I$5+E410)*(1-$I$10)+$I$6-$I$11)-('Data Schema'!$C$3*(1+B410)^2-'Data Schema'!$C$3*(1+B410)^1)*$I$12)/(1+C410)^2+(('Data Schema'!$C$3*(1+B410)^3)*((1-$I$4-$I$5+E410)*(1-$I$10)+$I$6-$I$11)-('Data Schema'!$C$3*(1+B410)^3-'Data Schema'!$C$3*(1+B410)^2)*$I$12)/(1+C410)^3+(('Data Schema'!$C$3*(1+B410)^4)*((1-$I$4-$I$5+E410)*(1-$I$10)+$I$6-$I$11)-('Data Schema'!$C$3*(1+B410)^4-'Data Schema'!$C$3*(1+B410)^3)*$I$12)/(1+C410)^4+(('Data Schema'!$C$3*(1+B410)^5)*((1-$I$4-$I$5+E410)*(1-$I$10)+$I$6-$I$11)-('Data Schema'!$C$3*(1+B410)^5-'Data Schema'!$C$3*(1+B410)^4)*$I$12)/(1+C410)^5+((('Data Schema'!$C$3*(1+B410)^5)*((1-$I$4-$I$5+E410)*(1-$I$10)+$I$6-$I$11)-('Data Schema'!$C$3*(1+B410)^5-'Data Schema'!$C$3*(1+B410)^4)*$I$12)*(1+D410)/(C410-D410))/(1+C410)^5-'Data Schema'!$C$31+'Data Schema'!$C$21)/'Data Schema'!$B$17,0),"INVALID")</f>
        <v>20.121746401504229</v>
      </c>
      <c r="H410" s="189" t="b">
        <f t="shared" ca="1" si="42"/>
        <v>1</v>
      </c>
      <c r="I410" s="188">
        <f t="shared" ca="1" si="43"/>
        <v>20.121746401504229</v>
      </c>
      <c r="J410" s="349" t="str">
        <f t="shared" ca="1" si="36"/>
        <v/>
      </c>
    </row>
    <row r="411" spans="1:10">
      <c r="A411" s="187">
        <v>232</v>
      </c>
      <c r="B411" s="190">
        <f t="shared" ca="1" si="37"/>
        <v>0.12976212544386562</v>
      </c>
      <c r="C411" s="190">
        <f t="shared" ca="1" si="38"/>
        <v>3.7681877244700693E-2</v>
      </c>
      <c r="D411" s="190">
        <f t="shared" ca="1" si="39"/>
        <v>2.7980454278358137E-2</v>
      </c>
      <c r="E411" s="190">
        <f t="shared" ca="1" si="40"/>
        <v>-8.8490108580705686E-3</v>
      </c>
      <c r="F411" s="189" t="b">
        <f t="shared" ca="1" si="41"/>
        <v>0</v>
      </c>
      <c r="G411" s="188" t="str">
        <f ca="1">IF(F411,IFERROR(((('Data Schema'!$C$3*(1+B411)^1)*((1-$I$4-$I$5+E411)*(1-$I$10)+$I$6-$I$11)-('Data Schema'!$C$3*(1+B411)^1-'Data Schema'!$C$3)*$I$12)/(1+C411)^1+(('Data Schema'!$C$3*(1+B411)^2)*((1-$I$4-$I$5+E411)*(1-$I$10)+$I$6-$I$11)-('Data Schema'!$C$3*(1+B411)^2-'Data Schema'!$C$3*(1+B411)^1)*$I$12)/(1+C411)^2+(('Data Schema'!$C$3*(1+B411)^3)*((1-$I$4-$I$5+E411)*(1-$I$10)+$I$6-$I$11)-('Data Schema'!$C$3*(1+B411)^3-'Data Schema'!$C$3*(1+B411)^2)*$I$12)/(1+C411)^3+(('Data Schema'!$C$3*(1+B411)^4)*((1-$I$4-$I$5+E411)*(1-$I$10)+$I$6-$I$11)-('Data Schema'!$C$3*(1+B411)^4-'Data Schema'!$C$3*(1+B411)^3)*$I$12)/(1+C411)^4+(('Data Schema'!$C$3*(1+B411)^5)*((1-$I$4-$I$5+E411)*(1-$I$10)+$I$6-$I$11)-('Data Schema'!$C$3*(1+B411)^5-'Data Schema'!$C$3*(1+B411)^4)*$I$12)/(1+C411)^5+((('Data Schema'!$C$3*(1+B411)^5)*((1-$I$4-$I$5+E411)*(1-$I$10)+$I$6-$I$11)-('Data Schema'!$C$3*(1+B411)^5-'Data Schema'!$C$3*(1+B411)^4)*$I$12)*(1+D411)/(C411-D411))/(1+C411)^5-'Data Schema'!$C$31+'Data Schema'!$C$21)/'Data Schema'!$B$17,0),"INVALID")</f>
        <v>INVALID</v>
      </c>
      <c r="H411" s="189" t="b">
        <f t="shared" ca="1" si="42"/>
        <v>0</v>
      </c>
      <c r="I411" s="188" t="str">
        <f t="shared" ca="1" si="43"/>
        <v/>
      </c>
      <c r="J411" s="349" t="str">
        <f t="shared" ca="1" si="36"/>
        <v/>
      </c>
    </row>
    <row r="412" spans="1:10">
      <c r="A412" s="191">
        <v>233</v>
      </c>
      <c r="B412" s="190">
        <f t="shared" ca="1" si="37"/>
        <v>0.13451453758307111</v>
      </c>
      <c r="C412" s="190">
        <f t="shared" ca="1" si="38"/>
        <v>5.2610495910126287E-2</v>
      </c>
      <c r="D412" s="190">
        <f t="shared" ca="1" si="39"/>
        <v>2.6869697246513172E-2</v>
      </c>
      <c r="E412" s="190">
        <f t="shared" ca="1" si="40"/>
        <v>1.4833737249188466E-2</v>
      </c>
      <c r="F412" s="189" t="b">
        <f t="shared" ca="1" si="41"/>
        <v>1</v>
      </c>
      <c r="G412" s="188">
        <f ca="1">IF(F412,IFERROR(((('Data Schema'!$C$3*(1+B412)^1)*((1-$I$4-$I$5+E412)*(1-$I$10)+$I$6-$I$11)-('Data Schema'!$C$3*(1+B412)^1-'Data Schema'!$C$3)*$I$12)/(1+C412)^1+(('Data Schema'!$C$3*(1+B412)^2)*((1-$I$4-$I$5+E412)*(1-$I$10)+$I$6-$I$11)-('Data Schema'!$C$3*(1+B412)^2-'Data Schema'!$C$3*(1+B412)^1)*$I$12)/(1+C412)^2+(('Data Schema'!$C$3*(1+B412)^3)*((1-$I$4-$I$5+E412)*(1-$I$10)+$I$6-$I$11)-('Data Schema'!$C$3*(1+B412)^3-'Data Schema'!$C$3*(1+B412)^2)*$I$12)/(1+C412)^3+(('Data Schema'!$C$3*(1+B412)^4)*((1-$I$4-$I$5+E412)*(1-$I$10)+$I$6-$I$11)-('Data Schema'!$C$3*(1+B412)^4-'Data Schema'!$C$3*(1+B412)^3)*$I$12)/(1+C412)^4+(('Data Schema'!$C$3*(1+B412)^5)*((1-$I$4-$I$5+E412)*(1-$I$10)+$I$6-$I$11)-('Data Schema'!$C$3*(1+B412)^5-'Data Schema'!$C$3*(1+B412)^4)*$I$12)/(1+C412)^5+((('Data Schema'!$C$3*(1+B412)^5)*((1-$I$4-$I$5+E412)*(1-$I$10)+$I$6-$I$11)-('Data Schema'!$C$3*(1+B412)^5-'Data Schema'!$C$3*(1+B412)^4)*$I$12)*(1+D412)/(C412-D412))/(1+C412)^5-'Data Schema'!$C$31+'Data Schema'!$C$21)/'Data Schema'!$B$17,0),"INVALID")</f>
        <v>198.84537728115114</v>
      </c>
      <c r="H412" s="189" t="b">
        <f t="shared" ca="1" si="42"/>
        <v>1</v>
      </c>
      <c r="I412" s="188">
        <f t="shared" ca="1" si="43"/>
        <v>198.84537728115114</v>
      </c>
      <c r="J412" s="349">
        <f t="shared" ca="1" si="36"/>
        <v>198.84537728115114</v>
      </c>
    </row>
    <row r="413" spans="1:10">
      <c r="A413" s="187">
        <v>234</v>
      </c>
      <c r="B413" s="190">
        <f t="shared" ca="1" si="37"/>
        <v>5.7132076752437325E-2</v>
      </c>
      <c r="C413" s="190">
        <f t="shared" ca="1" si="38"/>
        <v>5.7437099959994818E-2</v>
      </c>
      <c r="D413" s="190">
        <f t="shared" ca="1" si="39"/>
        <v>3.1117370190473809E-2</v>
      </c>
      <c r="E413" s="190">
        <f t="shared" ca="1" si="40"/>
        <v>2.2430860135235639E-2</v>
      </c>
      <c r="F413" s="189" t="b">
        <f t="shared" ca="1" si="41"/>
        <v>1</v>
      </c>
      <c r="G413" s="188">
        <f ca="1">IF(F413,IFERROR(((('Data Schema'!$C$3*(1+B413)^1)*((1-$I$4-$I$5+E413)*(1-$I$10)+$I$6-$I$11)-('Data Schema'!$C$3*(1+B413)^1-'Data Schema'!$C$3)*$I$12)/(1+C413)^1+(('Data Schema'!$C$3*(1+B413)^2)*((1-$I$4-$I$5+E413)*(1-$I$10)+$I$6-$I$11)-('Data Schema'!$C$3*(1+B413)^2-'Data Schema'!$C$3*(1+B413)^1)*$I$12)/(1+C413)^2+(('Data Schema'!$C$3*(1+B413)^3)*((1-$I$4-$I$5+E413)*(1-$I$10)+$I$6-$I$11)-('Data Schema'!$C$3*(1+B413)^3-'Data Schema'!$C$3*(1+B413)^2)*$I$12)/(1+C413)^3+(('Data Schema'!$C$3*(1+B413)^4)*((1-$I$4-$I$5+E413)*(1-$I$10)+$I$6-$I$11)-('Data Schema'!$C$3*(1+B413)^4-'Data Schema'!$C$3*(1+B413)^3)*$I$12)/(1+C413)^4+(('Data Schema'!$C$3*(1+B413)^5)*((1-$I$4-$I$5+E413)*(1-$I$10)+$I$6-$I$11)-('Data Schema'!$C$3*(1+B413)^5-'Data Schema'!$C$3*(1+B413)^4)*$I$12)/(1+C413)^5+((('Data Schema'!$C$3*(1+B413)^5)*((1-$I$4-$I$5+E413)*(1-$I$10)+$I$6-$I$11)-('Data Schema'!$C$3*(1+B413)^5-'Data Schema'!$C$3*(1+B413)^4)*$I$12)*(1+D413)/(C413-D413))/(1+C413)^5-'Data Schema'!$C$31+'Data Schema'!$C$21)/'Data Schema'!$B$17,0),"INVALID")</f>
        <v>161.58611953060034</v>
      </c>
      <c r="H413" s="189" t="b">
        <f t="shared" ca="1" si="42"/>
        <v>1</v>
      </c>
      <c r="I413" s="188">
        <f t="shared" ca="1" si="43"/>
        <v>161.58611953060034</v>
      </c>
      <c r="J413" s="349">
        <f t="shared" ca="1" si="36"/>
        <v>161.58611953060034</v>
      </c>
    </row>
    <row r="414" spans="1:10">
      <c r="A414" s="191">
        <v>235</v>
      </c>
      <c r="B414" s="190">
        <f t="shared" ca="1" si="37"/>
        <v>9.726179262972981E-2</v>
      </c>
      <c r="C414" s="190">
        <f t="shared" ca="1" si="38"/>
        <v>4.9241685458406528E-2</v>
      </c>
      <c r="D414" s="190">
        <f t="shared" ca="1" si="39"/>
        <v>2.1508590813782653E-2</v>
      </c>
      <c r="E414" s="190">
        <f t="shared" ca="1" si="40"/>
        <v>1.0514917754829385E-2</v>
      </c>
      <c r="F414" s="189" t="b">
        <f t="shared" ca="1" si="41"/>
        <v>1</v>
      </c>
      <c r="G414" s="188">
        <f ca="1">IF(F414,IFERROR(((('Data Schema'!$C$3*(1+B414)^1)*((1-$I$4-$I$5+E414)*(1-$I$10)+$I$6-$I$11)-('Data Schema'!$C$3*(1+B414)^1-'Data Schema'!$C$3)*$I$12)/(1+C414)^1+(('Data Schema'!$C$3*(1+B414)^2)*((1-$I$4-$I$5+E414)*(1-$I$10)+$I$6-$I$11)-('Data Schema'!$C$3*(1+B414)^2-'Data Schema'!$C$3*(1+B414)^1)*$I$12)/(1+C414)^2+(('Data Schema'!$C$3*(1+B414)^3)*((1-$I$4-$I$5+E414)*(1-$I$10)+$I$6-$I$11)-('Data Schema'!$C$3*(1+B414)^3-'Data Schema'!$C$3*(1+B414)^2)*$I$12)/(1+C414)^3+(('Data Schema'!$C$3*(1+B414)^4)*((1-$I$4-$I$5+E414)*(1-$I$10)+$I$6-$I$11)-('Data Schema'!$C$3*(1+B414)^4-'Data Schema'!$C$3*(1+B414)^3)*$I$12)/(1+C414)^4+(('Data Schema'!$C$3*(1+B414)^5)*((1-$I$4-$I$5+E414)*(1-$I$10)+$I$6-$I$11)-('Data Schema'!$C$3*(1+B414)^5-'Data Schema'!$C$3*(1+B414)^4)*$I$12)/(1+C414)^5+((('Data Schema'!$C$3*(1+B414)^5)*((1-$I$4-$I$5+E414)*(1-$I$10)+$I$6-$I$11)-('Data Schema'!$C$3*(1+B414)^5-'Data Schema'!$C$3*(1+B414)^4)*$I$12)*(1+D414)/(C414-D414))/(1+C414)^5-'Data Schema'!$C$31+'Data Schema'!$C$21)/'Data Schema'!$B$17,0),"INVALID")</f>
        <v>146.6131776523037</v>
      </c>
      <c r="H414" s="189" t="b">
        <f t="shared" ca="1" si="42"/>
        <v>1</v>
      </c>
      <c r="I414" s="188">
        <f t="shared" ca="1" si="43"/>
        <v>146.6131776523037</v>
      </c>
      <c r="J414" s="349">
        <f t="shared" ca="1" si="36"/>
        <v>146.6131776523037</v>
      </c>
    </row>
    <row r="415" spans="1:10">
      <c r="A415" s="187">
        <v>236</v>
      </c>
      <c r="B415" s="190">
        <f t="shared" ca="1" si="37"/>
        <v>7.7650638267381181E-2</v>
      </c>
      <c r="C415" s="190">
        <f t="shared" ca="1" si="38"/>
        <v>6.333179554224426E-2</v>
      </c>
      <c r="D415" s="190">
        <f t="shared" ca="1" si="39"/>
        <v>1.889856527554112E-2</v>
      </c>
      <c r="E415" s="190">
        <f t="shared" ca="1" si="40"/>
        <v>-1.6469872410855688E-3</v>
      </c>
      <c r="F415" s="189" t="b">
        <f t="shared" ca="1" si="41"/>
        <v>1</v>
      </c>
      <c r="G415" s="188">
        <f ca="1">IF(F415,IFERROR(((('Data Schema'!$C$3*(1+B415)^1)*((1-$I$4-$I$5+E415)*(1-$I$10)+$I$6-$I$11)-('Data Schema'!$C$3*(1+B415)^1-'Data Schema'!$C$3)*$I$12)/(1+C415)^1+(('Data Schema'!$C$3*(1+B415)^2)*((1-$I$4-$I$5+E415)*(1-$I$10)+$I$6-$I$11)-('Data Schema'!$C$3*(1+B415)^2-'Data Schema'!$C$3*(1+B415)^1)*$I$12)/(1+C415)^2+(('Data Schema'!$C$3*(1+B415)^3)*((1-$I$4-$I$5+E415)*(1-$I$10)+$I$6-$I$11)-('Data Schema'!$C$3*(1+B415)^3-'Data Schema'!$C$3*(1+B415)^2)*$I$12)/(1+C415)^3+(('Data Schema'!$C$3*(1+B415)^4)*((1-$I$4-$I$5+E415)*(1-$I$10)+$I$6-$I$11)-('Data Schema'!$C$3*(1+B415)^4-'Data Schema'!$C$3*(1+B415)^3)*$I$12)/(1+C415)^4+(('Data Schema'!$C$3*(1+B415)^5)*((1-$I$4-$I$5+E415)*(1-$I$10)+$I$6-$I$11)-('Data Schema'!$C$3*(1+B415)^5-'Data Schema'!$C$3*(1+B415)^4)*$I$12)/(1+C415)^5+((('Data Schema'!$C$3*(1+B415)^5)*((1-$I$4-$I$5+E415)*(1-$I$10)+$I$6-$I$11)-('Data Schema'!$C$3*(1+B415)^5-'Data Schema'!$C$3*(1+B415)^4)*$I$12)*(1+D415)/(C415-D415))/(1+C415)^5-'Data Schema'!$C$31+'Data Schema'!$C$21)/'Data Schema'!$B$17,0),"INVALID")</f>
        <v>57.906221320516821</v>
      </c>
      <c r="H415" s="189" t="b">
        <f t="shared" ca="1" si="42"/>
        <v>1</v>
      </c>
      <c r="I415" s="188">
        <f t="shared" ca="1" si="43"/>
        <v>57.906221320516821</v>
      </c>
      <c r="J415" s="349">
        <f t="shared" ca="1" si="36"/>
        <v>57.906221320516821</v>
      </c>
    </row>
    <row r="416" spans="1:10">
      <c r="A416" s="191">
        <v>237</v>
      </c>
      <c r="B416" s="190">
        <f t="shared" ca="1" si="37"/>
        <v>8.3197689571565425E-2</v>
      </c>
      <c r="C416" s="190">
        <f t="shared" ca="1" si="38"/>
        <v>5.9475837046965511E-2</v>
      </c>
      <c r="D416" s="190">
        <f t="shared" ca="1" si="39"/>
        <v>3.2534082629604839E-2</v>
      </c>
      <c r="E416" s="190">
        <f t="shared" ca="1" si="40"/>
        <v>-7.3023786563762016E-3</v>
      </c>
      <c r="F416" s="189" t="b">
        <f t="shared" ca="1" si="41"/>
        <v>1</v>
      </c>
      <c r="G416" s="188">
        <f ca="1">IF(F416,IFERROR(((('Data Schema'!$C$3*(1+B416)^1)*((1-$I$4-$I$5+E416)*(1-$I$10)+$I$6-$I$11)-('Data Schema'!$C$3*(1+B416)^1-'Data Schema'!$C$3)*$I$12)/(1+C416)^1+(('Data Schema'!$C$3*(1+B416)^2)*((1-$I$4-$I$5+E416)*(1-$I$10)+$I$6-$I$11)-('Data Schema'!$C$3*(1+B416)^2-'Data Schema'!$C$3*(1+B416)^1)*$I$12)/(1+C416)^2+(('Data Schema'!$C$3*(1+B416)^3)*((1-$I$4-$I$5+E416)*(1-$I$10)+$I$6-$I$11)-('Data Schema'!$C$3*(1+B416)^3-'Data Schema'!$C$3*(1+B416)^2)*$I$12)/(1+C416)^3+(('Data Schema'!$C$3*(1+B416)^4)*((1-$I$4-$I$5+E416)*(1-$I$10)+$I$6-$I$11)-('Data Schema'!$C$3*(1+B416)^4-'Data Schema'!$C$3*(1+B416)^3)*$I$12)/(1+C416)^4+(('Data Schema'!$C$3*(1+B416)^5)*((1-$I$4-$I$5+E416)*(1-$I$10)+$I$6-$I$11)-('Data Schema'!$C$3*(1+B416)^5-'Data Schema'!$C$3*(1+B416)^4)*$I$12)/(1+C416)^5+((('Data Schema'!$C$3*(1+B416)^5)*((1-$I$4-$I$5+E416)*(1-$I$10)+$I$6-$I$11)-('Data Schema'!$C$3*(1+B416)^5-'Data Schema'!$C$3*(1+B416)^4)*$I$12)*(1+D416)/(C416-D416))/(1+C416)^5-'Data Schema'!$C$31+'Data Schema'!$C$21)/'Data Schema'!$B$17,0),"INVALID")</f>
        <v>79.613501956634565</v>
      </c>
      <c r="H416" s="189" t="b">
        <f t="shared" ca="1" si="42"/>
        <v>1</v>
      </c>
      <c r="I416" s="188">
        <f t="shared" ca="1" si="43"/>
        <v>79.613501956634565</v>
      </c>
      <c r="J416" s="349">
        <f t="shared" ca="1" si="36"/>
        <v>79.613501956634565</v>
      </c>
    </row>
    <row r="417" spans="1:10">
      <c r="A417" s="187">
        <v>238</v>
      </c>
      <c r="B417" s="190">
        <f t="shared" ca="1" si="37"/>
        <v>9.4020130217598807E-2</v>
      </c>
      <c r="C417" s="190">
        <f t="shared" ca="1" si="38"/>
        <v>7.0114476502672954E-2</v>
      </c>
      <c r="D417" s="190">
        <f t="shared" ca="1" si="39"/>
        <v>3.1782858747671394E-2</v>
      </c>
      <c r="E417" s="190">
        <f t="shared" ca="1" si="40"/>
        <v>-4.7008411783185509E-2</v>
      </c>
      <c r="F417" s="189" t="b">
        <f t="shared" ca="1" si="41"/>
        <v>1</v>
      </c>
      <c r="G417" s="188">
        <f ca="1">IF(F417,IFERROR(((('Data Schema'!$C$3*(1+B417)^1)*((1-$I$4-$I$5+E417)*(1-$I$10)+$I$6-$I$11)-('Data Schema'!$C$3*(1+B417)^1-'Data Schema'!$C$3)*$I$12)/(1+C417)^1+(('Data Schema'!$C$3*(1+B417)^2)*((1-$I$4-$I$5+E417)*(1-$I$10)+$I$6-$I$11)-('Data Schema'!$C$3*(1+B417)^2-'Data Schema'!$C$3*(1+B417)^1)*$I$12)/(1+C417)^2+(('Data Schema'!$C$3*(1+B417)^3)*((1-$I$4-$I$5+E417)*(1-$I$10)+$I$6-$I$11)-('Data Schema'!$C$3*(1+B417)^3-'Data Schema'!$C$3*(1+B417)^2)*$I$12)/(1+C417)^3+(('Data Schema'!$C$3*(1+B417)^4)*((1-$I$4-$I$5+E417)*(1-$I$10)+$I$6-$I$11)-('Data Schema'!$C$3*(1+B417)^4-'Data Schema'!$C$3*(1+B417)^3)*$I$12)/(1+C417)^4+(('Data Schema'!$C$3*(1+B417)^5)*((1-$I$4-$I$5+E417)*(1-$I$10)+$I$6-$I$11)-('Data Schema'!$C$3*(1+B417)^5-'Data Schema'!$C$3*(1+B417)^4)*$I$12)/(1+C417)^5+((('Data Schema'!$C$3*(1+B417)^5)*((1-$I$4-$I$5+E417)*(1-$I$10)+$I$6-$I$11)-('Data Schema'!$C$3*(1+B417)^5-'Data Schema'!$C$3*(1+B417)^4)*$I$12)*(1+D417)/(C417-D417))/(1+C417)^5-'Data Schema'!$C$31+'Data Schema'!$C$21)/'Data Schema'!$B$17,0),"INVALID")</f>
        <v>-37.638069580468787</v>
      </c>
      <c r="H417" s="189" t="b">
        <f t="shared" ca="1" si="42"/>
        <v>0</v>
      </c>
      <c r="I417" s="188" t="str">
        <f t="shared" ca="1" si="43"/>
        <v/>
      </c>
      <c r="J417" s="349" t="str">
        <f t="shared" ca="1" si="36"/>
        <v/>
      </c>
    </row>
    <row r="418" spans="1:10">
      <c r="A418" s="191">
        <v>239</v>
      </c>
      <c r="B418" s="190">
        <f t="shared" ca="1" si="37"/>
        <v>6.3283498963689483E-2</v>
      </c>
      <c r="C418" s="190">
        <f t="shared" ca="1" si="38"/>
        <v>6.729485375166179E-2</v>
      </c>
      <c r="D418" s="190">
        <f t="shared" ca="1" si="39"/>
        <v>2.1003775751519571E-2</v>
      </c>
      <c r="E418" s="190">
        <f t="shared" ca="1" si="40"/>
        <v>1.01293511637645E-2</v>
      </c>
      <c r="F418" s="189" t="b">
        <f t="shared" ca="1" si="41"/>
        <v>1</v>
      </c>
      <c r="G418" s="188">
        <f ca="1">IF(F418,IFERROR(((('Data Schema'!$C$3*(1+B418)^1)*((1-$I$4-$I$5+E418)*(1-$I$10)+$I$6-$I$11)-('Data Schema'!$C$3*(1+B418)^1-'Data Schema'!$C$3)*$I$12)/(1+C418)^1+(('Data Schema'!$C$3*(1+B418)^2)*((1-$I$4-$I$5+E418)*(1-$I$10)+$I$6-$I$11)-('Data Schema'!$C$3*(1+B418)^2-'Data Schema'!$C$3*(1+B418)^1)*$I$12)/(1+C418)^2+(('Data Schema'!$C$3*(1+B418)^3)*((1-$I$4-$I$5+E418)*(1-$I$10)+$I$6-$I$11)-('Data Schema'!$C$3*(1+B418)^3-'Data Schema'!$C$3*(1+B418)^2)*$I$12)/(1+C418)^3+(('Data Schema'!$C$3*(1+B418)^4)*((1-$I$4-$I$5+E418)*(1-$I$10)+$I$6-$I$11)-('Data Schema'!$C$3*(1+B418)^4-'Data Schema'!$C$3*(1+B418)^3)*$I$12)/(1+C418)^4+(('Data Schema'!$C$3*(1+B418)^5)*((1-$I$4-$I$5+E418)*(1-$I$10)+$I$6-$I$11)-('Data Schema'!$C$3*(1+B418)^5-'Data Schema'!$C$3*(1+B418)^4)*$I$12)/(1+C418)^5+((('Data Schema'!$C$3*(1+B418)^5)*((1-$I$4-$I$5+E418)*(1-$I$10)+$I$6-$I$11)-('Data Schema'!$C$3*(1+B418)^5-'Data Schema'!$C$3*(1+B418)^4)*$I$12)*(1+D418)/(C418-D418))/(1+C418)^5-'Data Schema'!$C$31+'Data Schema'!$C$21)/'Data Schema'!$B$17,0),"INVALID")</f>
        <v>72.529576851744238</v>
      </c>
      <c r="H418" s="189" t="b">
        <f t="shared" ca="1" si="42"/>
        <v>1</v>
      </c>
      <c r="I418" s="188">
        <f t="shared" ca="1" si="43"/>
        <v>72.529576851744238</v>
      </c>
      <c r="J418" s="349">
        <f t="shared" ca="1" si="36"/>
        <v>72.529576851744238</v>
      </c>
    </row>
    <row r="419" spans="1:10">
      <c r="A419" s="187">
        <v>240</v>
      </c>
      <c r="B419" s="190">
        <f t="shared" ca="1" si="37"/>
        <v>0.11423144185679769</v>
      </c>
      <c r="C419" s="190">
        <f t="shared" ca="1" si="38"/>
        <v>4.9208839609500468E-2</v>
      </c>
      <c r="D419" s="190">
        <f t="shared" ca="1" si="39"/>
        <v>3.2124310799609687E-2</v>
      </c>
      <c r="E419" s="190">
        <f t="shared" ca="1" si="40"/>
        <v>3.0945630452360252E-2</v>
      </c>
      <c r="F419" s="189" t="b">
        <f t="shared" ca="1" si="41"/>
        <v>1</v>
      </c>
      <c r="G419" s="188">
        <f ca="1">IF(F419,IFERROR(((('Data Schema'!$C$3*(1+B419)^1)*((1-$I$4-$I$5+E419)*(1-$I$10)+$I$6-$I$11)-('Data Schema'!$C$3*(1+B419)^1-'Data Schema'!$C$3)*$I$12)/(1+C419)^1+(('Data Schema'!$C$3*(1+B419)^2)*((1-$I$4-$I$5+E419)*(1-$I$10)+$I$6-$I$11)-('Data Schema'!$C$3*(1+B419)^2-'Data Schema'!$C$3*(1+B419)^1)*$I$12)/(1+C419)^2+(('Data Schema'!$C$3*(1+B419)^3)*((1-$I$4-$I$5+E419)*(1-$I$10)+$I$6-$I$11)-('Data Schema'!$C$3*(1+B419)^3-'Data Schema'!$C$3*(1+B419)^2)*$I$12)/(1+C419)^3+(('Data Schema'!$C$3*(1+B419)^4)*((1-$I$4-$I$5+E419)*(1-$I$10)+$I$6-$I$11)-('Data Schema'!$C$3*(1+B419)^4-'Data Schema'!$C$3*(1+B419)^3)*$I$12)/(1+C419)^4+(('Data Schema'!$C$3*(1+B419)^5)*((1-$I$4-$I$5+E419)*(1-$I$10)+$I$6-$I$11)-('Data Schema'!$C$3*(1+B419)^5-'Data Schema'!$C$3*(1+B419)^4)*$I$12)/(1+C419)^5+((('Data Schema'!$C$3*(1+B419)^5)*((1-$I$4-$I$5+E419)*(1-$I$10)+$I$6-$I$11)-('Data Schema'!$C$3*(1+B419)^5-'Data Schema'!$C$3*(1+B419)^4)*$I$12)*(1+D419)/(C419-D419))/(1+C419)^5-'Data Schema'!$C$31+'Data Schema'!$C$21)/'Data Schema'!$B$17,0),"INVALID")</f>
        <v>370.01588196322052</v>
      </c>
      <c r="H419" s="189" t="b">
        <f t="shared" ca="1" si="42"/>
        <v>1</v>
      </c>
      <c r="I419" s="188">
        <f t="shared" ca="1" si="43"/>
        <v>370.01588196322052</v>
      </c>
      <c r="J419" s="349" t="str">
        <f t="shared" ca="1" si="36"/>
        <v/>
      </c>
    </row>
    <row r="420" spans="1:10">
      <c r="A420" s="191">
        <v>241</v>
      </c>
      <c r="B420" s="190">
        <f t="shared" ca="1" si="37"/>
        <v>7.4633958261680483E-2</v>
      </c>
      <c r="C420" s="190">
        <f t="shared" ca="1" si="38"/>
        <v>5.1324897121023623E-2</v>
      </c>
      <c r="D420" s="190">
        <f t="shared" ca="1" si="39"/>
        <v>2.2724861459691405E-2</v>
      </c>
      <c r="E420" s="190">
        <f t="shared" ca="1" si="40"/>
        <v>3.4801939370798417E-2</v>
      </c>
      <c r="F420" s="189" t="b">
        <f t="shared" ca="1" si="41"/>
        <v>1</v>
      </c>
      <c r="G420" s="188">
        <f ca="1">IF(F420,IFERROR(((('Data Schema'!$C$3*(1+B420)^1)*((1-$I$4-$I$5+E420)*(1-$I$10)+$I$6-$I$11)-('Data Schema'!$C$3*(1+B420)^1-'Data Schema'!$C$3)*$I$12)/(1+C420)^1+(('Data Schema'!$C$3*(1+B420)^2)*((1-$I$4-$I$5+E420)*(1-$I$10)+$I$6-$I$11)-('Data Schema'!$C$3*(1+B420)^2-'Data Schema'!$C$3*(1+B420)^1)*$I$12)/(1+C420)^2+(('Data Schema'!$C$3*(1+B420)^3)*((1-$I$4-$I$5+E420)*(1-$I$10)+$I$6-$I$11)-('Data Schema'!$C$3*(1+B420)^3-'Data Schema'!$C$3*(1+B420)^2)*$I$12)/(1+C420)^3+(('Data Schema'!$C$3*(1+B420)^4)*((1-$I$4-$I$5+E420)*(1-$I$10)+$I$6-$I$11)-('Data Schema'!$C$3*(1+B420)^4-'Data Schema'!$C$3*(1+B420)^3)*$I$12)/(1+C420)^4+(('Data Schema'!$C$3*(1+B420)^5)*((1-$I$4-$I$5+E420)*(1-$I$10)+$I$6-$I$11)-('Data Schema'!$C$3*(1+B420)^5-'Data Schema'!$C$3*(1+B420)^4)*$I$12)/(1+C420)^5+((('Data Schema'!$C$3*(1+B420)^5)*((1-$I$4-$I$5+E420)*(1-$I$10)+$I$6-$I$11)-('Data Schema'!$C$3*(1+B420)^5-'Data Schema'!$C$3*(1+B420)^4)*$I$12)*(1+D420)/(C420-D420))/(1+C420)^5-'Data Schema'!$C$31+'Data Schema'!$C$21)/'Data Schema'!$B$17,0),"INVALID")</f>
        <v>201.9875686479443</v>
      </c>
      <c r="H420" s="189" t="b">
        <f t="shared" ca="1" si="42"/>
        <v>1</v>
      </c>
      <c r="I420" s="188">
        <f t="shared" ca="1" si="43"/>
        <v>201.9875686479443</v>
      </c>
      <c r="J420" s="349">
        <f t="shared" ca="1" si="36"/>
        <v>201.9875686479443</v>
      </c>
    </row>
    <row r="421" spans="1:10">
      <c r="A421" s="187">
        <v>242</v>
      </c>
      <c r="B421" s="190">
        <f t="shared" ca="1" si="37"/>
        <v>0.11324328609388148</v>
      </c>
      <c r="C421" s="190">
        <f t="shared" ca="1" si="38"/>
        <v>4.3238421436808068E-2</v>
      </c>
      <c r="D421" s="190">
        <f t="shared" ca="1" si="39"/>
        <v>2.2034699003515065E-2</v>
      </c>
      <c r="E421" s="190">
        <f t="shared" ca="1" si="40"/>
        <v>-2.036342988964477E-2</v>
      </c>
      <c r="F421" s="189" t="b">
        <f t="shared" ca="1" si="41"/>
        <v>1</v>
      </c>
      <c r="G421" s="188">
        <f ca="1">IF(F421,IFERROR(((('Data Schema'!$C$3*(1+B421)^1)*((1-$I$4-$I$5+E421)*(1-$I$10)+$I$6-$I$11)-('Data Schema'!$C$3*(1+B421)^1-'Data Schema'!$C$3)*$I$12)/(1+C421)^1+(('Data Schema'!$C$3*(1+B421)^2)*((1-$I$4-$I$5+E421)*(1-$I$10)+$I$6-$I$11)-('Data Schema'!$C$3*(1+B421)^2-'Data Schema'!$C$3*(1+B421)^1)*$I$12)/(1+C421)^2+(('Data Schema'!$C$3*(1+B421)^3)*((1-$I$4-$I$5+E421)*(1-$I$10)+$I$6-$I$11)-('Data Schema'!$C$3*(1+B421)^3-'Data Schema'!$C$3*(1+B421)^2)*$I$12)/(1+C421)^3+(('Data Schema'!$C$3*(1+B421)^4)*((1-$I$4-$I$5+E421)*(1-$I$10)+$I$6-$I$11)-('Data Schema'!$C$3*(1+B421)^4-'Data Schema'!$C$3*(1+B421)^3)*$I$12)/(1+C421)^4+(('Data Schema'!$C$3*(1+B421)^5)*((1-$I$4-$I$5+E421)*(1-$I$10)+$I$6-$I$11)-('Data Schema'!$C$3*(1+B421)^5-'Data Schema'!$C$3*(1+B421)^4)*$I$12)/(1+C421)^5+((('Data Schema'!$C$3*(1+B421)^5)*((1-$I$4-$I$5+E421)*(1-$I$10)+$I$6-$I$11)-('Data Schema'!$C$3*(1+B421)^5-'Data Schema'!$C$3*(1+B421)^4)*$I$12)*(1+D421)/(C421-D421))/(1+C421)^5-'Data Schema'!$C$31+'Data Schema'!$C$21)/'Data Schema'!$B$17,0),"INVALID")</f>
        <v>57.319687816738146</v>
      </c>
      <c r="H421" s="189" t="b">
        <f t="shared" ca="1" si="42"/>
        <v>1</v>
      </c>
      <c r="I421" s="188">
        <f t="shared" ca="1" si="43"/>
        <v>57.319687816738146</v>
      </c>
      <c r="J421" s="349">
        <f t="shared" ca="1" si="36"/>
        <v>57.319687816738146</v>
      </c>
    </row>
    <row r="422" spans="1:10">
      <c r="A422" s="191">
        <v>243</v>
      </c>
      <c r="B422" s="190">
        <f t="shared" ca="1" si="37"/>
        <v>9.6275438567542809E-2</v>
      </c>
      <c r="C422" s="190">
        <f t="shared" ca="1" si="38"/>
        <v>5.8138381387299133E-2</v>
      </c>
      <c r="D422" s="190">
        <f t="shared" ca="1" si="39"/>
        <v>1.6253181699886477E-2</v>
      </c>
      <c r="E422" s="190">
        <f t="shared" ca="1" si="40"/>
        <v>-1.8139826644270367E-2</v>
      </c>
      <c r="F422" s="189" t="b">
        <f t="shared" ca="1" si="41"/>
        <v>1</v>
      </c>
      <c r="G422" s="188">
        <f ca="1">IF(F422,IFERROR(((('Data Schema'!$C$3*(1+B422)^1)*((1-$I$4-$I$5+E422)*(1-$I$10)+$I$6-$I$11)-('Data Schema'!$C$3*(1+B422)^1-'Data Schema'!$C$3)*$I$12)/(1+C422)^1+(('Data Schema'!$C$3*(1+B422)^2)*((1-$I$4-$I$5+E422)*(1-$I$10)+$I$6-$I$11)-('Data Schema'!$C$3*(1+B422)^2-'Data Schema'!$C$3*(1+B422)^1)*$I$12)/(1+C422)^2+(('Data Schema'!$C$3*(1+B422)^3)*((1-$I$4-$I$5+E422)*(1-$I$10)+$I$6-$I$11)-('Data Schema'!$C$3*(1+B422)^3-'Data Schema'!$C$3*(1+B422)^2)*$I$12)/(1+C422)^3+(('Data Schema'!$C$3*(1+B422)^4)*((1-$I$4-$I$5+E422)*(1-$I$10)+$I$6-$I$11)-('Data Schema'!$C$3*(1+B422)^4-'Data Schema'!$C$3*(1+B422)^3)*$I$12)/(1+C422)^4+(('Data Schema'!$C$3*(1+B422)^5)*((1-$I$4-$I$5+E422)*(1-$I$10)+$I$6-$I$11)-('Data Schema'!$C$3*(1+B422)^5-'Data Schema'!$C$3*(1+B422)^4)*$I$12)/(1+C422)^5+((('Data Schema'!$C$3*(1+B422)^5)*((1-$I$4-$I$5+E422)*(1-$I$10)+$I$6-$I$11)-('Data Schema'!$C$3*(1+B422)^5-'Data Schema'!$C$3*(1+B422)^4)*$I$12)*(1+D422)/(C422-D422))/(1+C422)^5-'Data Schema'!$C$31+'Data Schema'!$C$21)/'Data Schema'!$B$17,0),"INVALID")</f>
        <v>29.467896943220659</v>
      </c>
      <c r="H422" s="189" t="b">
        <f t="shared" ca="1" si="42"/>
        <v>1</v>
      </c>
      <c r="I422" s="188">
        <f t="shared" ca="1" si="43"/>
        <v>29.467896943220659</v>
      </c>
      <c r="J422" s="349">
        <f t="shared" ca="1" si="36"/>
        <v>29.467896943220659</v>
      </c>
    </row>
    <row r="423" spans="1:10">
      <c r="A423" s="187">
        <v>244</v>
      </c>
      <c r="B423" s="190">
        <f t="shared" ca="1" si="37"/>
        <v>9.4758577127273314E-2</v>
      </c>
      <c r="C423" s="190">
        <f t="shared" ca="1" si="38"/>
        <v>6.3044860004104572E-2</v>
      </c>
      <c r="D423" s="190">
        <f t="shared" ca="1" si="39"/>
        <v>1.9671972308087191E-2</v>
      </c>
      <c r="E423" s="190">
        <f t="shared" ca="1" si="40"/>
        <v>-1.8174586523457322E-2</v>
      </c>
      <c r="F423" s="189" t="b">
        <f t="shared" ca="1" si="41"/>
        <v>1</v>
      </c>
      <c r="G423" s="188">
        <f ca="1">IF(F423,IFERROR(((('Data Schema'!$C$3*(1+B423)^1)*((1-$I$4-$I$5+E423)*(1-$I$10)+$I$6-$I$11)-('Data Schema'!$C$3*(1+B423)^1-'Data Schema'!$C$3)*$I$12)/(1+C423)^1+(('Data Schema'!$C$3*(1+B423)^2)*((1-$I$4-$I$5+E423)*(1-$I$10)+$I$6-$I$11)-('Data Schema'!$C$3*(1+B423)^2-'Data Schema'!$C$3*(1+B423)^1)*$I$12)/(1+C423)^2+(('Data Schema'!$C$3*(1+B423)^3)*((1-$I$4-$I$5+E423)*(1-$I$10)+$I$6-$I$11)-('Data Schema'!$C$3*(1+B423)^3-'Data Schema'!$C$3*(1+B423)^2)*$I$12)/(1+C423)^3+(('Data Schema'!$C$3*(1+B423)^4)*((1-$I$4-$I$5+E423)*(1-$I$10)+$I$6-$I$11)-('Data Schema'!$C$3*(1+B423)^4-'Data Schema'!$C$3*(1+B423)^3)*$I$12)/(1+C423)^4+(('Data Schema'!$C$3*(1+B423)^5)*((1-$I$4-$I$5+E423)*(1-$I$10)+$I$6-$I$11)-('Data Schema'!$C$3*(1+B423)^5-'Data Schema'!$C$3*(1+B423)^4)*$I$12)/(1+C423)^5+((('Data Schema'!$C$3*(1+B423)^5)*((1-$I$4-$I$5+E423)*(1-$I$10)+$I$6-$I$11)-('Data Schema'!$C$3*(1+B423)^5-'Data Schema'!$C$3*(1+B423)^4)*$I$12)*(1+D423)/(C423-D423))/(1+C423)^5-'Data Schema'!$C$31+'Data Schema'!$C$21)/'Data Schema'!$B$17,0),"INVALID")</f>
        <v>27.529565136572128</v>
      </c>
      <c r="H423" s="189" t="b">
        <f t="shared" ca="1" si="42"/>
        <v>1</v>
      </c>
      <c r="I423" s="188">
        <f t="shared" ca="1" si="43"/>
        <v>27.529565136572128</v>
      </c>
      <c r="J423" s="349">
        <f t="shared" ca="1" si="36"/>
        <v>27.529565136572128</v>
      </c>
    </row>
    <row r="424" spans="1:10">
      <c r="A424" s="191">
        <v>245</v>
      </c>
      <c r="B424" s="190">
        <f t="shared" ca="1" si="37"/>
        <v>8.503546414531693E-2</v>
      </c>
      <c r="C424" s="190">
        <f t="shared" ca="1" si="38"/>
        <v>6.2029248682640523E-2</v>
      </c>
      <c r="D424" s="190">
        <f t="shared" ca="1" si="39"/>
        <v>2.4494239795821125E-2</v>
      </c>
      <c r="E424" s="190">
        <f t="shared" ca="1" si="40"/>
        <v>-2.7720507293735999E-2</v>
      </c>
      <c r="F424" s="189" t="b">
        <f t="shared" ca="1" si="41"/>
        <v>1</v>
      </c>
      <c r="G424" s="188">
        <f ca="1">IF(F424,IFERROR(((('Data Schema'!$C$3*(1+B424)^1)*((1-$I$4-$I$5+E424)*(1-$I$10)+$I$6-$I$11)-('Data Schema'!$C$3*(1+B424)^1-'Data Schema'!$C$3)*$I$12)/(1+C424)^1+(('Data Schema'!$C$3*(1+B424)^2)*((1-$I$4-$I$5+E424)*(1-$I$10)+$I$6-$I$11)-('Data Schema'!$C$3*(1+B424)^2-'Data Schema'!$C$3*(1+B424)^1)*$I$12)/(1+C424)^2+(('Data Schema'!$C$3*(1+B424)^3)*((1-$I$4-$I$5+E424)*(1-$I$10)+$I$6-$I$11)-('Data Schema'!$C$3*(1+B424)^3-'Data Schema'!$C$3*(1+B424)^2)*$I$12)/(1+C424)^3+(('Data Schema'!$C$3*(1+B424)^4)*((1-$I$4-$I$5+E424)*(1-$I$10)+$I$6-$I$11)-('Data Schema'!$C$3*(1+B424)^4-'Data Schema'!$C$3*(1+B424)^3)*$I$12)/(1+C424)^4+(('Data Schema'!$C$3*(1+B424)^5)*((1-$I$4-$I$5+E424)*(1-$I$10)+$I$6-$I$11)-('Data Schema'!$C$3*(1+B424)^5-'Data Schema'!$C$3*(1+B424)^4)*$I$12)/(1+C424)^5+((('Data Schema'!$C$3*(1+B424)^5)*((1-$I$4-$I$5+E424)*(1-$I$10)+$I$6-$I$11)-('Data Schema'!$C$3*(1+B424)^5-'Data Schema'!$C$3*(1+B424)^4)*$I$12)*(1+D424)/(C424-D424))/(1+C424)^5-'Data Schema'!$C$31+'Data Schema'!$C$21)/'Data Schema'!$B$17,0),"INVALID")</f>
        <v>8.5069727396541559</v>
      </c>
      <c r="H424" s="189" t="b">
        <f t="shared" ca="1" si="42"/>
        <v>0</v>
      </c>
      <c r="I424" s="188" t="str">
        <f t="shared" ca="1" si="43"/>
        <v/>
      </c>
      <c r="J424" s="349" t="str">
        <f t="shared" ca="1" si="36"/>
        <v/>
      </c>
    </row>
    <row r="425" spans="1:10">
      <c r="A425" s="187">
        <v>246</v>
      </c>
      <c r="B425" s="190">
        <f t="shared" ca="1" si="37"/>
        <v>3.522737221513994E-2</v>
      </c>
      <c r="C425" s="190">
        <f t="shared" ca="1" si="38"/>
        <v>5.0202049106406577E-2</v>
      </c>
      <c r="D425" s="190">
        <f t="shared" ca="1" si="39"/>
        <v>2.437612456034028E-2</v>
      </c>
      <c r="E425" s="190">
        <f t="shared" ca="1" si="40"/>
        <v>-6.5698122569827948E-3</v>
      </c>
      <c r="F425" s="189" t="b">
        <f t="shared" ca="1" si="41"/>
        <v>1</v>
      </c>
      <c r="G425" s="188">
        <f ca="1">IF(F425,IFERROR(((('Data Schema'!$C$3*(1+B425)^1)*((1-$I$4-$I$5+E425)*(1-$I$10)+$I$6-$I$11)-('Data Schema'!$C$3*(1+B425)^1-'Data Schema'!$C$3)*$I$12)/(1+C425)^1+(('Data Schema'!$C$3*(1+B425)^2)*((1-$I$4-$I$5+E425)*(1-$I$10)+$I$6-$I$11)-('Data Schema'!$C$3*(1+B425)^2-'Data Schema'!$C$3*(1+B425)^1)*$I$12)/(1+C425)^2+(('Data Schema'!$C$3*(1+B425)^3)*((1-$I$4-$I$5+E425)*(1-$I$10)+$I$6-$I$11)-('Data Schema'!$C$3*(1+B425)^3-'Data Schema'!$C$3*(1+B425)^2)*$I$12)/(1+C425)^3+(('Data Schema'!$C$3*(1+B425)^4)*((1-$I$4-$I$5+E425)*(1-$I$10)+$I$6-$I$11)-('Data Schema'!$C$3*(1+B425)^4-'Data Schema'!$C$3*(1+B425)^3)*$I$12)/(1+C425)^4+(('Data Schema'!$C$3*(1+B425)^5)*((1-$I$4-$I$5+E425)*(1-$I$10)+$I$6-$I$11)-('Data Schema'!$C$3*(1+B425)^5-'Data Schema'!$C$3*(1+B425)^4)*$I$12)/(1+C425)^5+((('Data Schema'!$C$3*(1+B425)^5)*((1-$I$4-$I$5+E425)*(1-$I$10)+$I$6-$I$11)-('Data Schema'!$C$3*(1+B425)^5-'Data Schema'!$C$3*(1+B425)^4)*$I$12)*(1+D425)/(C425-D425))/(1+C425)^5-'Data Schema'!$C$31+'Data Schema'!$C$21)/'Data Schema'!$B$17,0),"INVALID")</f>
        <v>73.216456612538906</v>
      </c>
      <c r="H425" s="189" t="b">
        <f t="shared" ca="1" si="42"/>
        <v>1</v>
      </c>
      <c r="I425" s="188">
        <f t="shared" ca="1" si="43"/>
        <v>73.216456612538906</v>
      </c>
      <c r="J425" s="349">
        <f t="shared" ca="1" si="36"/>
        <v>73.216456612538906</v>
      </c>
    </row>
    <row r="426" spans="1:10">
      <c r="A426" s="191">
        <v>247</v>
      </c>
      <c r="B426" s="190">
        <f t="shared" ca="1" si="37"/>
        <v>9.8421617656830315E-2</v>
      </c>
      <c r="C426" s="190">
        <f t="shared" ca="1" si="38"/>
        <v>6.0058120279594882E-2</v>
      </c>
      <c r="D426" s="190">
        <f t="shared" ca="1" si="39"/>
        <v>3.2556287352311065E-2</v>
      </c>
      <c r="E426" s="190">
        <f t="shared" ca="1" si="40"/>
        <v>-8.0162980863874699E-3</v>
      </c>
      <c r="F426" s="189" t="b">
        <f t="shared" ca="1" si="41"/>
        <v>1</v>
      </c>
      <c r="G426" s="188">
        <f ca="1">IF(F426,IFERROR(((('Data Schema'!$C$3*(1+B426)^1)*((1-$I$4-$I$5+E426)*(1-$I$10)+$I$6-$I$11)-('Data Schema'!$C$3*(1+B426)^1-'Data Schema'!$C$3)*$I$12)/(1+C426)^1+(('Data Schema'!$C$3*(1+B426)^2)*((1-$I$4-$I$5+E426)*(1-$I$10)+$I$6-$I$11)-('Data Schema'!$C$3*(1+B426)^2-'Data Schema'!$C$3*(1+B426)^1)*$I$12)/(1+C426)^2+(('Data Schema'!$C$3*(1+B426)^3)*((1-$I$4-$I$5+E426)*(1-$I$10)+$I$6-$I$11)-('Data Schema'!$C$3*(1+B426)^3-'Data Schema'!$C$3*(1+B426)^2)*$I$12)/(1+C426)^3+(('Data Schema'!$C$3*(1+B426)^4)*((1-$I$4-$I$5+E426)*(1-$I$10)+$I$6-$I$11)-('Data Schema'!$C$3*(1+B426)^4-'Data Schema'!$C$3*(1+B426)^3)*$I$12)/(1+C426)^4+(('Data Schema'!$C$3*(1+B426)^5)*((1-$I$4-$I$5+E426)*(1-$I$10)+$I$6-$I$11)-('Data Schema'!$C$3*(1+B426)^5-'Data Schema'!$C$3*(1+B426)^4)*$I$12)/(1+C426)^5+((('Data Schema'!$C$3*(1+B426)^5)*((1-$I$4-$I$5+E426)*(1-$I$10)+$I$6-$I$11)-('Data Schema'!$C$3*(1+B426)^5-'Data Schema'!$C$3*(1+B426)^4)*$I$12)*(1+D426)/(C426-D426))/(1+C426)^5-'Data Schema'!$C$31+'Data Schema'!$C$21)/'Data Schema'!$B$17,0),"INVALID")</f>
        <v>80.133703947735029</v>
      </c>
      <c r="H426" s="189" t="b">
        <f t="shared" ca="1" si="42"/>
        <v>1</v>
      </c>
      <c r="I426" s="188">
        <f t="shared" ca="1" si="43"/>
        <v>80.133703947735029</v>
      </c>
      <c r="J426" s="349">
        <f t="shared" ca="1" si="36"/>
        <v>80.133703947735029</v>
      </c>
    </row>
    <row r="427" spans="1:10">
      <c r="A427" s="187">
        <v>248</v>
      </c>
      <c r="B427" s="190">
        <f t="shared" ca="1" si="37"/>
        <v>7.9065939925747689E-2</v>
      </c>
      <c r="C427" s="190">
        <f t="shared" ca="1" si="38"/>
        <v>5.26982572914865E-2</v>
      </c>
      <c r="D427" s="190">
        <f t="shared" ca="1" si="39"/>
        <v>2.9645899969364582E-2</v>
      </c>
      <c r="E427" s="190">
        <f t="shared" ca="1" si="40"/>
        <v>2.154488616995481E-2</v>
      </c>
      <c r="F427" s="189" t="b">
        <f t="shared" ca="1" si="41"/>
        <v>1</v>
      </c>
      <c r="G427" s="188">
        <f ca="1">IF(F427,IFERROR(((('Data Schema'!$C$3*(1+B427)^1)*((1-$I$4-$I$5+E427)*(1-$I$10)+$I$6-$I$11)-('Data Schema'!$C$3*(1+B427)^1-'Data Schema'!$C$3)*$I$12)/(1+C427)^1+(('Data Schema'!$C$3*(1+B427)^2)*((1-$I$4-$I$5+E427)*(1-$I$10)+$I$6-$I$11)-('Data Schema'!$C$3*(1+B427)^2-'Data Schema'!$C$3*(1+B427)^1)*$I$12)/(1+C427)^2+(('Data Schema'!$C$3*(1+B427)^3)*((1-$I$4-$I$5+E427)*(1-$I$10)+$I$6-$I$11)-('Data Schema'!$C$3*(1+B427)^3-'Data Schema'!$C$3*(1+B427)^2)*$I$12)/(1+C427)^3+(('Data Schema'!$C$3*(1+B427)^4)*((1-$I$4-$I$5+E427)*(1-$I$10)+$I$6-$I$11)-('Data Schema'!$C$3*(1+B427)^4-'Data Schema'!$C$3*(1+B427)^3)*$I$12)/(1+C427)^4+(('Data Schema'!$C$3*(1+B427)^5)*((1-$I$4-$I$5+E427)*(1-$I$10)+$I$6-$I$11)-('Data Schema'!$C$3*(1+B427)^5-'Data Schema'!$C$3*(1+B427)^4)*$I$12)/(1+C427)^5+((('Data Schema'!$C$3*(1+B427)^5)*((1-$I$4-$I$5+E427)*(1-$I$10)+$I$6-$I$11)-('Data Schema'!$C$3*(1+B427)^5-'Data Schema'!$C$3*(1+B427)^4)*$I$12)*(1+D427)/(C427-D427))/(1+C427)^5-'Data Schema'!$C$31+'Data Schema'!$C$21)/'Data Schema'!$B$17,0),"INVALID")</f>
        <v>201.5439676792999</v>
      </c>
      <c r="H427" s="189" t="b">
        <f t="shared" ca="1" si="42"/>
        <v>1</v>
      </c>
      <c r="I427" s="188">
        <f t="shared" ca="1" si="43"/>
        <v>201.5439676792999</v>
      </c>
      <c r="J427" s="349">
        <f t="shared" ca="1" si="36"/>
        <v>201.5439676792999</v>
      </c>
    </row>
    <row r="428" spans="1:10">
      <c r="A428" s="191">
        <v>249</v>
      </c>
      <c r="B428" s="190">
        <f t="shared" ca="1" si="37"/>
        <v>8.222946655624791E-2</v>
      </c>
      <c r="C428" s="190">
        <f t="shared" ca="1" si="38"/>
        <v>4.6352878795794986E-2</v>
      </c>
      <c r="D428" s="190">
        <f t="shared" ca="1" si="39"/>
        <v>2.8782695734198425E-2</v>
      </c>
      <c r="E428" s="190">
        <f t="shared" ca="1" si="40"/>
        <v>-2.6523389690653973E-2</v>
      </c>
      <c r="F428" s="189" t="b">
        <f t="shared" ca="1" si="41"/>
        <v>1</v>
      </c>
      <c r="G428" s="188">
        <f ca="1">IF(F428,IFERROR(((('Data Schema'!$C$3*(1+B428)^1)*((1-$I$4-$I$5+E428)*(1-$I$10)+$I$6-$I$11)-('Data Schema'!$C$3*(1+B428)^1-'Data Schema'!$C$3)*$I$12)/(1+C428)^1+(('Data Schema'!$C$3*(1+B428)^2)*((1-$I$4-$I$5+E428)*(1-$I$10)+$I$6-$I$11)-('Data Schema'!$C$3*(1+B428)^2-'Data Schema'!$C$3*(1+B428)^1)*$I$12)/(1+C428)^2+(('Data Schema'!$C$3*(1+B428)^3)*((1-$I$4-$I$5+E428)*(1-$I$10)+$I$6-$I$11)-('Data Schema'!$C$3*(1+B428)^3-'Data Schema'!$C$3*(1+B428)^2)*$I$12)/(1+C428)^3+(('Data Schema'!$C$3*(1+B428)^4)*((1-$I$4-$I$5+E428)*(1-$I$10)+$I$6-$I$11)-('Data Schema'!$C$3*(1+B428)^4-'Data Schema'!$C$3*(1+B428)^3)*$I$12)/(1+C428)^4+(('Data Schema'!$C$3*(1+B428)^5)*((1-$I$4-$I$5+E428)*(1-$I$10)+$I$6-$I$11)-('Data Schema'!$C$3*(1+B428)^5-'Data Schema'!$C$3*(1+B428)^4)*$I$12)/(1+C428)^5+((('Data Schema'!$C$3*(1+B428)^5)*((1-$I$4-$I$5+E428)*(1-$I$10)+$I$6-$I$11)-('Data Schema'!$C$3*(1+B428)^5-'Data Schema'!$C$3*(1+B428)^4)*$I$12)*(1+D428)/(C428-D428))/(1+C428)^5-'Data Schema'!$C$31+'Data Schema'!$C$21)/'Data Schema'!$B$17,0),"INVALID")</f>
        <v>31.815235409477349</v>
      </c>
      <c r="H428" s="189" t="b">
        <f t="shared" ca="1" si="42"/>
        <v>1</v>
      </c>
      <c r="I428" s="188">
        <f t="shared" ca="1" si="43"/>
        <v>31.815235409477349</v>
      </c>
      <c r="J428" s="349">
        <f t="shared" ca="1" si="36"/>
        <v>31.815235409477349</v>
      </c>
    </row>
    <row r="429" spans="1:10">
      <c r="A429" s="187">
        <v>250</v>
      </c>
      <c r="B429" s="190">
        <f t="shared" ca="1" si="37"/>
        <v>0.11499348237967019</v>
      </c>
      <c r="C429" s="190">
        <f t="shared" ca="1" si="38"/>
        <v>6.3747331240344068E-2</v>
      </c>
      <c r="D429" s="190">
        <f t="shared" ca="1" si="39"/>
        <v>2.4646195809165692E-2</v>
      </c>
      <c r="E429" s="190">
        <f t="shared" ca="1" si="40"/>
        <v>-1.5809411039515057E-2</v>
      </c>
      <c r="F429" s="189" t="b">
        <f t="shared" ca="1" si="41"/>
        <v>1</v>
      </c>
      <c r="G429" s="188">
        <f ca="1">IF(F429,IFERROR(((('Data Schema'!$C$3*(1+B429)^1)*((1-$I$4-$I$5+E429)*(1-$I$10)+$I$6-$I$11)-('Data Schema'!$C$3*(1+B429)^1-'Data Schema'!$C$3)*$I$12)/(1+C429)^1+(('Data Schema'!$C$3*(1+B429)^2)*((1-$I$4-$I$5+E429)*(1-$I$10)+$I$6-$I$11)-('Data Schema'!$C$3*(1+B429)^2-'Data Schema'!$C$3*(1+B429)^1)*$I$12)/(1+C429)^2+(('Data Schema'!$C$3*(1+B429)^3)*((1-$I$4-$I$5+E429)*(1-$I$10)+$I$6-$I$11)-('Data Schema'!$C$3*(1+B429)^3-'Data Schema'!$C$3*(1+B429)^2)*$I$12)/(1+C429)^3+(('Data Schema'!$C$3*(1+B429)^4)*((1-$I$4-$I$5+E429)*(1-$I$10)+$I$6-$I$11)-('Data Schema'!$C$3*(1+B429)^4-'Data Schema'!$C$3*(1+B429)^3)*$I$12)/(1+C429)^4+(('Data Schema'!$C$3*(1+B429)^5)*((1-$I$4-$I$5+E429)*(1-$I$10)+$I$6-$I$11)-('Data Schema'!$C$3*(1+B429)^5-'Data Schema'!$C$3*(1+B429)^4)*$I$12)/(1+C429)^5+((('Data Schema'!$C$3*(1+B429)^5)*((1-$I$4-$I$5+E429)*(1-$I$10)+$I$6-$I$11)-('Data Schema'!$C$3*(1+B429)^5-'Data Schema'!$C$3*(1+B429)^4)*$I$12)*(1+D429)/(C429-D429))/(1+C429)^5-'Data Schema'!$C$31+'Data Schema'!$C$21)/'Data Schema'!$B$17,0),"INVALID")</f>
        <v>39.103598866850589</v>
      </c>
      <c r="H429" s="189" t="b">
        <f t="shared" ca="1" si="42"/>
        <v>1</v>
      </c>
      <c r="I429" s="188">
        <f t="shared" ca="1" si="43"/>
        <v>39.103598866850589</v>
      </c>
      <c r="J429" s="349">
        <f t="shared" ca="1" si="36"/>
        <v>39.103598866850589</v>
      </c>
    </row>
    <row r="430" spans="1:10">
      <c r="A430" s="191">
        <v>251</v>
      </c>
      <c r="B430" s="190">
        <f t="shared" ca="1" si="37"/>
        <v>0.13107086664274212</v>
      </c>
      <c r="C430" s="190">
        <f t="shared" ca="1" si="38"/>
        <v>5.0173965216635863E-2</v>
      </c>
      <c r="D430" s="190">
        <f t="shared" ca="1" si="39"/>
        <v>2.0569309732840928E-2</v>
      </c>
      <c r="E430" s="190">
        <f t="shared" ca="1" si="40"/>
        <v>-3.0379821043150035E-3</v>
      </c>
      <c r="F430" s="189" t="b">
        <f t="shared" ca="1" si="41"/>
        <v>1</v>
      </c>
      <c r="G430" s="188">
        <f ca="1">IF(F430,IFERROR(((('Data Schema'!$C$3*(1+B430)^1)*((1-$I$4-$I$5+E430)*(1-$I$10)+$I$6-$I$11)-('Data Schema'!$C$3*(1+B430)^1-'Data Schema'!$C$3)*$I$12)/(1+C430)^1+(('Data Schema'!$C$3*(1+B430)^2)*((1-$I$4-$I$5+E430)*(1-$I$10)+$I$6-$I$11)-('Data Schema'!$C$3*(1+B430)^2-'Data Schema'!$C$3*(1+B430)^1)*$I$12)/(1+C430)^2+(('Data Schema'!$C$3*(1+B430)^3)*((1-$I$4-$I$5+E430)*(1-$I$10)+$I$6-$I$11)-('Data Schema'!$C$3*(1+B430)^3-'Data Schema'!$C$3*(1+B430)^2)*$I$12)/(1+C430)^3+(('Data Schema'!$C$3*(1+B430)^4)*((1-$I$4-$I$5+E430)*(1-$I$10)+$I$6-$I$11)-('Data Schema'!$C$3*(1+B430)^4-'Data Schema'!$C$3*(1+B430)^3)*$I$12)/(1+C430)^4+(('Data Schema'!$C$3*(1+B430)^5)*((1-$I$4-$I$5+E430)*(1-$I$10)+$I$6-$I$11)-('Data Schema'!$C$3*(1+B430)^5-'Data Schema'!$C$3*(1+B430)^4)*$I$12)/(1+C430)^5+((('Data Schema'!$C$3*(1+B430)^5)*((1-$I$4-$I$5+E430)*(1-$I$10)+$I$6-$I$11)-('Data Schema'!$C$3*(1+B430)^5-'Data Schema'!$C$3*(1+B430)^4)*$I$12)*(1+D430)/(C430-D430))/(1+C430)^5-'Data Schema'!$C$31+'Data Schema'!$C$21)/'Data Schema'!$B$17,0),"INVALID")</f>
        <v>106.24098868744016</v>
      </c>
      <c r="H430" s="189" t="b">
        <f t="shared" ca="1" si="42"/>
        <v>1</v>
      </c>
      <c r="I430" s="188">
        <f t="shared" ca="1" si="43"/>
        <v>106.24098868744016</v>
      </c>
      <c r="J430" s="349">
        <f t="shared" ca="1" si="36"/>
        <v>106.24098868744016</v>
      </c>
    </row>
    <row r="431" spans="1:10">
      <c r="A431" s="187">
        <v>252</v>
      </c>
      <c r="B431" s="190">
        <f t="shared" ca="1" si="37"/>
        <v>9.5319910783965359E-2</v>
      </c>
      <c r="C431" s="190">
        <f t="shared" ca="1" si="38"/>
        <v>6.265749913414656E-2</v>
      </c>
      <c r="D431" s="190">
        <f t="shared" ca="1" si="39"/>
        <v>3.0638160472918317E-2</v>
      </c>
      <c r="E431" s="190">
        <f t="shared" ca="1" si="40"/>
        <v>3.4289786649189815E-3</v>
      </c>
      <c r="F431" s="189" t="b">
        <f t="shared" ca="1" si="41"/>
        <v>1</v>
      </c>
      <c r="G431" s="188">
        <f ca="1">IF(F431,IFERROR(((('Data Schema'!$C$3*(1+B431)^1)*((1-$I$4-$I$5+E431)*(1-$I$10)+$I$6-$I$11)-('Data Schema'!$C$3*(1+B431)^1-'Data Schema'!$C$3)*$I$12)/(1+C431)^1+(('Data Schema'!$C$3*(1+B431)^2)*((1-$I$4-$I$5+E431)*(1-$I$10)+$I$6-$I$11)-('Data Schema'!$C$3*(1+B431)^2-'Data Schema'!$C$3*(1+B431)^1)*$I$12)/(1+C431)^2+(('Data Schema'!$C$3*(1+B431)^3)*((1-$I$4-$I$5+E431)*(1-$I$10)+$I$6-$I$11)-('Data Schema'!$C$3*(1+B431)^3-'Data Schema'!$C$3*(1+B431)^2)*$I$12)/(1+C431)^3+(('Data Schema'!$C$3*(1+B431)^4)*((1-$I$4-$I$5+E431)*(1-$I$10)+$I$6-$I$11)-('Data Schema'!$C$3*(1+B431)^4-'Data Schema'!$C$3*(1+B431)^3)*$I$12)/(1+C431)^4+(('Data Schema'!$C$3*(1+B431)^5)*((1-$I$4-$I$5+E431)*(1-$I$10)+$I$6-$I$11)-('Data Schema'!$C$3*(1+B431)^5-'Data Schema'!$C$3*(1+B431)^4)*$I$12)/(1+C431)^5+((('Data Schema'!$C$3*(1+B431)^5)*((1-$I$4-$I$5+E431)*(1-$I$10)+$I$6-$I$11)-('Data Schema'!$C$3*(1+B431)^5-'Data Schema'!$C$3*(1+B431)^4)*$I$12)*(1+D431)/(C431-D431))/(1+C431)^5-'Data Schema'!$C$31+'Data Schema'!$C$21)/'Data Schema'!$B$17,0),"INVALID")</f>
        <v>100.14254760543632</v>
      </c>
      <c r="H431" s="189" t="b">
        <f t="shared" ca="1" si="42"/>
        <v>1</v>
      </c>
      <c r="I431" s="188">
        <f t="shared" ca="1" si="43"/>
        <v>100.14254760543632</v>
      </c>
      <c r="J431" s="349">
        <f t="shared" ca="1" si="36"/>
        <v>100.14254760543632</v>
      </c>
    </row>
    <row r="432" spans="1:10">
      <c r="A432" s="191">
        <v>253</v>
      </c>
      <c r="B432" s="190">
        <f t="shared" ca="1" si="37"/>
        <v>0.10912162596527029</v>
      </c>
      <c r="C432" s="190">
        <f t="shared" ca="1" si="38"/>
        <v>6.5436720175900187E-2</v>
      </c>
      <c r="D432" s="190">
        <f t="shared" ca="1" si="39"/>
        <v>2.8076561365578449E-2</v>
      </c>
      <c r="E432" s="190">
        <f t="shared" ca="1" si="40"/>
        <v>3.2957164539406593E-2</v>
      </c>
      <c r="F432" s="189" t="b">
        <f t="shared" ca="1" si="41"/>
        <v>1</v>
      </c>
      <c r="G432" s="188">
        <f ca="1">IF(F432,IFERROR(((('Data Schema'!$C$3*(1+B432)^1)*((1-$I$4-$I$5+E432)*(1-$I$10)+$I$6-$I$11)-('Data Schema'!$C$3*(1+B432)^1-'Data Schema'!$C$3)*$I$12)/(1+C432)^1+(('Data Schema'!$C$3*(1+B432)^2)*((1-$I$4-$I$5+E432)*(1-$I$10)+$I$6-$I$11)-('Data Schema'!$C$3*(1+B432)^2-'Data Schema'!$C$3*(1+B432)^1)*$I$12)/(1+C432)^2+(('Data Schema'!$C$3*(1+B432)^3)*((1-$I$4-$I$5+E432)*(1-$I$10)+$I$6-$I$11)-('Data Schema'!$C$3*(1+B432)^3-'Data Schema'!$C$3*(1+B432)^2)*$I$12)/(1+C432)^3+(('Data Schema'!$C$3*(1+B432)^4)*((1-$I$4-$I$5+E432)*(1-$I$10)+$I$6-$I$11)-('Data Schema'!$C$3*(1+B432)^4-'Data Schema'!$C$3*(1+B432)^3)*$I$12)/(1+C432)^4+(('Data Schema'!$C$3*(1+B432)^5)*((1-$I$4-$I$5+E432)*(1-$I$10)+$I$6-$I$11)-('Data Schema'!$C$3*(1+B432)^5-'Data Schema'!$C$3*(1+B432)^4)*$I$12)/(1+C432)^5+((('Data Schema'!$C$3*(1+B432)^5)*((1-$I$4-$I$5+E432)*(1-$I$10)+$I$6-$I$11)-('Data Schema'!$C$3*(1+B432)^5-'Data Schema'!$C$3*(1+B432)^4)*$I$12)*(1+D432)/(C432-D432))/(1+C432)^5-'Data Schema'!$C$31+'Data Schema'!$C$21)/'Data Schema'!$B$17,0),"INVALID")</f>
        <v>167.62468327128809</v>
      </c>
      <c r="H432" s="189" t="b">
        <f t="shared" ca="1" si="42"/>
        <v>1</v>
      </c>
      <c r="I432" s="188">
        <f t="shared" ca="1" si="43"/>
        <v>167.62468327128809</v>
      </c>
      <c r="J432" s="349">
        <f t="shared" ca="1" si="36"/>
        <v>167.62468327128809</v>
      </c>
    </row>
    <row r="433" spans="1:10">
      <c r="A433" s="187">
        <v>254</v>
      </c>
      <c r="B433" s="190">
        <f t="shared" ca="1" si="37"/>
        <v>8.384694155673518E-2</v>
      </c>
      <c r="C433" s="190">
        <f t="shared" ca="1" si="38"/>
        <v>6.0984179979600942E-2</v>
      </c>
      <c r="D433" s="190">
        <f t="shared" ca="1" si="39"/>
        <v>2.6574994674012014E-2</v>
      </c>
      <c r="E433" s="190">
        <f t="shared" ca="1" si="40"/>
        <v>6.3208327787811118E-3</v>
      </c>
      <c r="F433" s="189" t="b">
        <f t="shared" ca="1" si="41"/>
        <v>1</v>
      </c>
      <c r="G433" s="188">
        <f ca="1">IF(F433,IFERROR(((('Data Schema'!$C$3*(1+B433)^1)*((1-$I$4-$I$5+E433)*(1-$I$10)+$I$6-$I$11)-('Data Schema'!$C$3*(1+B433)^1-'Data Schema'!$C$3)*$I$12)/(1+C433)^1+(('Data Schema'!$C$3*(1+B433)^2)*((1-$I$4-$I$5+E433)*(1-$I$10)+$I$6-$I$11)-('Data Schema'!$C$3*(1+B433)^2-'Data Schema'!$C$3*(1+B433)^1)*$I$12)/(1+C433)^2+(('Data Schema'!$C$3*(1+B433)^3)*((1-$I$4-$I$5+E433)*(1-$I$10)+$I$6-$I$11)-('Data Schema'!$C$3*(1+B433)^3-'Data Schema'!$C$3*(1+B433)^2)*$I$12)/(1+C433)^3+(('Data Schema'!$C$3*(1+B433)^4)*((1-$I$4-$I$5+E433)*(1-$I$10)+$I$6-$I$11)-('Data Schema'!$C$3*(1+B433)^4-'Data Schema'!$C$3*(1+B433)^3)*$I$12)/(1+C433)^4+(('Data Schema'!$C$3*(1+B433)^5)*((1-$I$4-$I$5+E433)*(1-$I$10)+$I$6-$I$11)-('Data Schema'!$C$3*(1+B433)^5-'Data Schema'!$C$3*(1+B433)^4)*$I$12)/(1+C433)^5+((('Data Schema'!$C$3*(1+B433)^5)*((1-$I$4-$I$5+E433)*(1-$I$10)+$I$6-$I$11)-('Data Schema'!$C$3*(1+B433)^5-'Data Schema'!$C$3*(1+B433)^4)*$I$12)*(1+D433)/(C433-D433))/(1+C433)^5-'Data Schema'!$C$31+'Data Schema'!$C$21)/'Data Schema'!$B$17,0),"INVALID")</f>
        <v>97.233762606687733</v>
      </c>
      <c r="H433" s="189" t="b">
        <f t="shared" ca="1" si="42"/>
        <v>1</v>
      </c>
      <c r="I433" s="188">
        <f t="shared" ca="1" si="43"/>
        <v>97.233762606687733</v>
      </c>
      <c r="J433" s="349">
        <f t="shared" ca="1" si="36"/>
        <v>97.233762606687733</v>
      </c>
    </row>
    <row r="434" spans="1:10">
      <c r="A434" s="191">
        <v>255</v>
      </c>
      <c r="B434" s="190">
        <f t="shared" ca="1" si="37"/>
        <v>8.7374201325921108E-2</v>
      </c>
      <c r="C434" s="190">
        <f t="shared" ca="1" si="38"/>
        <v>6.7596449860504573E-2</v>
      </c>
      <c r="D434" s="190">
        <f t="shared" ca="1" si="39"/>
        <v>2.3234995553564366E-2</v>
      </c>
      <c r="E434" s="190">
        <f t="shared" ca="1" si="40"/>
        <v>-1.003001304936584E-2</v>
      </c>
      <c r="F434" s="189" t="b">
        <f t="shared" ca="1" si="41"/>
        <v>1</v>
      </c>
      <c r="G434" s="188">
        <f ca="1">IF(F434,IFERROR(((('Data Schema'!$C$3*(1+B434)^1)*((1-$I$4-$I$5+E434)*(1-$I$10)+$I$6-$I$11)-('Data Schema'!$C$3*(1+B434)^1-'Data Schema'!$C$3)*$I$12)/(1+C434)^1+(('Data Schema'!$C$3*(1+B434)^2)*((1-$I$4-$I$5+E434)*(1-$I$10)+$I$6-$I$11)-('Data Schema'!$C$3*(1+B434)^2-'Data Schema'!$C$3*(1+B434)^1)*$I$12)/(1+C434)^2+(('Data Schema'!$C$3*(1+B434)^3)*((1-$I$4-$I$5+E434)*(1-$I$10)+$I$6-$I$11)-('Data Schema'!$C$3*(1+B434)^3-'Data Schema'!$C$3*(1+B434)^2)*$I$12)/(1+C434)^3+(('Data Schema'!$C$3*(1+B434)^4)*((1-$I$4-$I$5+E434)*(1-$I$10)+$I$6-$I$11)-('Data Schema'!$C$3*(1+B434)^4-'Data Schema'!$C$3*(1+B434)^3)*$I$12)/(1+C434)^4+(('Data Schema'!$C$3*(1+B434)^5)*((1-$I$4-$I$5+E434)*(1-$I$10)+$I$6-$I$11)-('Data Schema'!$C$3*(1+B434)^5-'Data Schema'!$C$3*(1+B434)^4)*$I$12)/(1+C434)^5+((('Data Schema'!$C$3*(1+B434)^5)*((1-$I$4-$I$5+E434)*(1-$I$10)+$I$6-$I$11)-('Data Schema'!$C$3*(1+B434)^5-'Data Schema'!$C$3*(1+B434)^4)*$I$12)*(1+D434)/(C434-D434))/(1+C434)^5-'Data Schema'!$C$31+'Data Schema'!$C$21)/'Data Schema'!$B$17,0),"INVALID")</f>
        <v>42.21577680356868</v>
      </c>
      <c r="H434" s="189" t="b">
        <f t="shared" ca="1" si="42"/>
        <v>1</v>
      </c>
      <c r="I434" s="188">
        <f t="shared" ca="1" si="43"/>
        <v>42.21577680356868</v>
      </c>
      <c r="J434" s="349">
        <f t="shared" ca="1" si="36"/>
        <v>42.21577680356868</v>
      </c>
    </row>
    <row r="435" spans="1:10">
      <c r="A435" s="187">
        <v>256</v>
      </c>
      <c r="B435" s="190">
        <f t="shared" ca="1" si="37"/>
        <v>7.9458963442072414E-2</v>
      </c>
      <c r="C435" s="190">
        <f t="shared" ca="1" si="38"/>
        <v>5.6625981377612988E-2</v>
      </c>
      <c r="D435" s="190">
        <f t="shared" ca="1" si="39"/>
        <v>2.7367657316980307E-2</v>
      </c>
      <c r="E435" s="190">
        <f t="shared" ca="1" si="40"/>
        <v>2.2540997121313223E-2</v>
      </c>
      <c r="F435" s="189" t="b">
        <f t="shared" ca="1" si="41"/>
        <v>1</v>
      </c>
      <c r="G435" s="188">
        <f ca="1">IF(F435,IFERROR(((('Data Schema'!$C$3*(1+B435)^1)*((1-$I$4-$I$5+E435)*(1-$I$10)+$I$6-$I$11)-('Data Schema'!$C$3*(1+B435)^1-'Data Schema'!$C$3)*$I$12)/(1+C435)^1+(('Data Schema'!$C$3*(1+B435)^2)*((1-$I$4-$I$5+E435)*(1-$I$10)+$I$6-$I$11)-('Data Schema'!$C$3*(1+B435)^2-'Data Schema'!$C$3*(1+B435)^1)*$I$12)/(1+C435)^2+(('Data Schema'!$C$3*(1+B435)^3)*((1-$I$4-$I$5+E435)*(1-$I$10)+$I$6-$I$11)-('Data Schema'!$C$3*(1+B435)^3-'Data Schema'!$C$3*(1+B435)^2)*$I$12)/(1+C435)^3+(('Data Schema'!$C$3*(1+B435)^4)*((1-$I$4-$I$5+E435)*(1-$I$10)+$I$6-$I$11)-('Data Schema'!$C$3*(1+B435)^4-'Data Schema'!$C$3*(1+B435)^3)*$I$12)/(1+C435)^4+(('Data Schema'!$C$3*(1+B435)^5)*((1-$I$4-$I$5+E435)*(1-$I$10)+$I$6-$I$11)-('Data Schema'!$C$3*(1+B435)^5-'Data Schema'!$C$3*(1+B435)^4)*$I$12)/(1+C435)^5+((('Data Schema'!$C$3*(1+B435)^5)*((1-$I$4-$I$5+E435)*(1-$I$10)+$I$6-$I$11)-('Data Schema'!$C$3*(1+B435)^5-'Data Schema'!$C$3*(1+B435)^4)*$I$12)*(1+D435)/(C435-D435))/(1+C435)^5-'Data Schema'!$C$31+'Data Schema'!$C$21)/'Data Schema'!$B$17,0),"INVALID")</f>
        <v>161.4871580347662</v>
      </c>
      <c r="H435" s="189" t="b">
        <f t="shared" ca="1" si="42"/>
        <v>1</v>
      </c>
      <c r="I435" s="188">
        <f t="shared" ca="1" si="43"/>
        <v>161.4871580347662</v>
      </c>
      <c r="J435" s="349">
        <f t="shared" ca="1" si="36"/>
        <v>161.4871580347662</v>
      </c>
    </row>
    <row r="436" spans="1:10">
      <c r="A436" s="191">
        <v>257</v>
      </c>
      <c r="B436" s="190">
        <f t="shared" ca="1" si="37"/>
        <v>0.11799764981799185</v>
      </c>
      <c r="C436" s="190">
        <f t="shared" ca="1" si="38"/>
        <v>6.9348103304714734E-2</v>
      </c>
      <c r="D436" s="190">
        <f t="shared" ca="1" si="39"/>
        <v>1.7742489215055494E-2</v>
      </c>
      <c r="E436" s="190">
        <f t="shared" ca="1" si="40"/>
        <v>8.9814029620797018E-3</v>
      </c>
      <c r="F436" s="189" t="b">
        <f t="shared" ca="1" si="41"/>
        <v>1</v>
      </c>
      <c r="G436" s="188">
        <f ca="1">IF(F436,IFERROR(((('Data Schema'!$C$3*(1+B436)^1)*((1-$I$4-$I$5+E436)*(1-$I$10)+$I$6-$I$11)-('Data Schema'!$C$3*(1+B436)^1-'Data Schema'!$C$3)*$I$12)/(1+C436)^1+(('Data Schema'!$C$3*(1+B436)^2)*((1-$I$4-$I$5+E436)*(1-$I$10)+$I$6-$I$11)-('Data Schema'!$C$3*(1+B436)^2-'Data Schema'!$C$3*(1+B436)^1)*$I$12)/(1+C436)^2+(('Data Schema'!$C$3*(1+B436)^3)*((1-$I$4-$I$5+E436)*(1-$I$10)+$I$6-$I$11)-('Data Schema'!$C$3*(1+B436)^3-'Data Schema'!$C$3*(1+B436)^2)*$I$12)/(1+C436)^3+(('Data Schema'!$C$3*(1+B436)^4)*((1-$I$4-$I$5+E436)*(1-$I$10)+$I$6-$I$11)-('Data Schema'!$C$3*(1+B436)^4-'Data Schema'!$C$3*(1+B436)^3)*$I$12)/(1+C436)^4+(('Data Schema'!$C$3*(1+B436)^5)*((1-$I$4-$I$5+E436)*(1-$I$10)+$I$6-$I$11)-('Data Schema'!$C$3*(1+B436)^5-'Data Schema'!$C$3*(1+B436)^4)*$I$12)/(1+C436)^5+((('Data Schema'!$C$3*(1+B436)^5)*((1-$I$4-$I$5+E436)*(1-$I$10)+$I$6-$I$11)-('Data Schema'!$C$3*(1+B436)^5-'Data Schema'!$C$3*(1+B436)^4)*$I$12)*(1+D436)/(C436-D436))/(1+C436)^5-'Data Schema'!$C$31+'Data Schema'!$C$21)/'Data Schema'!$B$17,0),"INVALID")</f>
        <v>79.005708199033208</v>
      </c>
      <c r="H436" s="189" t="b">
        <f t="shared" ca="1" si="42"/>
        <v>1</v>
      </c>
      <c r="I436" s="188">
        <f t="shared" ca="1" si="43"/>
        <v>79.005708199033208</v>
      </c>
      <c r="J436" s="349">
        <f t="shared" ref="J436:J499" ca="1" si="44">IF(AND(F436=TRUE,H436=TRUE,ISNUMBER(G436),G436&gt;=$B$153,G436&lt;=$B$154),G436,"")</f>
        <v>79.005708199033208</v>
      </c>
    </row>
    <row r="437" spans="1:10">
      <c r="A437" s="187">
        <v>258</v>
      </c>
      <c r="B437" s="190">
        <f t="shared" ref="B437:B500" ca="1" si="45">MAX($D$139,MIN($E$139,NORMINV(RAND(),$B$139,$C$139)))</f>
        <v>8.9296233267960004E-2</v>
      </c>
      <c r="C437" s="190">
        <f t="shared" ref="C437:C500" ca="1" si="46">MAX($D$140,MIN($E$140,NORMINV(RAND(),$B$140,$C$140)))</f>
        <v>4.1304035774057099E-2</v>
      </c>
      <c r="D437" s="190">
        <f t="shared" ref="D437:D500" ca="1" si="47">MAX($D$141,MIN($E$141,NORMINV(RAND(),$B$141,$C$141)))</f>
        <v>1.4681438919113115E-2</v>
      </c>
      <c r="E437" s="190">
        <f t="shared" ref="E437:E500" ca="1" si="48">MAX($D$142,MIN($E$142,NORMINV(RAND(),$B$142,$C$142)))</f>
        <v>-2.1381637651337108E-2</v>
      </c>
      <c r="F437" s="189" t="b">
        <f t="shared" ref="F437:F500" ca="1" si="49">C437&gt;D437+$B$144</f>
        <v>1</v>
      </c>
      <c r="G437" s="188">
        <f ca="1">IF(F437,IFERROR(((('Data Schema'!$C$3*(1+B437)^1)*((1-$I$4-$I$5+E437)*(1-$I$10)+$I$6-$I$11)-('Data Schema'!$C$3*(1+B437)^1-'Data Schema'!$C$3)*$I$12)/(1+C437)^1+(('Data Schema'!$C$3*(1+B437)^2)*((1-$I$4-$I$5+E437)*(1-$I$10)+$I$6-$I$11)-('Data Schema'!$C$3*(1+B437)^2-'Data Schema'!$C$3*(1+B437)^1)*$I$12)/(1+C437)^2+(('Data Schema'!$C$3*(1+B437)^3)*((1-$I$4-$I$5+E437)*(1-$I$10)+$I$6-$I$11)-('Data Schema'!$C$3*(1+B437)^3-'Data Schema'!$C$3*(1+B437)^2)*$I$12)/(1+C437)^3+(('Data Schema'!$C$3*(1+B437)^4)*((1-$I$4-$I$5+E437)*(1-$I$10)+$I$6-$I$11)-('Data Schema'!$C$3*(1+B437)^4-'Data Schema'!$C$3*(1+B437)^3)*$I$12)/(1+C437)^4+(('Data Schema'!$C$3*(1+B437)^5)*((1-$I$4-$I$5+E437)*(1-$I$10)+$I$6-$I$11)-('Data Schema'!$C$3*(1+B437)^5-'Data Schema'!$C$3*(1+B437)^4)*$I$12)/(1+C437)^5+((('Data Schema'!$C$3*(1+B437)^5)*((1-$I$4-$I$5+E437)*(1-$I$10)+$I$6-$I$11)-('Data Schema'!$C$3*(1+B437)^5-'Data Schema'!$C$3*(1+B437)^4)*$I$12)*(1+D437)/(C437-D437))/(1+C437)^5-'Data Schema'!$C$31+'Data Schema'!$C$21)/'Data Schema'!$B$17,0),"INVALID")</f>
        <v>38.492997632995383</v>
      </c>
      <c r="H437" s="189" t="b">
        <f t="shared" ref="H437:H500" ca="1" si="50">AND(ISNUMBER(G437),G437&gt;$F$29*$B$145,G437&lt;$F$29*$B$146)</f>
        <v>1</v>
      </c>
      <c r="I437" s="188">
        <f t="shared" ref="I437:I500" ca="1" si="51">IF(AND(F437=TRUE,H437=TRUE),G437,"")</f>
        <v>38.492997632995383</v>
      </c>
      <c r="J437" s="349">
        <f t="shared" ca="1" si="44"/>
        <v>38.492997632995383</v>
      </c>
    </row>
    <row r="438" spans="1:10">
      <c r="A438" s="191">
        <v>259</v>
      </c>
      <c r="B438" s="190">
        <f t="shared" ca="1" si="45"/>
        <v>0.10099196389851678</v>
      </c>
      <c r="C438" s="190">
        <f t="shared" ca="1" si="46"/>
        <v>5.7651353179409871E-2</v>
      </c>
      <c r="D438" s="190">
        <f t="shared" ca="1" si="47"/>
        <v>1.9474979999398359E-2</v>
      </c>
      <c r="E438" s="190">
        <f t="shared" ca="1" si="48"/>
        <v>2.9162426965319531E-2</v>
      </c>
      <c r="F438" s="189" t="b">
        <f t="shared" ca="1" si="49"/>
        <v>1</v>
      </c>
      <c r="G438" s="188">
        <f ca="1">IF(F438,IFERROR(((('Data Schema'!$C$3*(1+B438)^1)*((1-$I$4-$I$5+E438)*(1-$I$10)+$I$6-$I$11)-('Data Schema'!$C$3*(1+B438)^1-'Data Schema'!$C$3)*$I$12)/(1+C438)^1+(('Data Schema'!$C$3*(1+B438)^2)*((1-$I$4-$I$5+E438)*(1-$I$10)+$I$6-$I$11)-('Data Schema'!$C$3*(1+B438)^2-'Data Schema'!$C$3*(1+B438)^1)*$I$12)/(1+C438)^2+(('Data Schema'!$C$3*(1+B438)^3)*((1-$I$4-$I$5+E438)*(1-$I$10)+$I$6-$I$11)-('Data Schema'!$C$3*(1+B438)^3-'Data Schema'!$C$3*(1+B438)^2)*$I$12)/(1+C438)^3+(('Data Schema'!$C$3*(1+B438)^4)*((1-$I$4-$I$5+E438)*(1-$I$10)+$I$6-$I$11)-('Data Schema'!$C$3*(1+B438)^4-'Data Schema'!$C$3*(1+B438)^3)*$I$12)/(1+C438)^4+(('Data Schema'!$C$3*(1+B438)^5)*((1-$I$4-$I$5+E438)*(1-$I$10)+$I$6-$I$11)-('Data Schema'!$C$3*(1+B438)^5-'Data Schema'!$C$3*(1+B438)^4)*$I$12)/(1+C438)^5+((('Data Schema'!$C$3*(1+B438)^5)*((1-$I$4-$I$5+E438)*(1-$I$10)+$I$6-$I$11)-('Data Schema'!$C$3*(1+B438)^5-'Data Schema'!$C$3*(1+B438)^4)*$I$12)*(1+D438)/(C438-D438))/(1+C438)^5-'Data Schema'!$C$31+'Data Schema'!$C$21)/'Data Schema'!$B$17,0),"INVALID")</f>
        <v>153.94954705410797</v>
      </c>
      <c r="H438" s="189" t="b">
        <f t="shared" ca="1" si="50"/>
        <v>1</v>
      </c>
      <c r="I438" s="188">
        <f t="shared" ca="1" si="51"/>
        <v>153.94954705410797</v>
      </c>
      <c r="J438" s="349">
        <f t="shared" ca="1" si="44"/>
        <v>153.94954705410797</v>
      </c>
    </row>
    <row r="439" spans="1:10">
      <c r="A439" s="187">
        <v>260</v>
      </c>
      <c r="B439" s="190">
        <f t="shared" ca="1" si="45"/>
        <v>0.13806097115845603</v>
      </c>
      <c r="C439" s="190">
        <f t="shared" ca="1" si="46"/>
        <v>6.4038257484149583E-2</v>
      </c>
      <c r="D439" s="190">
        <f t="shared" ca="1" si="47"/>
        <v>2.5987135526460647E-2</v>
      </c>
      <c r="E439" s="190">
        <f t="shared" ca="1" si="48"/>
        <v>-2.6608555397606821E-2</v>
      </c>
      <c r="F439" s="189" t="b">
        <f t="shared" ca="1" si="49"/>
        <v>1</v>
      </c>
      <c r="G439" s="188">
        <f ca="1">IF(F439,IFERROR(((('Data Schema'!$C$3*(1+B439)^1)*((1-$I$4-$I$5+E439)*(1-$I$10)+$I$6-$I$11)-('Data Schema'!$C$3*(1+B439)^1-'Data Schema'!$C$3)*$I$12)/(1+C439)^1+(('Data Schema'!$C$3*(1+B439)^2)*((1-$I$4-$I$5+E439)*(1-$I$10)+$I$6-$I$11)-('Data Schema'!$C$3*(1+B439)^2-'Data Schema'!$C$3*(1+B439)^1)*$I$12)/(1+C439)^2+(('Data Schema'!$C$3*(1+B439)^3)*((1-$I$4-$I$5+E439)*(1-$I$10)+$I$6-$I$11)-('Data Schema'!$C$3*(1+B439)^3-'Data Schema'!$C$3*(1+B439)^2)*$I$12)/(1+C439)^3+(('Data Schema'!$C$3*(1+B439)^4)*((1-$I$4-$I$5+E439)*(1-$I$10)+$I$6-$I$11)-('Data Schema'!$C$3*(1+B439)^4-'Data Schema'!$C$3*(1+B439)^3)*$I$12)/(1+C439)^4+(('Data Schema'!$C$3*(1+B439)^5)*((1-$I$4-$I$5+E439)*(1-$I$10)+$I$6-$I$11)-('Data Schema'!$C$3*(1+B439)^5-'Data Schema'!$C$3*(1+B439)^4)*$I$12)/(1+C439)^5+((('Data Schema'!$C$3*(1+B439)^5)*((1-$I$4-$I$5+E439)*(1-$I$10)+$I$6-$I$11)-('Data Schema'!$C$3*(1+B439)^5-'Data Schema'!$C$3*(1+B439)^4)*$I$12)*(1+D439)/(C439-D439))/(1+C439)^5-'Data Schema'!$C$31+'Data Schema'!$C$21)/'Data Schema'!$B$17,0),"INVALID")</f>
        <v>11.963561803629082</v>
      </c>
      <c r="H439" s="189" t="b">
        <f t="shared" ca="1" si="50"/>
        <v>0</v>
      </c>
      <c r="I439" s="188" t="str">
        <f t="shared" ca="1" si="51"/>
        <v/>
      </c>
      <c r="J439" s="349" t="str">
        <f t="shared" ca="1" si="44"/>
        <v/>
      </c>
    </row>
    <row r="440" spans="1:10">
      <c r="A440" s="191">
        <v>261</v>
      </c>
      <c r="B440" s="190">
        <f t="shared" ca="1" si="45"/>
        <v>0.13765786786983708</v>
      </c>
      <c r="C440" s="190">
        <f t="shared" ca="1" si="46"/>
        <v>7.2164423735257568E-2</v>
      </c>
      <c r="D440" s="190">
        <f t="shared" ca="1" si="47"/>
        <v>2.1781820517534412E-2</v>
      </c>
      <c r="E440" s="190">
        <f t="shared" ca="1" si="48"/>
        <v>-6.225061706787308E-3</v>
      </c>
      <c r="F440" s="189" t="b">
        <f t="shared" ca="1" si="49"/>
        <v>1</v>
      </c>
      <c r="G440" s="188">
        <f ca="1">IF(F440,IFERROR(((('Data Schema'!$C$3*(1+B440)^1)*((1-$I$4-$I$5+E440)*(1-$I$10)+$I$6-$I$11)-('Data Schema'!$C$3*(1+B440)^1-'Data Schema'!$C$3)*$I$12)/(1+C440)^1+(('Data Schema'!$C$3*(1+B440)^2)*((1-$I$4-$I$5+E440)*(1-$I$10)+$I$6-$I$11)-('Data Schema'!$C$3*(1+B440)^2-'Data Schema'!$C$3*(1+B440)^1)*$I$12)/(1+C440)^2+(('Data Schema'!$C$3*(1+B440)^3)*((1-$I$4-$I$5+E440)*(1-$I$10)+$I$6-$I$11)-('Data Schema'!$C$3*(1+B440)^3-'Data Schema'!$C$3*(1+B440)^2)*$I$12)/(1+C440)^3+(('Data Schema'!$C$3*(1+B440)^4)*((1-$I$4-$I$5+E440)*(1-$I$10)+$I$6-$I$11)-('Data Schema'!$C$3*(1+B440)^4-'Data Schema'!$C$3*(1+B440)^3)*$I$12)/(1+C440)^4+(('Data Schema'!$C$3*(1+B440)^5)*((1-$I$4-$I$5+E440)*(1-$I$10)+$I$6-$I$11)-('Data Schema'!$C$3*(1+B440)^5-'Data Schema'!$C$3*(1+B440)^4)*$I$12)/(1+C440)^5+((('Data Schema'!$C$3*(1+B440)^5)*((1-$I$4-$I$5+E440)*(1-$I$10)+$I$6-$I$11)-('Data Schema'!$C$3*(1+B440)^5-'Data Schema'!$C$3*(1+B440)^4)*$I$12)*(1+D440)/(C440-D440))/(1+C440)^5-'Data Schema'!$C$31+'Data Schema'!$C$21)/'Data Schema'!$B$17,0),"INVALID")</f>
        <v>52.610885154220384</v>
      </c>
      <c r="H440" s="189" t="b">
        <f t="shared" ca="1" si="50"/>
        <v>1</v>
      </c>
      <c r="I440" s="188">
        <f t="shared" ca="1" si="51"/>
        <v>52.610885154220384</v>
      </c>
      <c r="J440" s="349">
        <f t="shared" ca="1" si="44"/>
        <v>52.610885154220384</v>
      </c>
    </row>
    <row r="441" spans="1:10">
      <c r="A441" s="187">
        <v>262</v>
      </c>
      <c r="B441" s="190">
        <f t="shared" ca="1" si="45"/>
        <v>5.2810135744689971E-2</v>
      </c>
      <c r="C441" s="190">
        <f t="shared" ca="1" si="46"/>
        <v>6.8753091069207684E-2</v>
      </c>
      <c r="D441" s="190">
        <f t="shared" ca="1" si="47"/>
        <v>2.3828670271690354E-2</v>
      </c>
      <c r="E441" s="190">
        <f t="shared" ca="1" si="48"/>
        <v>2.0082453958753764E-3</v>
      </c>
      <c r="F441" s="189" t="b">
        <f t="shared" ca="1" si="49"/>
        <v>1</v>
      </c>
      <c r="G441" s="188">
        <f ca="1">IF(F441,IFERROR(((('Data Schema'!$C$3*(1+B441)^1)*((1-$I$4-$I$5+E441)*(1-$I$10)+$I$6-$I$11)-('Data Schema'!$C$3*(1+B441)^1-'Data Schema'!$C$3)*$I$12)/(1+C441)^1+(('Data Schema'!$C$3*(1+B441)^2)*((1-$I$4-$I$5+E441)*(1-$I$10)+$I$6-$I$11)-('Data Schema'!$C$3*(1+B441)^2-'Data Schema'!$C$3*(1+B441)^1)*$I$12)/(1+C441)^2+(('Data Schema'!$C$3*(1+B441)^3)*((1-$I$4-$I$5+E441)*(1-$I$10)+$I$6-$I$11)-('Data Schema'!$C$3*(1+B441)^3-'Data Schema'!$C$3*(1+B441)^2)*$I$12)/(1+C441)^3+(('Data Schema'!$C$3*(1+B441)^4)*((1-$I$4-$I$5+E441)*(1-$I$10)+$I$6-$I$11)-('Data Schema'!$C$3*(1+B441)^4-'Data Schema'!$C$3*(1+B441)^3)*$I$12)/(1+C441)^4+(('Data Schema'!$C$3*(1+B441)^5)*((1-$I$4-$I$5+E441)*(1-$I$10)+$I$6-$I$11)-('Data Schema'!$C$3*(1+B441)^5-'Data Schema'!$C$3*(1+B441)^4)*$I$12)/(1+C441)^5+((('Data Schema'!$C$3*(1+B441)^5)*((1-$I$4-$I$5+E441)*(1-$I$10)+$I$6-$I$11)-('Data Schema'!$C$3*(1+B441)^5-'Data Schema'!$C$3*(1+B441)^4)*$I$12)*(1+D441)/(C441-D441))/(1+C441)^5-'Data Schema'!$C$31+'Data Schema'!$C$21)/'Data Schema'!$B$17,0),"INVALID")</f>
        <v>56.926749341523582</v>
      </c>
      <c r="H441" s="189" t="b">
        <f t="shared" ca="1" si="50"/>
        <v>1</v>
      </c>
      <c r="I441" s="188">
        <f t="shared" ca="1" si="51"/>
        <v>56.926749341523582</v>
      </c>
      <c r="J441" s="349">
        <f t="shared" ca="1" si="44"/>
        <v>56.926749341523582</v>
      </c>
    </row>
    <row r="442" spans="1:10">
      <c r="A442" s="191">
        <v>263</v>
      </c>
      <c r="B442" s="190">
        <f t="shared" ca="1" si="45"/>
        <v>0.10632192065066957</v>
      </c>
      <c r="C442" s="190">
        <f t="shared" ca="1" si="46"/>
        <v>6.7449852509602296E-2</v>
      </c>
      <c r="D442" s="190">
        <f t="shared" ca="1" si="47"/>
        <v>2.8391652723392294E-2</v>
      </c>
      <c r="E442" s="190">
        <f t="shared" ca="1" si="48"/>
        <v>-4.5046679837462376E-3</v>
      </c>
      <c r="F442" s="189" t="b">
        <f t="shared" ca="1" si="49"/>
        <v>1</v>
      </c>
      <c r="G442" s="188">
        <f ca="1">IF(F442,IFERROR(((('Data Schema'!$C$3*(1+B442)^1)*((1-$I$4-$I$5+E442)*(1-$I$10)+$I$6-$I$11)-('Data Schema'!$C$3*(1+B442)^1-'Data Schema'!$C$3)*$I$12)/(1+C442)^1+(('Data Schema'!$C$3*(1+B442)^2)*((1-$I$4-$I$5+E442)*(1-$I$10)+$I$6-$I$11)-('Data Schema'!$C$3*(1+B442)^2-'Data Schema'!$C$3*(1+B442)^1)*$I$12)/(1+C442)^2+(('Data Schema'!$C$3*(1+B442)^3)*((1-$I$4-$I$5+E442)*(1-$I$10)+$I$6-$I$11)-('Data Schema'!$C$3*(1+B442)^3-'Data Schema'!$C$3*(1+B442)^2)*$I$12)/(1+C442)^3+(('Data Schema'!$C$3*(1+B442)^4)*((1-$I$4-$I$5+E442)*(1-$I$10)+$I$6-$I$11)-('Data Schema'!$C$3*(1+B442)^4-'Data Schema'!$C$3*(1+B442)^3)*$I$12)/(1+C442)^4+(('Data Schema'!$C$3*(1+B442)^5)*((1-$I$4-$I$5+E442)*(1-$I$10)+$I$6-$I$11)-('Data Schema'!$C$3*(1+B442)^5-'Data Schema'!$C$3*(1+B442)^4)*$I$12)/(1+C442)^5+((('Data Schema'!$C$3*(1+B442)^5)*((1-$I$4-$I$5+E442)*(1-$I$10)+$I$6-$I$11)-('Data Schema'!$C$3*(1+B442)^5-'Data Schema'!$C$3*(1+B442)^4)*$I$12)*(1+D442)/(C442-D442))/(1+C442)^5-'Data Schema'!$C$31+'Data Schema'!$C$21)/'Data Schema'!$B$17,0),"INVALID")</f>
        <v>65.288231777700858</v>
      </c>
      <c r="H442" s="189" t="b">
        <f t="shared" ca="1" si="50"/>
        <v>1</v>
      </c>
      <c r="I442" s="188">
        <f t="shared" ca="1" si="51"/>
        <v>65.288231777700858</v>
      </c>
      <c r="J442" s="349">
        <f t="shared" ca="1" si="44"/>
        <v>65.288231777700858</v>
      </c>
    </row>
    <row r="443" spans="1:10">
      <c r="A443" s="187">
        <v>264</v>
      </c>
      <c r="B443" s="190">
        <f t="shared" ca="1" si="45"/>
        <v>0.11224583924990889</v>
      </c>
      <c r="C443" s="190">
        <f t="shared" ca="1" si="46"/>
        <v>8.1860612977713423E-2</v>
      </c>
      <c r="D443" s="190">
        <f t="shared" ca="1" si="47"/>
        <v>3.3789364239765259E-2</v>
      </c>
      <c r="E443" s="190">
        <f t="shared" ca="1" si="48"/>
        <v>-7.7695064151261295E-3</v>
      </c>
      <c r="F443" s="189" t="b">
        <f t="shared" ca="1" si="49"/>
        <v>1</v>
      </c>
      <c r="G443" s="188">
        <f ca="1">IF(F443,IFERROR(((('Data Schema'!$C$3*(1+B443)^1)*((1-$I$4-$I$5+E443)*(1-$I$10)+$I$6-$I$11)-('Data Schema'!$C$3*(1+B443)^1-'Data Schema'!$C$3)*$I$12)/(1+C443)^1+(('Data Schema'!$C$3*(1+B443)^2)*((1-$I$4-$I$5+E443)*(1-$I$10)+$I$6-$I$11)-('Data Schema'!$C$3*(1+B443)^2-'Data Schema'!$C$3*(1+B443)^1)*$I$12)/(1+C443)^2+(('Data Schema'!$C$3*(1+B443)^3)*((1-$I$4-$I$5+E443)*(1-$I$10)+$I$6-$I$11)-('Data Schema'!$C$3*(1+B443)^3-'Data Schema'!$C$3*(1+B443)^2)*$I$12)/(1+C443)^3+(('Data Schema'!$C$3*(1+B443)^4)*((1-$I$4-$I$5+E443)*(1-$I$10)+$I$6-$I$11)-('Data Schema'!$C$3*(1+B443)^4-'Data Schema'!$C$3*(1+B443)^3)*$I$12)/(1+C443)^4+(('Data Schema'!$C$3*(1+B443)^5)*((1-$I$4-$I$5+E443)*(1-$I$10)+$I$6-$I$11)-('Data Schema'!$C$3*(1+B443)^5-'Data Schema'!$C$3*(1+B443)^4)*$I$12)/(1+C443)^5+((('Data Schema'!$C$3*(1+B443)^5)*((1-$I$4-$I$5+E443)*(1-$I$10)+$I$6-$I$11)-('Data Schema'!$C$3*(1+B443)^5-'Data Schema'!$C$3*(1+B443)^4)*$I$12)*(1+D443)/(C443-D443))/(1+C443)^5-'Data Schema'!$C$31+'Data Schema'!$C$21)/'Data Schema'!$B$17,0),"INVALID")</f>
        <v>44.96241239175459</v>
      </c>
      <c r="H443" s="189" t="b">
        <f t="shared" ca="1" si="50"/>
        <v>1</v>
      </c>
      <c r="I443" s="188">
        <f t="shared" ca="1" si="51"/>
        <v>44.96241239175459</v>
      </c>
      <c r="J443" s="349">
        <f t="shared" ca="1" si="44"/>
        <v>44.96241239175459</v>
      </c>
    </row>
    <row r="444" spans="1:10">
      <c r="A444" s="191">
        <v>265</v>
      </c>
      <c r="B444" s="190">
        <f t="shared" ca="1" si="45"/>
        <v>7.201300047880034E-2</v>
      </c>
      <c r="C444" s="190">
        <f t="shared" ca="1" si="46"/>
        <v>5.9277147902439459E-2</v>
      </c>
      <c r="D444" s="190">
        <f t="shared" ca="1" si="47"/>
        <v>3.0723904530328916E-2</v>
      </c>
      <c r="E444" s="190">
        <f t="shared" ca="1" si="48"/>
        <v>-2.4056131592105892E-3</v>
      </c>
      <c r="F444" s="189" t="b">
        <f t="shared" ca="1" si="49"/>
        <v>1</v>
      </c>
      <c r="G444" s="188">
        <f ca="1">IF(F444,IFERROR(((('Data Schema'!$C$3*(1+B444)^1)*((1-$I$4-$I$5+E444)*(1-$I$10)+$I$6-$I$11)-('Data Schema'!$C$3*(1+B444)^1-'Data Schema'!$C$3)*$I$12)/(1+C444)^1+(('Data Schema'!$C$3*(1+B444)^2)*((1-$I$4-$I$5+E444)*(1-$I$10)+$I$6-$I$11)-('Data Schema'!$C$3*(1+B444)^2-'Data Schema'!$C$3*(1+B444)^1)*$I$12)/(1+C444)^2+(('Data Schema'!$C$3*(1+B444)^3)*((1-$I$4-$I$5+E444)*(1-$I$10)+$I$6-$I$11)-('Data Schema'!$C$3*(1+B444)^3-'Data Schema'!$C$3*(1+B444)^2)*$I$12)/(1+C444)^3+(('Data Schema'!$C$3*(1+B444)^4)*((1-$I$4-$I$5+E444)*(1-$I$10)+$I$6-$I$11)-('Data Schema'!$C$3*(1+B444)^4-'Data Schema'!$C$3*(1+B444)^3)*$I$12)/(1+C444)^4+(('Data Schema'!$C$3*(1+B444)^5)*((1-$I$4-$I$5+E444)*(1-$I$10)+$I$6-$I$11)-('Data Schema'!$C$3*(1+B444)^5-'Data Schema'!$C$3*(1+B444)^4)*$I$12)/(1+C444)^5+((('Data Schema'!$C$3*(1+B444)^5)*((1-$I$4-$I$5+E444)*(1-$I$10)+$I$6-$I$11)-('Data Schema'!$C$3*(1+B444)^5-'Data Schema'!$C$3*(1+B444)^4)*$I$12)*(1+D444)/(C444-D444))/(1+C444)^5-'Data Schema'!$C$31+'Data Schema'!$C$21)/'Data Schema'!$B$17,0),"INVALID")</f>
        <v>86.190972697876333</v>
      </c>
      <c r="H444" s="189" t="b">
        <f t="shared" ca="1" si="50"/>
        <v>1</v>
      </c>
      <c r="I444" s="188">
        <f t="shared" ca="1" si="51"/>
        <v>86.190972697876333</v>
      </c>
      <c r="J444" s="349">
        <f t="shared" ca="1" si="44"/>
        <v>86.190972697876333</v>
      </c>
    </row>
    <row r="445" spans="1:10">
      <c r="A445" s="187">
        <v>266</v>
      </c>
      <c r="B445" s="190">
        <f t="shared" ca="1" si="45"/>
        <v>8.2175317724728053E-2</v>
      </c>
      <c r="C445" s="190">
        <f t="shared" ca="1" si="46"/>
        <v>5.7012839782532215E-2</v>
      </c>
      <c r="D445" s="190">
        <f t="shared" ca="1" si="47"/>
        <v>2.5997185561209335E-2</v>
      </c>
      <c r="E445" s="190">
        <f t="shared" ca="1" si="48"/>
        <v>1.5651909457239668E-2</v>
      </c>
      <c r="F445" s="189" t="b">
        <f t="shared" ca="1" si="49"/>
        <v>1</v>
      </c>
      <c r="G445" s="188">
        <f ca="1">IF(F445,IFERROR(((('Data Schema'!$C$3*(1+B445)^1)*((1-$I$4-$I$5+E445)*(1-$I$10)+$I$6-$I$11)-('Data Schema'!$C$3*(1+B445)^1-'Data Schema'!$C$3)*$I$12)/(1+C445)^1+(('Data Schema'!$C$3*(1+B445)^2)*((1-$I$4-$I$5+E445)*(1-$I$10)+$I$6-$I$11)-('Data Schema'!$C$3*(1+B445)^2-'Data Schema'!$C$3*(1+B445)^1)*$I$12)/(1+C445)^2+(('Data Schema'!$C$3*(1+B445)^3)*((1-$I$4-$I$5+E445)*(1-$I$10)+$I$6-$I$11)-('Data Schema'!$C$3*(1+B445)^3-'Data Schema'!$C$3*(1+B445)^2)*$I$12)/(1+C445)^3+(('Data Schema'!$C$3*(1+B445)^4)*((1-$I$4-$I$5+E445)*(1-$I$10)+$I$6-$I$11)-('Data Schema'!$C$3*(1+B445)^4-'Data Schema'!$C$3*(1+B445)^3)*$I$12)/(1+C445)^4+(('Data Schema'!$C$3*(1+B445)^5)*((1-$I$4-$I$5+E445)*(1-$I$10)+$I$6-$I$11)-('Data Schema'!$C$3*(1+B445)^5-'Data Schema'!$C$3*(1+B445)^4)*$I$12)/(1+C445)^5+((('Data Schema'!$C$3*(1+B445)^5)*((1-$I$4-$I$5+E445)*(1-$I$10)+$I$6-$I$11)-('Data Schema'!$C$3*(1+B445)^5-'Data Schema'!$C$3*(1+B445)^4)*$I$12)*(1+D445)/(C445-D445))/(1+C445)^5-'Data Schema'!$C$31+'Data Schema'!$C$21)/'Data Schema'!$B$17,0),"INVALID")</f>
        <v>134.80633794303341</v>
      </c>
      <c r="H445" s="189" t="b">
        <f t="shared" ca="1" si="50"/>
        <v>1</v>
      </c>
      <c r="I445" s="188">
        <f t="shared" ca="1" si="51"/>
        <v>134.80633794303341</v>
      </c>
      <c r="J445" s="349">
        <f t="shared" ca="1" si="44"/>
        <v>134.80633794303341</v>
      </c>
    </row>
    <row r="446" spans="1:10">
      <c r="A446" s="191">
        <v>267</v>
      </c>
      <c r="B446" s="190">
        <f t="shared" ca="1" si="45"/>
        <v>0.11215273265983612</v>
      </c>
      <c r="C446" s="190">
        <f t="shared" ca="1" si="46"/>
        <v>7.7571943841657831E-2</v>
      </c>
      <c r="D446" s="190">
        <f t="shared" ca="1" si="47"/>
        <v>2.5786204547812372E-2</v>
      </c>
      <c r="E446" s="190">
        <f t="shared" ca="1" si="48"/>
        <v>1.26887070010581E-2</v>
      </c>
      <c r="F446" s="189" t="b">
        <f t="shared" ca="1" si="49"/>
        <v>1</v>
      </c>
      <c r="G446" s="188">
        <f ca="1">IF(F446,IFERROR(((('Data Schema'!$C$3*(1+B446)^1)*((1-$I$4-$I$5+E446)*(1-$I$10)+$I$6-$I$11)-('Data Schema'!$C$3*(1+B446)^1-'Data Schema'!$C$3)*$I$12)/(1+C446)^1+(('Data Schema'!$C$3*(1+B446)^2)*((1-$I$4-$I$5+E446)*(1-$I$10)+$I$6-$I$11)-('Data Schema'!$C$3*(1+B446)^2-'Data Schema'!$C$3*(1+B446)^1)*$I$12)/(1+C446)^2+(('Data Schema'!$C$3*(1+B446)^3)*((1-$I$4-$I$5+E446)*(1-$I$10)+$I$6-$I$11)-('Data Schema'!$C$3*(1+B446)^3-'Data Schema'!$C$3*(1+B446)^2)*$I$12)/(1+C446)^3+(('Data Schema'!$C$3*(1+B446)^4)*((1-$I$4-$I$5+E446)*(1-$I$10)+$I$6-$I$11)-('Data Schema'!$C$3*(1+B446)^4-'Data Schema'!$C$3*(1+B446)^3)*$I$12)/(1+C446)^4+(('Data Schema'!$C$3*(1+B446)^5)*((1-$I$4-$I$5+E446)*(1-$I$10)+$I$6-$I$11)-('Data Schema'!$C$3*(1+B446)^5-'Data Schema'!$C$3*(1+B446)^4)*$I$12)/(1+C446)^5+((('Data Schema'!$C$3*(1+B446)^5)*((1-$I$4-$I$5+E446)*(1-$I$10)+$I$6-$I$11)-('Data Schema'!$C$3*(1+B446)^5-'Data Schema'!$C$3*(1+B446)^4)*$I$12)*(1+D446)/(C446-D446))/(1+C446)^5-'Data Schema'!$C$31+'Data Schema'!$C$21)/'Data Schema'!$B$17,0),"INVALID")</f>
        <v>81.634867758112705</v>
      </c>
      <c r="H446" s="189" t="b">
        <f t="shared" ca="1" si="50"/>
        <v>1</v>
      </c>
      <c r="I446" s="188">
        <f t="shared" ca="1" si="51"/>
        <v>81.634867758112705</v>
      </c>
      <c r="J446" s="349">
        <f t="shared" ca="1" si="44"/>
        <v>81.634867758112705</v>
      </c>
    </row>
    <row r="447" spans="1:10">
      <c r="A447" s="187">
        <v>268</v>
      </c>
      <c r="B447" s="190">
        <f t="shared" ca="1" si="45"/>
        <v>9.1995017818614327E-2</v>
      </c>
      <c r="C447" s="190">
        <f t="shared" ca="1" si="46"/>
        <v>6.5820315587028708E-2</v>
      </c>
      <c r="D447" s="190">
        <f t="shared" ca="1" si="47"/>
        <v>2.0511099663866262E-2</v>
      </c>
      <c r="E447" s="190">
        <f t="shared" ca="1" si="48"/>
        <v>-2.3908373460137255E-2</v>
      </c>
      <c r="F447" s="189" t="b">
        <f t="shared" ca="1" si="49"/>
        <v>1</v>
      </c>
      <c r="G447" s="188">
        <f ca="1">IF(F447,IFERROR(((('Data Schema'!$C$3*(1+B447)^1)*((1-$I$4-$I$5+E447)*(1-$I$10)+$I$6-$I$11)-('Data Schema'!$C$3*(1+B447)^1-'Data Schema'!$C$3)*$I$12)/(1+C447)^1+(('Data Schema'!$C$3*(1+B447)^2)*((1-$I$4-$I$5+E447)*(1-$I$10)+$I$6-$I$11)-('Data Schema'!$C$3*(1+B447)^2-'Data Schema'!$C$3*(1+B447)^1)*$I$12)/(1+C447)^2+(('Data Schema'!$C$3*(1+B447)^3)*((1-$I$4-$I$5+E447)*(1-$I$10)+$I$6-$I$11)-('Data Schema'!$C$3*(1+B447)^3-'Data Schema'!$C$3*(1+B447)^2)*$I$12)/(1+C447)^3+(('Data Schema'!$C$3*(1+B447)^4)*((1-$I$4-$I$5+E447)*(1-$I$10)+$I$6-$I$11)-('Data Schema'!$C$3*(1+B447)^4-'Data Schema'!$C$3*(1+B447)^3)*$I$12)/(1+C447)^4+(('Data Schema'!$C$3*(1+B447)^5)*((1-$I$4-$I$5+E447)*(1-$I$10)+$I$6-$I$11)-('Data Schema'!$C$3*(1+B447)^5-'Data Schema'!$C$3*(1+B447)^4)*$I$12)/(1+C447)^5+((('Data Schema'!$C$3*(1+B447)^5)*((1-$I$4-$I$5+E447)*(1-$I$10)+$I$6-$I$11)-('Data Schema'!$C$3*(1+B447)^5-'Data Schema'!$C$3*(1+B447)^4)*$I$12)*(1+D447)/(C447-D447))/(1+C447)^5-'Data Schema'!$C$31+'Data Schema'!$C$21)/'Data Schema'!$B$17,0),"INVALID")</f>
        <v>13.881823304594748</v>
      </c>
      <c r="H447" s="189" t="b">
        <f t="shared" ca="1" si="50"/>
        <v>1</v>
      </c>
      <c r="I447" s="188">
        <f t="shared" ca="1" si="51"/>
        <v>13.881823304594748</v>
      </c>
      <c r="J447" s="349" t="str">
        <f t="shared" ca="1" si="44"/>
        <v/>
      </c>
    </row>
    <row r="448" spans="1:10">
      <c r="A448" s="191">
        <v>269</v>
      </c>
      <c r="B448" s="190">
        <f t="shared" ca="1" si="45"/>
        <v>9.6680481517433664E-2</v>
      </c>
      <c r="C448" s="190">
        <f t="shared" ca="1" si="46"/>
        <v>6.1387340133375226E-2</v>
      </c>
      <c r="D448" s="190">
        <f t="shared" ca="1" si="47"/>
        <v>2.2698431380290245E-2</v>
      </c>
      <c r="E448" s="190">
        <f t="shared" ca="1" si="48"/>
        <v>-1.1526870275856948E-2</v>
      </c>
      <c r="F448" s="189" t="b">
        <f t="shared" ca="1" si="49"/>
        <v>1</v>
      </c>
      <c r="G448" s="188">
        <f ca="1">IF(F448,IFERROR(((('Data Schema'!$C$3*(1+B448)^1)*((1-$I$4-$I$5+E448)*(1-$I$10)+$I$6-$I$11)-('Data Schema'!$C$3*(1+B448)^1-'Data Schema'!$C$3)*$I$12)/(1+C448)^1+(('Data Schema'!$C$3*(1+B448)^2)*((1-$I$4-$I$5+E448)*(1-$I$10)+$I$6-$I$11)-('Data Schema'!$C$3*(1+B448)^2-'Data Schema'!$C$3*(1+B448)^1)*$I$12)/(1+C448)^2+(('Data Schema'!$C$3*(1+B448)^3)*((1-$I$4-$I$5+E448)*(1-$I$10)+$I$6-$I$11)-('Data Schema'!$C$3*(1+B448)^3-'Data Schema'!$C$3*(1+B448)^2)*$I$12)/(1+C448)^3+(('Data Schema'!$C$3*(1+B448)^4)*((1-$I$4-$I$5+E448)*(1-$I$10)+$I$6-$I$11)-('Data Schema'!$C$3*(1+B448)^4-'Data Schema'!$C$3*(1+B448)^3)*$I$12)/(1+C448)^4+(('Data Schema'!$C$3*(1+B448)^5)*((1-$I$4-$I$5+E448)*(1-$I$10)+$I$6-$I$11)-('Data Schema'!$C$3*(1+B448)^5-'Data Schema'!$C$3*(1+B448)^4)*$I$12)/(1+C448)^5+((('Data Schema'!$C$3*(1+B448)^5)*((1-$I$4-$I$5+E448)*(1-$I$10)+$I$6-$I$11)-('Data Schema'!$C$3*(1+B448)^5-'Data Schema'!$C$3*(1+B448)^4)*$I$12)*(1+D448)/(C448-D448))/(1+C448)^5-'Data Schema'!$C$31+'Data Schema'!$C$21)/'Data Schema'!$B$17,0),"INVALID")</f>
        <v>47.850822906028277</v>
      </c>
      <c r="H448" s="189" t="b">
        <f t="shared" ca="1" si="50"/>
        <v>1</v>
      </c>
      <c r="I448" s="188">
        <f t="shared" ca="1" si="51"/>
        <v>47.850822906028277</v>
      </c>
      <c r="J448" s="349">
        <f t="shared" ca="1" si="44"/>
        <v>47.850822906028277</v>
      </c>
    </row>
    <row r="449" spans="1:10">
      <c r="A449" s="187">
        <v>270</v>
      </c>
      <c r="B449" s="190">
        <f t="shared" ca="1" si="45"/>
        <v>6.0687923984744076E-2</v>
      </c>
      <c r="C449" s="190">
        <f t="shared" ca="1" si="46"/>
        <v>5.1012700350907159E-2</v>
      </c>
      <c r="D449" s="190">
        <f t="shared" ca="1" si="47"/>
        <v>2.536440986689192E-2</v>
      </c>
      <c r="E449" s="190">
        <f t="shared" ca="1" si="48"/>
        <v>2.0839585015464835E-2</v>
      </c>
      <c r="F449" s="189" t="b">
        <f t="shared" ca="1" si="49"/>
        <v>1</v>
      </c>
      <c r="G449" s="188">
        <f ca="1">IF(F449,IFERROR(((('Data Schema'!$C$3*(1+B449)^1)*((1-$I$4-$I$5+E449)*(1-$I$10)+$I$6-$I$11)-('Data Schema'!$C$3*(1+B449)^1-'Data Schema'!$C$3)*$I$12)/(1+C449)^1+(('Data Schema'!$C$3*(1+B449)^2)*((1-$I$4-$I$5+E449)*(1-$I$10)+$I$6-$I$11)-('Data Schema'!$C$3*(1+B449)^2-'Data Schema'!$C$3*(1+B449)^1)*$I$12)/(1+C449)^2+(('Data Schema'!$C$3*(1+B449)^3)*((1-$I$4-$I$5+E449)*(1-$I$10)+$I$6-$I$11)-('Data Schema'!$C$3*(1+B449)^3-'Data Schema'!$C$3*(1+B449)^2)*$I$12)/(1+C449)^3+(('Data Schema'!$C$3*(1+B449)^4)*((1-$I$4-$I$5+E449)*(1-$I$10)+$I$6-$I$11)-('Data Schema'!$C$3*(1+B449)^4-'Data Schema'!$C$3*(1+B449)^3)*$I$12)/(1+C449)^4+(('Data Schema'!$C$3*(1+B449)^5)*((1-$I$4-$I$5+E449)*(1-$I$10)+$I$6-$I$11)-('Data Schema'!$C$3*(1+B449)^5-'Data Schema'!$C$3*(1+B449)^4)*$I$12)/(1+C449)^5+((('Data Schema'!$C$3*(1+B449)^5)*((1-$I$4-$I$5+E449)*(1-$I$10)+$I$6-$I$11)-('Data Schema'!$C$3*(1+B449)^5-'Data Schema'!$C$3*(1+B449)^4)*$I$12)*(1+D449)/(C449-D449))/(1+C449)^5-'Data Schema'!$C$31+'Data Schema'!$C$21)/'Data Schema'!$B$17,0),"INVALID")</f>
        <v>167.32822773525021</v>
      </c>
      <c r="H449" s="189" t="b">
        <f t="shared" ca="1" si="50"/>
        <v>1</v>
      </c>
      <c r="I449" s="188">
        <f t="shared" ca="1" si="51"/>
        <v>167.32822773525021</v>
      </c>
      <c r="J449" s="349">
        <f t="shared" ca="1" si="44"/>
        <v>167.32822773525021</v>
      </c>
    </row>
    <row r="450" spans="1:10">
      <c r="A450" s="191">
        <v>271</v>
      </c>
      <c r="B450" s="190">
        <f t="shared" ca="1" si="45"/>
        <v>9.1939425454535054E-2</v>
      </c>
      <c r="C450" s="190">
        <f t="shared" ca="1" si="46"/>
        <v>5.280995335725211E-2</v>
      </c>
      <c r="D450" s="190">
        <f t="shared" ca="1" si="47"/>
        <v>3.1444554118480766E-2</v>
      </c>
      <c r="E450" s="190">
        <f t="shared" ca="1" si="48"/>
        <v>-4.0619222546953562E-2</v>
      </c>
      <c r="F450" s="189" t="b">
        <f t="shared" ca="1" si="49"/>
        <v>1</v>
      </c>
      <c r="G450" s="188">
        <f ca="1">IF(F450,IFERROR(((('Data Schema'!$C$3*(1+B450)^1)*((1-$I$4-$I$5+E450)*(1-$I$10)+$I$6-$I$11)-('Data Schema'!$C$3*(1+B450)^1-'Data Schema'!$C$3)*$I$12)/(1+C450)^1+(('Data Schema'!$C$3*(1+B450)^2)*((1-$I$4-$I$5+E450)*(1-$I$10)+$I$6-$I$11)-('Data Schema'!$C$3*(1+B450)^2-'Data Schema'!$C$3*(1+B450)^1)*$I$12)/(1+C450)^2+(('Data Schema'!$C$3*(1+B450)^3)*((1-$I$4-$I$5+E450)*(1-$I$10)+$I$6-$I$11)-('Data Schema'!$C$3*(1+B450)^3-'Data Schema'!$C$3*(1+B450)^2)*$I$12)/(1+C450)^3+(('Data Schema'!$C$3*(1+B450)^4)*((1-$I$4-$I$5+E450)*(1-$I$10)+$I$6-$I$11)-('Data Schema'!$C$3*(1+B450)^4-'Data Schema'!$C$3*(1+B450)^3)*$I$12)/(1+C450)^4+(('Data Schema'!$C$3*(1+B450)^5)*((1-$I$4-$I$5+E450)*(1-$I$10)+$I$6-$I$11)-('Data Schema'!$C$3*(1+B450)^5-'Data Schema'!$C$3*(1+B450)^4)*$I$12)/(1+C450)^5+((('Data Schema'!$C$3*(1+B450)^5)*((1-$I$4-$I$5+E450)*(1-$I$10)+$I$6-$I$11)-('Data Schema'!$C$3*(1+B450)^5-'Data Schema'!$C$3*(1+B450)^4)*$I$12)*(1+D450)/(C450-D450))/(1+C450)^5-'Data Schema'!$C$31+'Data Schema'!$C$21)/'Data Schema'!$B$17,0),"INVALID")</f>
        <v>-34.690296988264073</v>
      </c>
      <c r="H450" s="189" t="b">
        <f t="shared" ca="1" si="50"/>
        <v>0</v>
      </c>
      <c r="I450" s="188" t="str">
        <f t="shared" ca="1" si="51"/>
        <v/>
      </c>
      <c r="J450" s="349" t="str">
        <f t="shared" ca="1" si="44"/>
        <v/>
      </c>
    </row>
    <row r="451" spans="1:10">
      <c r="A451" s="187">
        <v>272</v>
      </c>
      <c r="B451" s="190">
        <f t="shared" ca="1" si="45"/>
        <v>8.1625654814180743E-2</v>
      </c>
      <c r="C451" s="190">
        <f t="shared" ca="1" si="46"/>
        <v>6.9050465096737595E-2</v>
      </c>
      <c r="D451" s="190">
        <f t="shared" ca="1" si="47"/>
        <v>2.1077168116470063E-2</v>
      </c>
      <c r="E451" s="190">
        <f t="shared" ca="1" si="48"/>
        <v>-1.3992153051083717E-2</v>
      </c>
      <c r="F451" s="189" t="b">
        <f t="shared" ca="1" si="49"/>
        <v>1</v>
      </c>
      <c r="G451" s="188">
        <f ca="1">IF(F451,IFERROR(((('Data Schema'!$C$3*(1+B451)^1)*((1-$I$4-$I$5+E451)*(1-$I$10)+$I$6-$I$11)-('Data Schema'!$C$3*(1+B451)^1-'Data Schema'!$C$3)*$I$12)/(1+C451)^1+(('Data Schema'!$C$3*(1+B451)^2)*((1-$I$4-$I$5+E451)*(1-$I$10)+$I$6-$I$11)-('Data Schema'!$C$3*(1+B451)^2-'Data Schema'!$C$3*(1+B451)^1)*$I$12)/(1+C451)^2+(('Data Schema'!$C$3*(1+B451)^3)*((1-$I$4-$I$5+E451)*(1-$I$10)+$I$6-$I$11)-('Data Schema'!$C$3*(1+B451)^3-'Data Schema'!$C$3*(1+B451)^2)*$I$12)/(1+C451)^3+(('Data Schema'!$C$3*(1+B451)^4)*((1-$I$4-$I$5+E451)*(1-$I$10)+$I$6-$I$11)-('Data Schema'!$C$3*(1+B451)^4-'Data Schema'!$C$3*(1+B451)^3)*$I$12)/(1+C451)^4+(('Data Schema'!$C$3*(1+B451)^5)*((1-$I$4-$I$5+E451)*(1-$I$10)+$I$6-$I$11)-('Data Schema'!$C$3*(1+B451)^5-'Data Schema'!$C$3*(1+B451)^4)*$I$12)/(1+C451)^5+((('Data Schema'!$C$3*(1+B451)^5)*((1-$I$4-$I$5+E451)*(1-$I$10)+$I$6-$I$11)-('Data Schema'!$C$3*(1+B451)^5-'Data Schema'!$C$3*(1+B451)^4)*$I$12)*(1+D451)/(C451-D451))/(1+C451)^5-'Data Schema'!$C$31+'Data Schema'!$C$21)/'Data Schema'!$B$17,0),"INVALID")</f>
        <v>30.58003403736279</v>
      </c>
      <c r="H451" s="189" t="b">
        <f t="shared" ca="1" si="50"/>
        <v>1</v>
      </c>
      <c r="I451" s="188">
        <f t="shared" ca="1" si="51"/>
        <v>30.58003403736279</v>
      </c>
      <c r="J451" s="349">
        <f t="shared" ca="1" si="44"/>
        <v>30.58003403736279</v>
      </c>
    </row>
    <row r="452" spans="1:10">
      <c r="A452" s="191">
        <v>273</v>
      </c>
      <c r="B452" s="190">
        <f t="shared" ca="1" si="45"/>
        <v>0.11694070496255821</v>
      </c>
      <c r="C452" s="190">
        <f t="shared" ca="1" si="46"/>
        <v>6.0773563569052676E-2</v>
      </c>
      <c r="D452" s="190">
        <f t="shared" ca="1" si="47"/>
        <v>2.8743227430817839E-2</v>
      </c>
      <c r="E452" s="190">
        <f t="shared" ca="1" si="48"/>
        <v>-2.3569574051550816E-3</v>
      </c>
      <c r="F452" s="189" t="b">
        <f t="shared" ca="1" si="49"/>
        <v>1</v>
      </c>
      <c r="G452" s="188">
        <f ca="1">IF(F452,IFERROR(((('Data Schema'!$C$3*(1+B452)^1)*((1-$I$4-$I$5+E452)*(1-$I$10)+$I$6-$I$11)-('Data Schema'!$C$3*(1+B452)^1-'Data Schema'!$C$3)*$I$12)/(1+C452)^1+(('Data Schema'!$C$3*(1+B452)^2)*((1-$I$4-$I$5+E452)*(1-$I$10)+$I$6-$I$11)-('Data Schema'!$C$3*(1+B452)^2-'Data Schema'!$C$3*(1+B452)^1)*$I$12)/(1+C452)^2+(('Data Schema'!$C$3*(1+B452)^3)*((1-$I$4-$I$5+E452)*(1-$I$10)+$I$6-$I$11)-('Data Schema'!$C$3*(1+B452)^3-'Data Schema'!$C$3*(1+B452)^2)*$I$12)/(1+C452)^3+(('Data Schema'!$C$3*(1+B452)^4)*((1-$I$4-$I$5+E452)*(1-$I$10)+$I$6-$I$11)-('Data Schema'!$C$3*(1+B452)^4-'Data Schema'!$C$3*(1+B452)^3)*$I$12)/(1+C452)^4+(('Data Schema'!$C$3*(1+B452)^5)*((1-$I$4-$I$5+E452)*(1-$I$10)+$I$6-$I$11)-('Data Schema'!$C$3*(1+B452)^5-'Data Schema'!$C$3*(1+B452)^4)*$I$12)/(1+C452)^5+((('Data Schema'!$C$3*(1+B452)^5)*((1-$I$4-$I$5+E452)*(1-$I$10)+$I$6-$I$11)-('Data Schema'!$C$3*(1+B452)^5-'Data Schema'!$C$3*(1+B452)^4)*$I$12)*(1+D452)/(C452-D452))/(1+C452)^5-'Data Schema'!$C$31+'Data Schema'!$C$21)/'Data Schema'!$B$17,0),"INVALID")</f>
        <v>91.576971206356461</v>
      </c>
      <c r="H452" s="189" t="b">
        <f t="shared" ca="1" si="50"/>
        <v>1</v>
      </c>
      <c r="I452" s="188">
        <f t="shared" ca="1" si="51"/>
        <v>91.576971206356461</v>
      </c>
      <c r="J452" s="349">
        <f t="shared" ca="1" si="44"/>
        <v>91.576971206356461</v>
      </c>
    </row>
    <row r="453" spans="1:10">
      <c r="A453" s="187">
        <v>274</v>
      </c>
      <c r="B453" s="190">
        <f t="shared" ca="1" si="45"/>
        <v>0.12718654228046136</v>
      </c>
      <c r="C453" s="190">
        <f t="shared" ca="1" si="46"/>
        <v>5.7498369701266983E-2</v>
      </c>
      <c r="D453" s="190">
        <f t="shared" ca="1" si="47"/>
        <v>3.0100448532719155E-2</v>
      </c>
      <c r="E453" s="190">
        <f t="shared" ca="1" si="48"/>
        <v>-8.8193915395653171E-3</v>
      </c>
      <c r="F453" s="189" t="b">
        <f t="shared" ca="1" si="49"/>
        <v>1</v>
      </c>
      <c r="G453" s="188">
        <f ca="1">IF(F453,IFERROR(((('Data Schema'!$C$3*(1+B453)^1)*((1-$I$4-$I$5+E453)*(1-$I$10)+$I$6-$I$11)-('Data Schema'!$C$3*(1+B453)^1-'Data Schema'!$C$3)*$I$12)/(1+C453)^1+(('Data Schema'!$C$3*(1+B453)^2)*((1-$I$4-$I$5+E453)*(1-$I$10)+$I$6-$I$11)-('Data Schema'!$C$3*(1+B453)^2-'Data Schema'!$C$3*(1+B453)^1)*$I$12)/(1+C453)^2+(('Data Schema'!$C$3*(1+B453)^3)*((1-$I$4-$I$5+E453)*(1-$I$10)+$I$6-$I$11)-('Data Schema'!$C$3*(1+B453)^3-'Data Schema'!$C$3*(1+B453)^2)*$I$12)/(1+C453)^3+(('Data Schema'!$C$3*(1+B453)^4)*((1-$I$4-$I$5+E453)*(1-$I$10)+$I$6-$I$11)-('Data Schema'!$C$3*(1+B453)^4-'Data Schema'!$C$3*(1+B453)^3)*$I$12)/(1+C453)^4+(('Data Schema'!$C$3*(1+B453)^5)*((1-$I$4-$I$5+E453)*(1-$I$10)+$I$6-$I$11)-('Data Schema'!$C$3*(1+B453)^5-'Data Schema'!$C$3*(1+B453)^4)*$I$12)/(1+C453)^5+((('Data Schema'!$C$3*(1+B453)^5)*((1-$I$4-$I$5+E453)*(1-$I$10)+$I$6-$I$11)-('Data Schema'!$C$3*(1+B453)^5-'Data Schema'!$C$3*(1+B453)^4)*$I$12)*(1+D453)/(C453-D453))/(1+C453)^5-'Data Schema'!$C$31+'Data Schema'!$C$21)/'Data Schema'!$B$17,0),"INVALID")</f>
        <v>87.427916831342941</v>
      </c>
      <c r="H453" s="189" t="b">
        <f t="shared" ca="1" si="50"/>
        <v>1</v>
      </c>
      <c r="I453" s="188">
        <f t="shared" ca="1" si="51"/>
        <v>87.427916831342941</v>
      </c>
      <c r="J453" s="349">
        <f t="shared" ca="1" si="44"/>
        <v>87.427916831342941</v>
      </c>
    </row>
    <row r="454" spans="1:10">
      <c r="A454" s="191">
        <v>275</v>
      </c>
      <c r="B454" s="190">
        <f t="shared" ca="1" si="45"/>
        <v>9.7597853146536864E-2</v>
      </c>
      <c r="C454" s="190">
        <f t="shared" ca="1" si="46"/>
        <v>5.9960047264543882E-2</v>
      </c>
      <c r="D454" s="190">
        <f t="shared" ca="1" si="47"/>
        <v>2.019598674504235E-2</v>
      </c>
      <c r="E454" s="190">
        <f t="shared" ca="1" si="48"/>
        <v>8.9714261570583813E-3</v>
      </c>
      <c r="F454" s="189" t="b">
        <f t="shared" ca="1" si="49"/>
        <v>1</v>
      </c>
      <c r="G454" s="188">
        <f ca="1">IF(F454,IFERROR(((('Data Schema'!$C$3*(1+B454)^1)*((1-$I$4-$I$5+E454)*(1-$I$10)+$I$6-$I$11)-('Data Schema'!$C$3*(1+B454)^1-'Data Schema'!$C$3)*$I$12)/(1+C454)^1+(('Data Schema'!$C$3*(1+B454)^2)*((1-$I$4-$I$5+E454)*(1-$I$10)+$I$6-$I$11)-('Data Schema'!$C$3*(1+B454)^2-'Data Schema'!$C$3*(1+B454)^1)*$I$12)/(1+C454)^2+(('Data Schema'!$C$3*(1+B454)^3)*((1-$I$4-$I$5+E454)*(1-$I$10)+$I$6-$I$11)-('Data Schema'!$C$3*(1+B454)^3-'Data Schema'!$C$3*(1+B454)^2)*$I$12)/(1+C454)^3+(('Data Schema'!$C$3*(1+B454)^4)*((1-$I$4-$I$5+E454)*(1-$I$10)+$I$6-$I$11)-('Data Schema'!$C$3*(1+B454)^4-'Data Schema'!$C$3*(1+B454)^3)*$I$12)/(1+C454)^4+(('Data Schema'!$C$3*(1+B454)^5)*((1-$I$4-$I$5+E454)*(1-$I$10)+$I$6-$I$11)-('Data Schema'!$C$3*(1+B454)^5-'Data Schema'!$C$3*(1+B454)^4)*$I$12)/(1+C454)^5+((('Data Schema'!$C$3*(1+B454)^5)*((1-$I$4-$I$5+E454)*(1-$I$10)+$I$6-$I$11)-('Data Schema'!$C$3*(1+B454)^5-'Data Schema'!$C$3*(1+B454)^4)*$I$12)*(1+D454)/(C454-D454))/(1+C454)^5-'Data Schema'!$C$31+'Data Schema'!$C$21)/'Data Schema'!$B$17,0),"INVALID")</f>
        <v>96.328516404475707</v>
      </c>
      <c r="H454" s="189" t="b">
        <f t="shared" ca="1" si="50"/>
        <v>1</v>
      </c>
      <c r="I454" s="188">
        <f t="shared" ca="1" si="51"/>
        <v>96.328516404475707</v>
      </c>
      <c r="J454" s="349">
        <f t="shared" ca="1" si="44"/>
        <v>96.328516404475707</v>
      </c>
    </row>
    <row r="455" spans="1:10">
      <c r="A455" s="187">
        <v>276</v>
      </c>
      <c r="B455" s="190">
        <f t="shared" ca="1" si="45"/>
        <v>0.10507319713514018</v>
      </c>
      <c r="C455" s="190">
        <f t="shared" ca="1" si="46"/>
        <v>5.9013074660447938E-2</v>
      </c>
      <c r="D455" s="190">
        <f t="shared" ca="1" si="47"/>
        <v>2.5149817290940166E-2</v>
      </c>
      <c r="E455" s="190">
        <f t="shared" ca="1" si="48"/>
        <v>-1.0794275615854103E-2</v>
      </c>
      <c r="F455" s="189" t="b">
        <f t="shared" ca="1" si="49"/>
        <v>1</v>
      </c>
      <c r="G455" s="188">
        <f ca="1">IF(F455,IFERROR(((('Data Schema'!$C$3*(1+B455)^1)*((1-$I$4-$I$5+E455)*(1-$I$10)+$I$6-$I$11)-('Data Schema'!$C$3*(1+B455)^1-'Data Schema'!$C$3)*$I$12)/(1+C455)^1+(('Data Schema'!$C$3*(1+B455)^2)*((1-$I$4-$I$5+E455)*(1-$I$10)+$I$6-$I$11)-('Data Schema'!$C$3*(1+B455)^2-'Data Schema'!$C$3*(1+B455)^1)*$I$12)/(1+C455)^2+(('Data Schema'!$C$3*(1+B455)^3)*((1-$I$4-$I$5+E455)*(1-$I$10)+$I$6-$I$11)-('Data Schema'!$C$3*(1+B455)^3-'Data Schema'!$C$3*(1+B455)^2)*$I$12)/(1+C455)^3+(('Data Schema'!$C$3*(1+B455)^4)*((1-$I$4-$I$5+E455)*(1-$I$10)+$I$6-$I$11)-('Data Schema'!$C$3*(1+B455)^4-'Data Schema'!$C$3*(1+B455)^3)*$I$12)/(1+C455)^4+(('Data Schema'!$C$3*(1+B455)^5)*((1-$I$4-$I$5+E455)*(1-$I$10)+$I$6-$I$11)-('Data Schema'!$C$3*(1+B455)^5-'Data Schema'!$C$3*(1+B455)^4)*$I$12)/(1+C455)^5+((('Data Schema'!$C$3*(1+B455)^5)*((1-$I$4-$I$5+E455)*(1-$I$10)+$I$6-$I$11)-('Data Schema'!$C$3*(1+B455)^5-'Data Schema'!$C$3*(1+B455)^4)*$I$12)*(1+D455)/(C455-D455))/(1+C455)^5-'Data Schema'!$C$31+'Data Schema'!$C$21)/'Data Schema'!$B$17,0),"INVALID")</f>
        <v>59.150006930323599</v>
      </c>
      <c r="H455" s="189" t="b">
        <f t="shared" ca="1" si="50"/>
        <v>1</v>
      </c>
      <c r="I455" s="188">
        <f t="shared" ca="1" si="51"/>
        <v>59.150006930323599</v>
      </c>
      <c r="J455" s="349">
        <f t="shared" ca="1" si="44"/>
        <v>59.150006930323599</v>
      </c>
    </row>
    <row r="456" spans="1:10">
      <c r="A456" s="191">
        <v>277</v>
      </c>
      <c r="B456" s="190">
        <f t="shared" ca="1" si="45"/>
        <v>9.0362646184565729E-2</v>
      </c>
      <c r="C456" s="190">
        <f t="shared" ca="1" si="46"/>
        <v>7.8284828652889188E-2</v>
      </c>
      <c r="D456" s="190">
        <f t="shared" ca="1" si="47"/>
        <v>2.4905303858238338E-2</v>
      </c>
      <c r="E456" s="190">
        <f t="shared" ca="1" si="48"/>
        <v>-6.618840311481064E-3</v>
      </c>
      <c r="F456" s="189" t="b">
        <f t="shared" ca="1" si="49"/>
        <v>1</v>
      </c>
      <c r="G456" s="188">
        <f ca="1">IF(F456,IFERROR(((('Data Schema'!$C$3*(1+B456)^1)*((1-$I$4-$I$5+E456)*(1-$I$10)+$I$6-$I$11)-('Data Schema'!$C$3*(1+B456)^1-'Data Schema'!$C$3)*$I$12)/(1+C456)^1+(('Data Schema'!$C$3*(1+B456)^2)*((1-$I$4-$I$5+E456)*(1-$I$10)+$I$6-$I$11)-('Data Schema'!$C$3*(1+B456)^2-'Data Schema'!$C$3*(1+B456)^1)*$I$12)/(1+C456)^2+(('Data Schema'!$C$3*(1+B456)^3)*((1-$I$4-$I$5+E456)*(1-$I$10)+$I$6-$I$11)-('Data Schema'!$C$3*(1+B456)^3-'Data Schema'!$C$3*(1+B456)^2)*$I$12)/(1+C456)^3+(('Data Schema'!$C$3*(1+B456)^4)*((1-$I$4-$I$5+E456)*(1-$I$10)+$I$6-$I$11)-('Data Schema'!$C$3*(1+B456)^4-'Data Schema'!$C$3*(1+B456)^3)*$I$12)/(1+C456)^4+(('Data Schema'!$C$3*(1+B456)^5)*((1-$I$4-$I$5+E456)*(1-$I$10)+$I$6-$I$11)-('Data Schema'!$C$3*(1+B456)^5-'Data Schema'!$C$3*(1+B456)^4)*$I$12)/(1+C456)^5+((('Data Schema'!$C$3*(1+B456)^5)*((1-$I$4-$I$5+E456)*(1-$I$10)+$I$6-$I$11)-('Data Schema'!$C$3*(1+B456)^5-'Data Schema'!$C$3*(1+B456)^4)*$I$12)*(1+D456)/(C456-D456))/(1+C456)^5-'Data Schema'!$C$31+'Data Schema'!$C$21)/'Data Schema'!$B$17,0),"INVALID")</f>
        <v>39.68333894443645</v>
      </c>
      <c r="H456" s="189" t="b">
        <f t="shared" ca="1" si="50"/>
        <v>1</v>
      </c>
      <c r="I456" s="188">
        <f t="shared" ca="1" si="51"/>
        <v>39.68333894443645</v>
      </c>
      <c r="J456" s="349">
        <f t="shared" ca="1" si="44"/>
        <v>39.68333894443645</v>
      </c>
    </row>
    <row r="457" spans="1:10">
      <c r="A457" s="187">
        <v>278</v>
      </c>
      <c r="B457" s="190">
        <f t="shared" ca="1" si="45"/>
        <v>6.8666032247289385E-2</v>
      </c>
      <c r="C457" s="190">
        <f t="shared" ca="1" si="46"/>
        <v>8.1707646087460728E-2</v>
      </c>
      <c r="D457" s="190">
        <f t="shared" ca="1" si="47"/>
        <v>2.8208081799138286E-2</v>
      </c>
      <c r="E457" s="190">
        <f t="shared" ca="1" si="48"/>
        <v>-1.9144704897937868E-2</v>
      </c>
      <c r="F457" s="189" t="b">
        <f t="shared" ca="1" si="49"/>
        <v>1</v>
      </c>
      <c r="G457" s="188">
        <f ca="1">IF(F457,IFERROR(((('Data Schema'!$C$3*(1+B457)^1)*((1-$I$4-$I$5+E457)*(1-$I$10)+$I$6-$I$11)-('Data Schema'!$C$3*(1+B457)^1-'Data Schema'!$C$3)*$I$12)/(1+C457)^1+(('Data Schema'!$C$3*(1+B457)^2)*((1-$I$4-$I$5+E457)*(1-$I$10)+$I$6-$I$11)-('Data Schema'!$C$3*(1+B457)^2-'Data Schema'!$C$3*(1+B457)^1)*$I$12)/(1+C457)^2+(('Data Schema'!$C$3*(1+B457)^3)*((1-$I$4-$I$5+E457)*(1-$I$10)+$I$6-$I$11)-('Data Schema'!$C$3*(1+B457)^3-'Data Schema'!$C$3*(1+B457)^2)*$I$12)/(1+C457)^3+(('Data Schema'!$C$3*(1+B457)^4)*((1-$I$4-$I$5+E457)*(1-$I$10)+$I$6-$I$11)-('Data Schema'!$C$3*(1+B457)^4-'Data Schema'!$C$3*(1+B457)^3)*$I$12)/(1+C457)^4+(('Data Schema'!$C$3*(1+B457)^5)*((1-$I$4-$I$5+E457)*(1-$I$10)+$I$6-$I$11)-('Data Schema'!$C$3*(1+B457)^5-'Data Schema'!$C$3*(1+B457)^4)*$I$12)/(1+C457)^5+((('Data Schema'!$C$3*(1+B457)^5)*((1-$I$4-$I$5+E457)*(1-$I$10)+$I$6-$I$11)-('Data Schema'!$C$3*(1+B457)^5-'Data Schema'!$C$3*(1+B457)^4)*$I$12)*(1+D457)/(C457-D457))/(1+C457)^5-'Data Schema'!$C$31+'Data Schema'!$C$21)/'Data Schema'!$B$17,0),"INVALID")</f>
        <v>16.612355632841695</v>
      </c>
      <c r="H457" s="189" t="b">
        <f t="shared" ca="1" si="50"/>
        <v>1</v>
      </c>
      <c r="I457" s="188">
        <f t="shared" ca="1" si="51"/>
        <v>16.612355632841695</v>
      </c>
      <c r="J457" s="349" t="str">
        <f t="shared" ca="1" si="44"/>
        <v/>
      </c>
    </row>
    <row r="458" spans="1:10">
      <c r="A458" s="191">
        <v>279</v>
      </c>
      <c r="B458" s="190">
        <f t="shared" ca="1" si="45"/>
        <v>8.4516970238011246E-2</v>
      </c>
      <c r="C458" s="190">
        <f t="shared" ca="1" si="46"/>
        <v>6.5748357905361404E-2</v>
      </c>
      <c r="D458" s="190">
        <f t="shared" ca="1" si="47"/>
        <v>2.7514200726999172E-2</v>
      </c>
      <c r="E458" s="190">
        <f t="shared" ca="1" si="48"/>
        <v>-2.0326559102200503E-2</v>
      </c>
      <c r="F458" s="189" t="b">
        <f t="shared" ca="1" si="49"/>
        <v>1</v>
      </c>
      <c r="G458" s="188">
        <f ca="1">IF(F458,IFERROR(((('Data Schema'!$C$3*(1+B458)^1)*((1-$I$4-$I$5+E458)*(1-$I$10)+$I$6-$I$11)-('Data Schema'!$C$3*(1+B458)^1-'Data Schema'!$C$3)*$I$12)/(1+C458)^1+(('Data Schema'!$C$3*(1+B458)^2)*((1-$I$4-$I$5+E458)*(1-$I$10)+$I$6-$I$11)-('Data Schema'!$C$3*(1+B458)^2-'Data Schema'!$C$3*(1+B458)^1)*$I$12)/(1+C458)^2+(('Data Schema'!$C$3*(1+B458)^3)*((1-$I$4-$I$5+E458)*(1-$I$10)+$I$6-$I$11)-('Data Schema'!$C$3*(1+B458)^3-'Data Schema'!$C$3*(1+B458)^2)*$I$12)/(1+C458)^3+(('Data Schema'!$C$3*(1+B458)^4)*((1-$I$4-$I$5+E458)*(1-$I$10)+$I$6-$I$11)-('Data Schema'!$C$3*(1+B458)^4-'Data Schema'!$C$3*(1+B458)^3)*$I$12)/(1+C458)^4+(('Data Schema'!$C$3*(1+B458)^5)*((1-$I$4-$I$5+E458)*(1-$I$10)+$I$6-$I$11)-('Data Schema'!$C$3*(1+B458)^5-'Data Schema'!$C$3*(1+B458)^4)*$I$12)/(1+C458)^5+((('Data Schema'!$C$3*(1+B458)^5)*((1-$I$4-$I$5+E458)*(1-$I$10)+$I$6-$I$11)-('Data Schema'!$C$3*(1+B458)^5-'Data Schema'!$C$3*(1+B458)^4)*$I$12)*(1+D458)/(C458-D458))/(1+C458)^5-'Data Schema'!$C$31+'Data Schema'!$C$21)/'Data Schema'!$B$17,0),"INVALID")</f>
        <v>25.102554149264261</v>
      </c>
      <c r="H458" s="189" t="b">
        <f t="shared" ca="1" si="50"/>
        <v>1</v>
      </c>
      <c r="I458" s="188">
        <f t="shared" ca="1" si="51"/>
        <v>25.102554149264261</v>
      </c>
      <c r="J458" s="349">
        <f t="shared" ca="1" si="44"/>
        <v>25.102554149264261</v>
      </c>
    </row>
    <row r="459" spans="1:10">
      <c r="A459" s="187">
        <v>280</v>
      </c>
      <c r="B459" s="190">
        <f t="shared" ca="1" si="45"/>
        <v>8.6499156487192239E-2</v>
      </c>
      <c r="C459" s="190">
        <f t="shared" ca="1" si="46"/>
        <v>6.1782220462481698E-2</v>
      </c>
      <c r="D459" s="190">
        <f t="shared" ca="1" si="47"/>
        <v>2.9946330372590042E-2</v>
      </c>
      <c r="E459" s="190">
        <f t="shared" ca="1" si="48"/>
        <v>-1.1118458553451482E-2</v>
      </c>
      <c r="F459" s="189" t="b">
        <f t="shared" ca="1" si="49"/>
        <v>1</v>
      </c>
      <c r="G459" s="188">
        <f ca="1">IF(F459,IFERROR(((('Data Schema'!$C$3*(1+B459)^1)*((1-$I$4-$I$5+E459)*(1-$I$10)+$I$6-$I$11)-('Data Schema'!$C$3*(1+B459)^1-'Data Schema'!$C$3)*$I$12)/(1+C459)^1+(('Data Schema'!$C$3*(1+B459)^2)*((1-$I$4-$I$5+E459)*(1-$I$10)+$I$6-$I$11)-('Data Schema'!$C$3*(1+B459)^2-'Data Schema'!$C$3*(1+B459)^1)*$I$12)/(1+C459)^2+(('Data Schema'!$C$3*(1+B459)^3)*((1-$I$4-$I$5+E459)*(1-$I$10)+$I$6-$I$11)-('Data Schema'!$C$3*(1+B459)^3-'Data Schema'!$C$3*(1+B459)^2)*$I$12)/(1+C459)^3+(('Data Schema'!$C$3*(1+B459)^4)*((1-$I$4-$I$5+E459)*(1-$I$10)+$I$6-$I$11)-('Data Schema'!$C$3*(1+B459)^4-'Data Schema'!$C$3*(1+B459)^3)*$I$12)/(1+C459)^4+(('Data Schema'!$C$3*(1+B459)^5)*((1-$I$4-$I$5+E459)*(1-$I$10)+$I$6-$I$11)-('Data Schema'!$C$3*(1+B459)^5-'Data Schema'!$C$3*(1+B459)^4)*$I$12)/(1+C459)^5+((('Data Schema'!$C$3*(1+B459)^5)*((1-$I$4-$I$5+E459)*(1-$I$10)+$I$6-$I$11)-('Data Schema'!$C$3*(1+B459)^5-'Data Schema'!$C$3*(1+B459)^4)*$I$12)*(1+D459)/(C459-D459))/(1+C459)^5-'Data Schema'!$C$31+'Data Schema'!$C$21)/'Data Schema'!$B$17,0),"INVALID")</f>
        <v>57.11106996483003</v>
      </c>
      <c r="H459" s="189" t="b">
        <f t="shared" ca="1" si="50"/>
        <v>1</v>
      </c>
      <c r="I459" s="188">
        <f t="shared" ca="1" si="51"/>
        <v>57.11106996483003</v>
      </c>
      <c r="J459" s="349">
        <f t="shared" ca="1" si="44"/>
        <v>57.11106996483003</v>
      </c>
    </row>
    <row r="460" spans="1:10">
      <c r="A460" s="191">
        <v>281</v>
      </c>
      <c r="B460" s="190">
        <f t="shared" ca="1" si="45"/>
        <v>9.4513209184921829E-2</v>
      </c>
      <c r="C460" s="190">
        <f t="shared" ca="1" si="46"/>
        <v>5.9349736170031794E-2</v>
      </c>
      <c r="D460" s="190">
        <f t="shared" ca="1" si="47"/>
        <v>3.0646121549408271E-2</v>
      </c>
      <c r="E460" s="190">
        <f t="shared" ca="1" si="48"/>
        <v>5.9439475775791839E-3</v>
      </c>
      <c r="F460" s="189" t="b">
        <f t="shared" ca="1" si="49"/>
        <v>1</v>
      </c>
      <c r="G460" s="188">
        <f ca="1">IF(F460,IFERROR(((('Data Schema'!$C$3*(1+B460)^1)*((1-$I$4-$I$5+E460)*(1-$I$10)+$I$6-$I$11)-('Data Schema'!$C$3*(1+B460)^1-'Data Schema'!$C$3)*$I$12)/(1+C460)^1+(('Data Schema'!$C$3*(1+B460)^2)*((1-$I$4-$I$5+E460)*(1-$I$10)+$I$6-$I$11)-('Data Schema'!$C$3*(1+B460)^2-'Data Schema'!$C$3*(1+B460)^1)*$I$12)/(1+C460)^2+(('Data Schema'!$C$3*(1+B460)^3)*((1-$I$4-$I$5+E460)*(1-$I$10)+$I$6-$I$11)-('Data Schema'!$C$3*(1+B460)^3-'Data Schema'!$C$3*(1+B460)^2)*$I$12)/(1+C460)^3+(('Data Schema'!$C$3*(1+B460)^4)*((1-$I$4-$I$5+E460)*(1-$I$10)+$I$6-$I$11)-('Data Schema'!$C$3*(1+B460)^4-'Data Schema'!$C$3*(1+B460)^3)*$I$12)/(1+C460)^4+(('Data Schema'!$C$3*(1+B460)^5)*((1-$I$4-$I$5+E460)*(1-$I$10)+$I$6-$I$11)-('Data Schema'!$C$3*(1+B460)^5-'Data Schema'!$C$3*(1+B460)^4)*$I$12)/(1+C460)^5+((('Data Schema'!$C$3*(1+B460)^5)*((1-$I$4-$I$5+E460)*(1-$I$10)+$I$6-$I$11)-('Data Schema'!$C$3*(1+B460)^5-'Data Schema'!$C$3*(1+B460)^4)*$I$12)*(1+D460)/(C460-D460))/(1+C460)^5-'Data Schema'!$C$31+'Data Schema'!$C$21)/'Data Schema'!$B$17,0),"INVALID")</f>
        <v>120.36351261633335</v>
      </c>
      <c r="H460" s="189" t="b">
        <f t="shared" ca="1" si="50"/>
        <v>1</v>
      </c>
      <c r="I460" s="188">
        <f t="shared" ca="1" si="51"/>
        <v>120.36351261633335</v>
      </c>
      <c r="J460" s="349">
        <f t="shared" ca="1" si="44"/>
        <v>120.36351261633335</v>
      </c>
    </row>
    <row r="461" spans="1:10">
      <c r="A461" s="187">
        <v>282</v>
      </c>
      <c r="B461" s="190">
        <f t="shared" ca="1" si="45"/>
        <v>9.5141700602219728E-2</v>
      </c>
      <c r="C461" s="190">
        <f t="shared" ca="1" si="46"/>
        <v>7.3018826052570471E-2</v>
      </c>
      <c r="D461" s="190">
        <f t="shared" ca="1" si="47"/>
        <v>2.3279679133381092E-2</v>
      </c>
      <c r="E461" s="190">
        <f t="shared" ca="1" si="48"/>
        <v>-9.772320947935534E-4</v>
      </c>
      <c r="F461" s="189" t="b">
        <f t="shared" ca="1" si="49"/>
        <v>1</v>
      </c>
      <c r="G461" s="188">
        <f ca="1">IF(F461,IFERROR(((('Data Schema'!$C$3*(1+B461)^1)*((1-$I$4-$I$5+E461)*(1-$I$10)+$I$6-$I$11)-('Data Schema'!$C$3*(1+B461)^1-'Data Schema'!$C$3)*$I$12)/(1+C461)^1+(('Data Schema'!$C$3*(1+B461)^2)*((1-$I$4-$I$5+E461)*(1-$I$10)+$I$6-$I$11)-('Data Schema'!$C$3*(1+B461)^2-'Data Schema'!$C$3*(1+B461)^1)*$I$12)/(1+C461)^2+(('Data Schema'!$C$3*(1+B461)^3)*((1-$I$4-$I$5+E461)*(1-$I$10)+$I$6-$I$11)-('Data Schema'!$C$3*(1+B461)^3-'Data Schema'!$C$3*(1+B461)^2)*$I$12)/(1+C461)^3+(('Data Schema'!$C$3*(1+B461)^4)*((1-$I$4-$I$5+E461)*(1-$I$10)+$I$6-$I$11)-('Data Schema'!$C$3*(1+B461)^4-'Data Schema'!$C$3*(1+B461)^3)*$I$12)/(1+C461)^4+(('Data Schema'!$C$3*(1+B461)^5)*((1-$I$4-$I$5+E461)*(1-$I$10)+$I$6-$I$11)-('Data Schema'!$C$3*(1+B461)^5-'Data Schema'!$C$3*(1+B461)^4)*$I$12)/(1+C461)^5+((('Data Schema'!$C$3*(1+B461)^5)*((1-$I$4-$I$5+E461)*(1-$I$10)+$I$6-$I$11)-('Data Schema'!$C$3*(1+B461)^5-'Data Schema'!$C$3*(1+B461)^4)*$I$12)*(1+D461)/(C461-D461))/(1+C461)^5-'Data Schema'!$C$31+'Data Schema'!$C$21)/'Data Schema'!$B$17,0),"INVALID")</f>
        <v>54.877471456435487</v>
      </c>
      <c r="H461" s="189" t="b">
        <f t="shared" ca="1" si="50"/>
        <v>1</v>
      </c>
      <c r="I461" s="188">
        <f t="shared" ca="1" si="51"/>
        <v>54.877471456435487</v>
      </c>
      <c r="J461" s="349">
        <f t="shared" ca="1" si="44"/>
        <v>54.877471456435487</v>
      </c>
    </row>
    <row r="462" spans="1:10">
      <c r="A462" s="191">
        <v>283</v>
      </c>
      <c r="B462" s="190">
        <f t="shared" ca="1" si="45"/>
        <v>0.1173311097268489</v>
      </c>
      <c r="C462" s="190">
        <f t="shared" ca="1" si="46"/>
        <v>5.6279981568882899E-2</v>
      </c>
      <c r="D462" s="190">
        <f t="shared" ca="1" si="47"/>
        <v>2.4302788691335387E-2</v>
      </c>
      <c r="E462" s="190">
        <f t="shared" ca="1" si="48"/>
        <v>-1.9144473310485313E-2</v>
      </c>
      <c r="F462" s="189" t="b">
        <f t="shared" ca="1" si="49"/>
        <v>1</v>
      </c>
      <c r="G462" s="188">
        <f ca="1">IF(F462,IFERROR(((('Data Schema'!$C$3*(1+B462)^1)*((1-$I$4-$I$5+E462)*(1-$I$10)+$I$6-$I$11)-('Data Schema'!$C$3*(1+B462)^1-'Data Schema'!$C$3)*$I$12)/(1+C462)^1+(('Data Schema'!$C$3*(1+B462)^2)*((1-$I$4-$I$5+E462)*(1-$I$10)+$I$6-$I$11)-('Data Schema'!$C$3*(1+B462)^2-'Data Schema'!$C$3*(1+B462)^1)*$I$12)/(1+C462)^2+(('Data Schema'!$C$3*(1+B462)^3)*((1-$I$4-$I$5+E462)*(1-$I$10)+$I$6-$I$11)-('Data Schema'!$C$3*(1+B462)^3-'Data Schema'!$C$3*(1+B462)^2)*$I$12)/(1+C462)^3+(('Data Schema'!$C$3*(1+B462)^4)*((1-$I$4-$I$5+E462)*(1-$I$10)+$I$6-$I$11)-('Data Schema'!$C$3*(1+B462)^4-'Data Schema'!$C$3*(1+B462)^3)*$I$12)/(1+C462)^4+(('Data Schema'!$C$3*(1+B462)^5)*((1-$I$4-$I$5+E462)*(1-$I$10)+$I$6-$I$11)-('Data Schema'!$C$3*(1+B462)^5-'Data Schema'!$C$3*(1+B462)^4)*$I$12)/(1+C462)^5+((('Data Schema'!$C$3*(1+B462)^5)*((1-$I$4-$I$5+E462)*(1-$I$10)+$I$6-$I$11)-('Data Schema'!$C$3*(1+B462)^5-'Data Schema'!$C$3*(1+B462)^4)*$I$12)*(1+D462)/(C462-D462))/(1+C462)^5-'Data Schema'!$C$31+'Data Schema'!$C$21)/'Data Schema'!$B$17,0),"INVALID")</f>
        <v>39.368242358618275</v>
      </c>
      <c r="H462" s="189" t="b">
        <f t="shared" ca="1" si="50"/>
        <v>1</v>
      </c>
      <c r="I462" s="188">
        <f t="shared" ca="1" si="51"/>
        <v>39.368242358618275</v>
      </c>
      <c r="J462" s="349">
        <f t="shared" ca="1" si="44"/>
        <v>39.368242358618275</v>
      </c>
    </row>
    <row r="463" spans="1:10">
      <c r="A463" s="187">
        <v>284</v>
      </c>
      <c r="B463" s="190">
        <f t="shared" ca="1" si="45"/>
        <v>9.6874579384257559E-2</v>
      </c>
      <c r="C463" s="190">
        <f t="shared" ca="1" si="46"/>
        <v>7.562019463848732E-2</v>
      </c>
      <c r="D463" s="190">
        <f t="shared" ca="1" si="47"/>
        <v>2.40618403408893E-2</v>
      </c>
      <c r="E463" s="190">
        <f t="shared" ca="1" si="48"/>
        <v>-1.9991158834637736E-2</v>
      </c>
      <c r="F463" s="189" t="b">
        <f t="shared" ca="1" si="49"/>
        <v>1</v>
      </c>
      <c r="G463" s="188">
        <f ca="1">IF(F463,IFERROR(((('Data Schema'!$C$3*(1+B463)^1)*((1-$I$4-$I$5+E463)*(1-$I$10)+$I$6-$I$11)-('Data Schema'!$C$3*(1+B463)^1-'Data Schema'!$C$3)*$I$12)/(1+C463)^1+(('Data Schema'!$C$3*(1+B463)^2)*((1-$I$4-$I$5+E463)*(1-$I$10)+$I$6-$I$11)-('Data Schema'!$C$3*(1+B463)^2-'Data Schema'!$C$3*(1+B463)^1)*$I$12)/(1+C463)^2+(('Data Schema'!$C$3*(1+B463)^3)*((1-$I$4-$I$5+E463)*(1-$I$10)+$I$6-$I$11)-('Data Schema'!$C$3*(1+B463)^3-'Data Schema'!$C$3*(1+B463)^2)*$I$12)/(1+C463)^3+(('Data Schema'!$C$3*(1+B463)^4)*((1-$I$4-$I$5+E463)*(1-$I$10)+$I$6-$I$11)-('Data Schema'!$C$3*(1+B463)^4-'Data Schema'!$C$3*(1+B463)^3)*$I$12)/(1+C463)^4+(('Data Schema'!$C$3*(1+B463)^5)*((1-$I$4-$I$5+E463)*(1-$I$10)+$I$6-$I$11)-('Data Schema'!$C$3*(1+B463)^5-'Data Schema'!$C$3*(1+B463)^4)*$I$12)/(1+C463)^5+((('Data Schema'!$C$3*(1+B463)^5)*((1-$I$4-$I$5+E463)*(1-$I$10)+$I$6-$I$11)-('Data Schema'!$C$3*(1+B463)^5-'Data Schema'!$C$3*(1+B463)^4)*$I$12)*(1+D463)/(C463-D463))/(1+C463)^5-'Data Schema'!$C$31+'Data Schema'!$C$21)/'Data Schema'!$B$17,0),"INVALID")</f>
        <v>18.347333926003554</v>
      </c>
      <c r="H463" s="189" t="b">
        <f t="shared" ca="1" si="50"/>
        <v>1</v>
      </c>
      <c r="I463" s="188">
        <f t="shared" ca="1" si="51"/>
        <v>18.347333926003554</v>
      </c>
      <c r="J463" s="349" t="str">
        <f t="shared" ca="1" si="44"/>
        <v/>
      </c>
    </row>
    <row r="464" spans="1:10">
      <c r="A464" s="191">
        <v>285</v>
      </c>
      <c r="B464" s="190">
        <f t="shared" ca="1" si="45"/>
        <v>0.1166760238235299</v>
      </c>
      <c r="C464" s="190">
        <f t="shared" ca="1" si="46"/>
        <v>5.281071215978618E-2</v>
      </c>
      <c r="D464" s="190">
        <f t="shared" ca="1" si="47"/>
        <v>3.0820228842839768E-2</v>
      </c>
      <c r="E464" s="190">
        <f t="shared" ca="1" si="48"/>
        <v>5.5377698258489627E-3</v>
      </c>
      <c r="F464" s="189" t="b">
        <f t="shared" ca="1" si="49"/>
        <v>1</v>
      </c>
      <c r="G464" s="188">
        <f ca="1">IF(F464,IFERROR(((('Data Schema'!$C$3*(1+B464)^1)*((1-$I$4-$I$5+E464)*(1-$I$10)+$I$6-$I$11)-('Data Schema'!$C$3*(1+B464)^1-'Data Schema'!$C$3)*$I$12)/(1+C464)^1+(('Data Schema'!$C$3*(1+B464)^2)*((1-$I$4-$I$5+E464)*(1-$I$10)+$I$6-$I$11)-('Data Schema'!$C$3*(1+B464)^2-'Data Schema'!$C$3*(1+B464)^1)*$I$12)/(1+C464)^2+(('Data Schema'!$C$3*(1+B464)^3)*((1-$I$4-$I$5+E464)*(1-$I$10)+$I$6-$I$11)-('Data Schema'!$C$3*(1+B464)^3-'Data Schema'!$C$3*(1+B464)^2)*$I$12)/(1+C464)^3+(('Data Schema'!$C$3*(1+B464)^4)*((1-$I$4-$I$5+E464)*(1-$I$10)+$I$6-$I$11)-('Data Schema'!$C$3*(1+B464)^4-'Data Schema'!$C$3*(1+B464)^3)*$I$12)/(1+C464)^4+(('Data Schema'!$C$3*(1+B464)^5)*((1-$I$4-$I$5+E464)*(1-$I$10)+$I$6-$I$11)-('Data Schema'!$C$3*(1+B464)^5-'Data Schema'!$C$3*(1+B464)^4)*$I$12)/(1+C464)^5+((('Data Schema'!$C$3*(1+B464)^5)*((1-$I$4-$I$5+E464)*(1-$I$10)+$I$6-$I$11)-('Data Schema'!$C$3*(1+B464)^5-'Data Schema'!$C$3*(1+B464)^4)*$I$12)*(1+D464)/(C464-D464))/(1+C464)^5-'Data Schema'!$C$31+'Data Schema'!$C$21)/'Data Schema'!$B$17,0),"INVALID")</f>
        <v>172.5619506693775</v>
      </c>
      <c r="H464" s="189" t="b">
        <f t="shared" ca="1" si="50"/>
        <v>1</v>
      </c>
      <c r="I464" s="188">
        <f t="shared" ca="1" si="51"/>
        <v>172.5619506693775</v>
      </c>
      <c r="J464" s="349">
        <f t="shared" ca="1" si="44"/>
        <v>172.5619506693775</v>
      </c>
    </row>
    <row r="465" spans="1:10">
      <c r="A465" s="187">
        <v>286</v>
      </c>
      <c r="B465" s="190">
        <f t="shared" ca="1" si="45"/>
        <v>0.1002829210377853</v>
      </c>
      <c r="C465" s="190">
        <f t="shared" ca="1" si="46"/>
        <v>5.3682966634485109E-2</v>
      </c>
      <c r="D465" s="190">
        <f t="shared" ca="1" si="47"/>
        <v>2.0933404382067512E-2</v>
      </c>
      <c r="E465" s="190">
        <f t="shared" ca="1" si="48"/>
        <v>-1.1865483572833522E-2</v>
      </c>
      <c r="F465" s="189" t="b">
        <f t="shared" ca="1" si="49"/>
        <v>1</v>
      </c>
      <c r="G465" s="188">
        <f ca="1">IF(F465,IFERROR(((('Data Schema'!$C$3*(1+B465)^1)*((1-$I$4-$I$5+E465)*(1-$I$10)+$I$6-$I$11)-('Data Schema'!$C$3*(1+B465)^1-'Data Schema'!$C$3)*$I$12)/(1+C465)^1+(('Data Schema'!$C$3*(1+B465)^2)*((1-$I$4-$I$5+E465)*(1-$I$10)+$I$6-$I$11)-('Data Schema'!$C$3*(1+B465)^2-'Data Schema'!$C$3*(1+B465)^1)*$I$12)/(1+C465)^2+(('Data Schema'!$C$3*(1+B465)^3)*((1-$I$4-$I$5+E465)*(1-$I$10)+$I$6-$I$11)-('Data Schema'!$C$3*(1+B465)^3-'Data Schema'!$C$3*(1+B465)^2)*$I$12)/(1+C465)^3+(('Data Schema'!$C$3*(1+B465)^4)*((1-$I$4-$I$5+E465)*(1-$I$10)+$I$6-$I$11)-('Data Schema'!$C$3*(1+B465)^4-'Data Schema'!$C$3*(1+B465)^3)*$I$12)/(1+C465)^4+(('Data Schema'!$C$3*(1+B465)^5)*((1-$I$4-$I$5+E465)*(1-$I$10)+$I$6-$I$11)-('Data Schema'!$C$3*(1+B465)^5-'Data Schema'!$C$3*(1+B465)^4)*$I$12)/(1+C465)^5+((('Data Schema'!$C$3*(1+B465)^5)*((1-$I$4-$I$5+E465)*(1-$I$10)+$I$6-$I$11)-('Data Schema'!$C$3*(1+B465)^5-'Data Schema'!$C$3*(1+B465)^4)*$I$12)*(1+D465)/(C465-D465))/(1+C465)^5-'Data Schema'!$C$31+'Data Schema'!$C$21)/'Data Schema'!$B$17,0),"INVALID")</f>
        <v>58.225325008303479</v>
      </c>
      <c r="H465" s="189" t="b">
        <f t="shared" ca="1" si="50"/>
        <v>1</v>
      </c>
      <c r="I465" s="188">
        <f t="shared" ca="1" si="51"/>
        <v>58.225325008303479</v>
      </c>
      <c r="J465" s="349">
        <f t="shared" ca="1" si="44"/>
        <v>58.225325008303479</v>
      </c>
    </row>
    <row r="466" spans="1:10">
      <c r="A466" s="191">
        <v>287</v>
      </c>
      <c r="B466" s="190">
        <f t="shared" ca="1" si="45"/>
        <v>0.12015409115177587</v>
      </c>
      <c r="C466" s="190">
        <f t="shared" ca="1" si="46"/>
        <v>5.4909752621972389E-2</v>
      </c>
      <c r="D466" s="190">
        <f t="shared" ca="1" si="47"/>
        <v>2.8160857485808474E-2</v>
      </c>
      <c r="E466" s="190">
        <f t="shared" ca="1" si="48"/>
        <v>1.8620206891524795E-2</v>
      </c>
      <c r="F466" s="189" t="b">
        <f t="shared" ca="1" si="49"/>
        <v>1</v>
      </c>
      <c r="G466" s="188">
        <f ca="1">IF(F466,IFERROR(((('Data Schema'!$C$3*(1+B466)^1)*((1-$I$4-$I$5+E466)*(1-$I$10)+$I$6-$I$11)-('Data Schema'!$C$3*(1+B466)^1-'Data Schema'!$C$3)*$I$12)/(1+C466)^1+(('Data Schema'!$C$3*(1+B466)^2)*((1-$I$4-$I$5+E466)*(1-$I$10)+$I$6-$I$11)-('Data Schema'!$C$3*(1+B466)^2-'Data Schema'!$C$3*(1+B466)^1)*$I$12)/(1+C466)^2+(('Data Schema'!$C$3*(1+B466)^3)*((1-$I$4-$I$5+E466)*(1-$I$10)+$I$6-$I$11)-('Data Schema'!$C$3*(1+B466)^3-'Data Schema'!$C$3*(1+B466)^2)*$I$12)/(1+C466)^3+(('Data Schema'!$C$3*(1+B466)^4)*((1-$I$4-$I$5+E466)*(1-$I$10)+$I$6-$I$11)-('Data Schema'!$C$3*(1+B466)^4-'Data Schema'!$C$3*(1+B466)^3)*$I$12)/(1+C466)^4+(('Data Schema'!$C$3*(1+B466)^5)*((1-$I$4-$I$5+E466)*(1-$I$10)+$I$6-$I$11)-('Data Schema'!$C$3*(1+B466)^5-'Data Schema'!$C$3*(1+B466)^4)*$I$12)/(1+C466)^5+((('Data Schema'!$C$3*(1+B466)^5)*((1-$I$4-$I$5+E466)*(1-$I$10)+$I$6-$I$11)-('Data Schema'!$C$3*(1+B466)^5-'Data Schema'!$C$3*(1+B466)^4)*$I$12)*(1+D466)/(C466-D466))/(1+C466)^5-'Data Schema'!$C$31+'Data Schema'!$C$21)/'Data Schema'!$B$17,0),"INVALID")</f>
        <v>194.06582713540661</v>
      </c>
      <c r="H466" s="189" t="b">
        <f t="shared" ca="1" si="50"/>
        <v>1</v>
      </c>
      <c r="I466" s="188">
        <f t="shared" ca="1" si="51"/>
        <v>194.06582713540661</v>
      </c>
      <c r="J466" s="349">
        <f t="shared" ca="1" si="44"/>
        <v>194.06582713540661</v>
      </c>
    </row>
    <row r="467" spans="1:10">
      <c r="A467" s="187">
        <v>288</v>
      </c>
      <c r="B467" s="190">
        <f t="shared" ca="1" si="45"/>
        <v>8.0667075726982992E-2</v>
      </c>
      <c r="C467" s="190">
        <f t="shared" ca="1" si="46"/>
        <v>7.5507772638343934E-2</v>
      </c>
      <c r="D467" s="190">
        <f t="shared" ca="1" si="47"/>
        <v>1.6836219071438209E-2</v>
      </c>
      <c r="E467" s="190">
        <f t="shared" ca="1" si="48"/>
        <v>-1.2451784802760003E-2</v>
      </c>
      <c r="F467" s="189" t="b">
        <f t="shared" ca="1" si="49"/>
        <v>1</v>
      </c>
      <c r="G467" s="188">
        <f ca="1">IF(F467,IFERROR(((('Data Schema'!$C$3*(1+B467)^1)*((1-$I$4-$I$5+E467)*(1-$I$10)+$I$6-$I$11)-('Data Schema'!$C$3*(1+B467)^1-'Data Schema'!$C$3)*$I$12)/(1+C467)^1+(('Data Schema'!$C$3*(1+B467)^2)*((1-$I$4-$I$5+E467)*(1-$I$10)+$I$6-$I$11)-('Data Schema'!$C$3*(1+B467)^2-'Data Schema'!$C$3*(1+B467)^1)*$I$12)/(1+C467)^2+(('Data Schema'!$C$3*(1+B467)^3)*((1-$I$4-$I$5+E467)*(1-$I$10)+$I$6-$I$11)-('Data Schema'!$C$3*(1+B467)^3-'Data Schema'!$C$3*(1+B467)^2)*$I$12)/(1+C467)^3+(('Data Schema'!$C$3*(1+B467)^4)*((1-$I$4-$I$5+E467)*(1-$I$10)+$I$6-$I$11)-('Data Schema'!$C$3*(1+B467)^4-'Data Schema'!$C$3*(1+B467)^3)*$I$12)/(1+C467)^4+(('Data Schema'!$C$3*(1+B467)^5)*((1-$I$4-$I$5+E467)*(1-$I$10)+$I$6-$I$11)-('Data Schema'!$C$3*(1+B467)^5-'Data Schema'!$C$3*(1+B467)^4)*$I$12)/(1+C467)^5+((('Data Schema'!$C$3*(1+B467)^5)*((1-$I$4-$I$5+E467)*(1-$I$10)+$I$6-$I$11)-('Data Schema'!$C$3*(1+B467)^5-'Data Schema'!$C$3*(1+B467)^4)*$I$12)*(1+D467)/(C467-D467))/(1+C467)^5-'Data Schema'!$C$31+'Data Schema'!$C$21)/'Data Schema'!$B$17,0),"INVALID")</f>
        <v>26.285865611674112</v>
      </c>
      <c r="H467" s="189" t="b">
        <f t="shared" ca="1" si="50"/>
        <v>1</v>
      </c>
      <c r="I467" s="188">
        <f t="shared" ca="1" si="51"/>
        <v>26.285865611674112</v>
      </c>
      <c r="J467" s="349">
        <f t="shared" ca="1" si="44"/>
        <v>26.285865611674112</v>
      </c>
    </row>
    <row r="468" spans="1:10">
      <c r="A468" s="191">
        <v>289</v>
      </c>
      <c r="B468" s="190">
        <f t="shared" ca="1" si="45"/>
        <v>0.12358089978902589</v>
      </c>
      <c r="C468" s="190">
        <f t="shared" ca="1" si="46"/>
        <v>6.3189415154596071E-2</v>
      </c>
      <c r="D468" s="190">
        <f t="shared" ca="1" si="47"/>
        <v>2.6644019595519982E-2</v>
      </c>
      <c r="E468" s="190">
        <f t="shared" ca="1" si="48"/>
        <v>1.7140775175353812E-2</v>
      </c>
      <c r="F468" s="189" t="b">
        <f t="shared" ca="1" si="49"/>
        <v>1</v>
      </c>
      <c r="G468" s="188">
        <f ca="1">IF(F468,IFERROR(((('Data Schema'!$C$3*(1+B468)^1)*((1-$I$4-$I$5+E468)*(1-$I$10)+$I$6-$I$11)-('Data Schema'!$C$3*(1+B468)^1-'Data Schema'!$C$3)*$I$12)/(1+C468)^1+(('Data Schema'!$C$3*(1+B468)^2)*((1-$I$4-$I$5+E468)*(1-$I$10)+$I$6-$I$11)-('Data Schema'!$C$3*(1+B468)^2-'Data Schema'!$C$3*(1+B468)^1)*$I$12)/(1+C468)^2+(('Data Schema'!$C$3*(1+B468)^3)*((1-$I$4-$I$5+E468)*(1-$I$10)+$I$6-$I$11)-('Data Schema'!$C$3*(1+B468)^3-'Data Schema'!$C$3*(1+B468)^2)*$I$12)/(1+C468)^3+(('Data Schema'!$C$3*(1+B468)^4)*((1-$I$4-$I$5+E468)*(1-$I$10)+$I$6-$I$11)-('Data Schema'!$C$3*(1+B468)^4-'Data Schema'!$C$3*(1+B468)^3)*$I$12)/(1+C468)^4+(('Data Schema'!$C$3*(1+B468)^5)*((1-$I$4-$I$5+E468)*(1-$I$10)+$I$6-$I$11)-('Data Schema'!$C$3*(1+B468)^5-'Data Schema'!$C$3*(1+B468)^4)*$I$12)/(1+C468)^5+((('Data Schema'!$C$3*(1+B468)^5)*((1-$I$4-$I$5+E468)*(1-$I$10)+$I$6-$I$11)-('Data Schema'!$C$3*(1+B468)^5-'Data Schema'!$C$3*(1+B468)^4)*$I$12)*(1+D468)/(C468-D468))/(1+C468)^5-'Data Schema'!$C$31+'Data Schema'!$C$21)/'Data Schema'!$B$17,0),"INVALID")</f>
        <v>137.70731720677816</v>
      </c>
      <c r="H468" s="189" t="b">
        <f t="shared" ca="1" si="50"/>
        <v>1</v>
      </c>
      <c r="I468" s="188">
        <f t="shared" ca="1" si="51"/>
        <v>137.70731720677816</v>
      </c>
      <c r="J468" s="349">
        <f t="shared" ca="1" si="44"/>
        <v>137.70731720677816</v>
      </c>
    </row>
    <row r="469" spans="1:10">
      <c r="A469" s="187">
        <v>290</v>
      </c>
      <c r="B469" s="190">
        <f t="shared" ca="1" si="45"/>
        <v>7.1651643710828355E-2</v>
      </c>
      <c r="C469" s="190">
        <f t="shared" ca="1" si="46"/>
        <v>6.2723224410302814E-2</v>
      </c>
      <c r="D469" s="190">
        <f t="shared" ca="1" si="47"/>
        <v>2.0200096517365967E-2</v>
      </c>
      <c r="E469" s="190">
        <f t="shared" ca="1" si="48"/>
        <v>1.098676706646275E-2</v>
      </c>
      <c r="F469" s="189" t="b">
        <f t="shared" ca="1" si="49"/>
        <v>1</v>
      </c>
      <c r="G469" s="188">
        <f ca="1">IF(F469,IFERROR(((('Data Schema'!$C$3*(1+B469)^1)*((1-$I$4-$I$5+E469)*(1-$I$10)+$I$6-$I$11)-('Data Schema'!$C$3*(1+B469)^1-'Data Schema'!$C$3)*$I$12)/(1+C469)^1+(('Data Schema'!$C$3*(1+B469)^2)*((1-$I$4-$I$5+E469)*(1-$I$10)+$I$6-$I$11)-('Data Schema'!$C$3*(1+B469)^2-'Data Schema'!$C$3*(1+B469)^1)*$I$12)/(1+C469)^2+(('Data Schema'!$C$3*(1+B469)^3)*((1-$I$4-$I$5+E469)*(1-$I$10)+$I$6-$I$11)-('Data Schema'!$C$3*(1+B469)^3-'Data Schema'!$C$3*(1+B469)^2)*$I$12)/(1+C469)^3+(('Data Schema'!$C$3*(1+B469)^4)*((1-$I$4-$I$5+E469)*(1-$I$10)+$I$6-$I$11)-('Data Schema'!$C$3*(1+B469)^4-'Data Schema'!$C$3*(1+B469)^3)*$I$12)/(1+C469)^4+(('Data Schema'!$C$3*(1+B469)^5)*((1-$I$4-$I$5+E469)*(1-$I$10)+$I$6-$I$11)-('Data Schema'!$C$3*(1+B469)^5-'Data Schema'!$C$3*(1+B469)^4)*$I$12)/(1+C469)^5+((('Data Schema'!$C$3*(1+B469)^5)*((1-$I$4-$I$5+E469)*(1-$I$10)+$I$6-$I$11)-('Data Schema'!$C$3*(1+B469)^5-'Data Schema'!$C$3*(1+B469)^4)*$I$12)*(1+D469)/(C469-D469))/(1+C469)^5-'Data Schema'!$C$31+'Data Schema'!$C$21)/'Data Schema'!$B$17,0),"INVALID")</f>
        <v>84.497113102135486</v>
      </c>
      <c r="H469" s="189" t="b">
        <f t="shared" ca="1" si="50"/>
        <v>1</v>
      </c>
      <c r="I469" s="188">
        <f t="shared" ca="1" si="51"/>
        <v>84.497113102135486</v>
      </c>
      <c r="J469" s="349">
        <f t="shared" ca="1" si="44"/>
        <v>84.497113102135486</v>
      </c>
    </row>
    <row r="470" spans="1:10">
      <c r="A470" s="191">
        <v>291</v>
      </c>
      <c r="B470" s="190">
        <f t="shared" ca="1" si="45"/>
        <v>0.1339557223890962</v>
      </c>
      <c r="C470" s="190">
        <f t="shared" ca="1" si="46"/>
        <v>7.2474647318922891E-2</v>
      </c>
      <c r="D470" s="190">
        <f t="shared" ca="1" si="47"/>
        <v>1.9897512384707584E-2</v>
      </c>
      <c r="E470" s="190">
        <f t="shared" ca="1" si="48"/>
        <v>-1.8261456292312744E-3</v>
      </c>
      <c r="F470" s="189" t="b">
        <f t="shared" ca="1" si="49"/>
        <v>1</v>
      </c>
      <c r="G470" s="188">
        <f ca="1">IF(F470,IFERROR(((('Data Schema'!$C$3*(1+B470)^1)*((1-$I$4-$I$5+E470)*(1-$I$10)+$I$6-$I$11)-('Data Schema'!$C$3*(1+B470)^1-'Data Schema'!$C$3)*$I$12)/(1+C470)^1+(('Data Schema'!$C$3*(1+B470)^2)*((1-$I$4-$I$5+E470)*(1-$I$10)+$I$6-$I$11)-('Data Schema'!$C$3*(1+B470)^2-'Data Schema'!$C$3*(1+B470)^1)*$I$12)/(1+C470)^2+(('Data Schema'!$C$3*(1+B470)^3)*((1-$I$4-$I$5+E470)*(1-$I$10)+$I$6-$I$11)-('Data Schema'!$C$3*(1+B470)^3-'Data Schema'!$C$3*(1+B470)^2)*$I$12)/(1+C470)^3+(('Data Schema'!$C$3*(1+B470)^4)*((1-$I$4-$I$5+E470)*(1-$I$10)+$I$6-$I$11)-('Data Schema'!$C$3*(1+B470)^4-'Data Schema'!$C$3*(1+B470)^3)*$I$12)/(1+C470)^4+(('Data Schema'!$C$3*(1+B470)^5)*((1-$I$4-$I$5+E470)*(1-$I$10)+$I$6-$I$11)-('Data Schema'!$C$3*(1+B470)^5-'Data Schema'!$C$3*(1+B470)^4)*$I$12)/(1+C470)^5+((('Data Schema'!$C$3*(1+B470)^5)*((1-$I$4-$I$5+E470)*(1-$I$10)+$I$6-$I$11)-('Data Schema'!$C$3*(1+B470)^5-'Data Schema'!$C$3*(1+B470)^4)*$I$12)*(1+D470)/(C470-D470))/(1+C470)^5-'Data Schema'!$C$31+'Data Schema'!$C$21)/'Data Schema'!$B$17,0),"INVALID")</f>
        <v>58.961243955206129</v>
      </c>
      <c r="H470" s="189" t="b">
        <f t="shared" ca="1" si="50"/>
        <v>1</v>
      </c>
      <c r="I470" s="188">
        <f t="shared" ca="1" si="51"/>
        <v>58.961243955206129</v>
      </c>
      <c r="J470" s="349">
        <f t="shared" ca="1" si="44"/>
        <v>58.961243955206129</v>
      </c>
    </row>
    <row r="471" spans="1:10">
      <c r="A471" s="187">
        <v>292</v>
      </c>
      <c r="B471" s="190">
        <f t="shared" ca="1" si="45"/>
        <v>0.10436688237604548</v>
      </c>
      <c r="C471" s="190">
        <f t="shared" ca="1" si="46"/>
        <v>5.3001626939914517E-2</v>
      </c>
      <c r="D471" s="190">
        <f t="shared" ca="1" si="47"/>
        <v>2.4447957525251963E-2</v>
      </c>
      <c r="E471" s="190">
        <f t="shared" ca="1" si="48"/>
        <v>1.848042704892439E-2</v>
      </c>
      <c r="F471" s="189" t="b">
        <f t="shared" ca="1" si="49"/>
        <v>1</v>
      </c>
      <c r="G471" s="188">
        <f ca="1">IF(F471,IFERROR(((('Data Schema'!$C$3*(1+B471)^1)*((1-$I$4-$I$5+E471)*(1-$I$10)+$I$6-$I$11)-('Data Schema'!$C$3*(1+B471)^1-'Data Schema'!$C$3)*$I$12)/(1+C471)^1+(('Data Schema'!$C$3*(1+B471)^2)*((1-$I$4-$I$5+E471)*(1-$I$10)+$I$6-$I$11)-('Data Schema'!$C$3*(1+B471)^2-'Data Schema'!$C$3*(1+B471)^1)*$I$12)/(1+C471)^2+(('Data Schema'!$C$3*(1+B471)^3)*((1-$I$4-$I$5+E471)*(1-$I$10)+$I$6-$I$11)-('Data Schema'!$C$3*(1+B471)^3-'Data Schema'!$C$3*(1+B471)^2)*$I$12)/(1+C471)^3+(('Data Schema'!$C$3*(1+B471)^4)*((1-$I$4-$I$5+E471)*(1-$I$10)+$I$6-$I$11)-('Data Schema'!$C$3*(1+B471)^4-'Data Schema'!$C$3*(1+B471)^3)*$I$12)/(1+C471)^4+(('Data Schema'!$C$3*(1+B471)^5)*((1-$I$4-$I$5+E471)*(1-$I$10)+$I$6-$I$11)-('Data Schema'!$C$3*(1+B471)^5-'Data Schema'!$C$3*(1+B471)^4)*$I$12)/(1+C471)^5+((('Data Schema'!$C$3*(1+B471)^5)*((1-$I$4-$I$5+E471)*(1-$I$10)+$I$6-$I$11)-('Data Schema'!$C$3*(1+B471)^5-'Data Schema'!$C$3*(1+B471)^4)*$I$12)*(1+D471)/(C471-D471))/(1+C471)^5-'Data Schema'!$C$31+'Data Schema'!$C$21)/'Data Schema'!$B$17,0),"INVALID")</f>
        <v>171.86281891546903</v>
      </c>
      <c r="H471" s="189" t="b">
        <f t="shared" ca="1" si="50"/>
        <v>1</v>
      </c>
      <c r="I471" s="188">
        <f t="shared" ca="1" si="51"/>
        <v>171.86281891546903</v>
      </c>
      <c r="J471" s="349">
        <f t="shared" ca="1" si="44"/>
        <v>171.86281891546903</v>
      </c>
    </row>
    <row r="472" spans="1:10">
      <c r="A472" s="191">
        <v>293</v>
      </c>
      <c r="B472" s="190">
        <f t="shared" ca="1" si="45"/>
        <v>0.10498235824208937</v>
      </c>
      <c r="C472" s="190">
        <f t="shared" ca="1" si="46"/>
        <v>7.4255554617772015E-2</v>
      </c>
      <c r="D472" s="190">
        <f t="shared" ca="1" si="47"/>
        <v>3.1392924400505465E-2</v>
      </c>
      <c r="E472" s="190">
        <f t="shared" ca="1" si="48"/>
        <v>-1.7300467536625605E-2</v>
      </c>
      <c r="F472" s="189" t="b">
        <f t="shared" ca="1" si="49"/>
        <v>1</v>
      </c>
      <c r="G472" s="188">
        <f ca="1">IF(F472,IFERROR(((('Data Schema'!$C$3*(1+B472)^1)*((1-$I$4-$I$5+E472)*(1-$I$10)+$I$6-$I$11)-('Data Schema'!$C$3*(1+B472)^1-'Data Schema'!$C$3)*$I$12)/(1+C472)^1+(('Data Schema'!$C$3*(1+B472)^2)*((1-$I$4-$I$5+E472)*(1-$I$10)+$I$6-$I$11)-('Data Schema'!$C$3*(1+B472)^2-'Data Schema'!$C$3*(1+B472)^1)*$I$12)/(1+C472)^2+(('Data Schema'!$C$3*(1+B472)^3)*((1-$I$4-$I$5+E472)*(1-$I$10)+$I$6-$I$11)-('Data Schema'!$C$3*(1+B472)^3-'Data Schema'!$C$3*(1+B472)^2)*$I$12)/(1+C472)^3+(('Data Schema'!$C$3*(1+B472)^4)*((1-$I$4-$I$5+E472)*(1-$I$10)+$I$6-$I$11)-('Data Schema'!$C$3*(1+B472)^4-'Data Schema'!$C$3*(1+B472)^3)*$I$12)/(1+C472)^4+(('Data Schema'!$C$3*(1+B472)^5)*((1-$I$4-$I$5+E472)*(1-$I$10)+$I$6-$I$11)-('Data Schema'!$C$3*(1+B472)^5-'Data Schema'!$C$3*(1+B472)^4)*$I$12)/(1+C472)^5+((('Data Schema'!$C$3*(1+B472)^5)*((1-$I$4-$I$5+E472)*(1-$I$10)+$I$6-$I$11)-('Data Schema'!$C$3*(1+B472)^5-'Data Schema'!$C$3*(1+B472)^4)*$I$12)*(1+D472)/(C472-D472))/(1+C472)^5-'Data Schema'!$C$31+'Data Schema'!$C$21)/'Data Schema'!$B$17,0),"INVALID")</f>
        <v>29.444385994090549</v>
      </c>
      <c r="H472" s="189" t="b">
        <f t="shared" ca="1" si="50"/>
        <v>1</v>
      </c>
      <c r="I472" s="188">
        <f t="shared" ca="1" si="51"/>
        <v>29.444385994090549</v>
      </c>
      <c r="J472" s="349">
        <f t="shared" ca="1" si="44"/>
        <v>29.444385994090549</v>
      </c>
    </row>
    <row r="473" spans="1:10">
      <c r="A473" s="187">
        <v>294</v>
      </c>
      <c r="B473" s="190">
        <f t="shared" ca="1" si="45"/>
        <v>0.10605571364190995</v>
      </c>
      <c r="C473" s="190">
        <f t="shared" ca="1" si="46"/>
        <v>6.9316897478909067E-2</v>
      </c>
      <c r="D473" s="190">
        <f t="shared" ca="1" si="47"/>
        <v>2.1592253633681571E-2</v>
      </c>
      <c r="E473" s="190">
        <f t="shared" ca="1" si="48"/>
        <v>1.1943474682953739E-2</v>
      </c>
      <c r="F473" s="189" t="b">
        <f t="shared" ca="1" si="49"/>
        <v>1</v>
      </c>
      <c r="G473" s="188">
        <f ca="1">IF(F473,IFERROR(((('Data Schema'!$C$3*(1+B473)^1)*((1-$I$4-$I$5+E473)*(1-$I$10)+$I$6-$I$11)-('Data Schema'!$C$3*(1+B473)^1-'Data Schema'!$C$3)*$I$12)/(1+C473)^1+(('Data Schema'!$C$3*(1+B473)^2)*((1-$I$4-$I$5+E473)*(1-$I$10)+$I$6-$I$11)-('Data Schema'!$C$3*(1+B473)^2-'Data Schema'!$C$3*(1+B473)^1)*$I$12)/(1+C473)^2+(('Data Schema'!$C$3*(1+B473)^3)*((1-$I$4-$I$5+E473)*(1-$I$10)+$I$6-$I$11)-('Data Schema'!$C$3*(1+B473)^3-'Data Schema'!$C$3*(1+B473)^2)*$I$12)/(1+C473)^3+(('Data Schema'!$C$3*(1+B473)^4)*((1-$I$4-$I$5+E473)*(1-$I$10)+$I$6-$I$11)-('Data Schema'!$C$3*(1+B473)^4-'Data Schema'!$C$3*(1+B473)^3)*$I$12)/(1+C473)^4+(('Data Schema'!$C$3*(1+B473)^5)*((1-$I$4-$I$5+E473)*(1-$I$10)+$I$6-$I$11)-('Data Schema'!$C$3*(1+B473)^5-'Data Schema'!$C$3*(1+B473)^4)*$I$12)/(1+C473)^5+((('Data Schema'!$C$3*(1+B473)^5)*((1-$I$4-$I$5+E473)*(1-$I$10)+$I$6-$I$11)-('Data Schema'!$C$3*(1+B473)^5-'Data Schema'!$C$3*(1+B473)^4)*$I$12)*(1+D473)/(C473-D473))/(1+C473)^5-'Data Schema'!$C$31+'Data Schema'!$C$21)/'Data Schema'!$B$17,0),"INVALID")</f>
        <v>87.121112347990675</v>
      </c>
      <c r="H473" s="189" t="b">
        <f t="shared" ca="1" si="50"/>
        <v>1</v>
      </c>
      <c r="I473" s="188">
        <f t="shared" ca="1" si="51"/>
        <v>87.121112347990675</v>
      </c>
      <c r="J473" s="349">
        <f t="shared" ca="1" si="44"/>
        <v>87.121112347990675</v>
      </c>
    </row>
    <row r="474" spans="1:10">
      <c r="A474" s="191">
        <v>295</v>
      </c>
      <c r="B474" s="190">
        <f t="shared" ca="1" si="45"/>
        <v>8.2588078499337775E-2</v>
      </c>
      <c r="C474" s="190">
        <f t="shared" ca="1" si="46"/>
        <v>5.8361475546674743E-2</v>
      </c>
      <c r="D474" s="190">
        <f t="shared" ca="1" si="47"/>
        <v>2.8243449193651515E-2</v>
      </c>
      <c r="E474" s="190">
        <f t="shared" ca="1" si="48"/>
        <v>-1.7298275451917432E-2</v>
      </c>
      <c r="F474" s="189" t="b">
        <f t="shared" ca="1" si="49"/>
        <v>1</v>
      </c>
      <c r="G474" s="188">
        <f ca="1">IF(F474,IFERROR(((('Data Schema'!$C$3*(1+B474)^1)*((1-$I$4-$I$5+E474)*(1-$I$10)+$I$6-$I$11)-('Data Schema'!$C$3*(1+B474)^1-'Data Schema'!$C$3)*$I$12)/(1+C474)^1+(('Data Schema'!$C$3*(1+B474)^2)*((1-$I$4-$I$5+E474)*(1-$I$10)+$I$6-$I$11)-('Data Schema'!$C$3*(1+B474)^2-'Data Schema'!$C$3*(1+B474)^1)*$I$12)/(1+C474)^2+(('Data Schema'!$C$3*(1+B474)^3)*((1-$I$4-$I$5+E474)*(1-$I$10)+$I$6-$I$11)-('Data Schema'!$C$3*(1+B474)^3-'Data Schema'!$C$3*(1+B474)^2)*$I$12)/(1+C474)^3+(('Data Schema'!$C$3*(1+B474)^4)*((1-$I$4-$I$5+E474)*(1-$I$10)+$I$6-$I$11)-('Data Schema'!$C$3*(1+B474)^4-'Data Schema'!$C$3*(1+B474)^3)*$I$12)/(1+C474)^4+(('Data Schema'!$C$3*(1+B474)^5)*((1-$I$4-$I$5+E474)*(1-$I$10)+$I$6-$I$11)-('Data Schema'!$C$3*(1+B474)^5-'Data Schema'!$C$3*(1+B474)^4)*$I$12)/(1+C474)^5+((('Data Schema'!$C$3*(1+B474)^5)*((1-$I$4-$I$5+E474)*(1-$I$10)+$I$6-$I$11)-('Data Schema'!$C$3*(1+B474)^5-'Data Schema'!$C$3*(1+B474)^4)*$I$12)*(1+D474)/(C474-D474))/(1+C474)^5-'Data Schema'!$C$31+'Data Schema'!$C$21)/'Data Schema'!$B$17,0),"INVALID")</f>
        <v>42.378436714773898</v>
      </c>
      <c r="H474" s="189" t="b">
        <f t="shared" ca="1" si="50"/>
        <v>1</v>
      </c>
      <c r="I474" s="188">
        <f t="shared" ca="1" si="51"/>
        <v>42.378436714773898</v>
      </c>
      <c r="J474" s="349">
        <f t="shared" ca="1" si="44"/>
        <v>42.378436714773898</v>
      </c>
    </row>
    <row r="475" spans="1:10">
      <c r="A475" s="187">
        <v>296</v>
      </c>
      <c r="B475" s="190">
        <f t="shared" ca="1" si="45"/>
        <v>9.323314345390829E-2</v>
      </c>
      <c r="C475" s="190">
        <f t="shared" ca="1" si="46"/>
        <v>5.7169680845509531E-2</v>
      </c>
      <c r="D475" s="190">
        <f t="shared" ca="1" si="47"/>
        <v>3.0401282041715882E-2</v>
      </c>
      <c r="E475" s="190">
        <f t="shared" ca="1" si="48"/>
        <v>-9.1591718112330033E-3</v>
      </c>
      <c r="F475" s="189" t="b">
        <f t="shared" ca="1" si="49"/>
        <v>1</v>
      </c>
      <c r="G475" s="188">
        <f ca="1">IF(F475,IFERROR(((('Data Schema'!$C$3*(1+B475)^1)*((1-$I$4-$I$5+E475)*(1-$I$10)+$I$6-$I$11)-('Data Schema'!$C$3*(1+B475)^1-'Data Schema'!$C$3)*$I$12)/(1+C475)^1+(('Data Schema'!$C$3*(1+B475)^2)*((1-$I$4-$I$5+E475)*(1-$I$10)+$I$6-$I$11)-('Data Schema'!$C$3*(1+B475)^2-'Data Schema'!$C$3*(1+B475)^1)*$I$12)/(1+C475)^2+(('Data Schema'!$C$3*(1+B475)^3)*((1-$I$4-$I$5+E475)*(1-$I$10)+$I$6-$I$11)-('Data Schema'!$C$3*(1+B475)^3-'Data Schema'!$C$3*(1+B475)^2)*$I$12)/(1+C475)^3+(('Data Schema'!$C$3*(1+B475)^4)*((1-$I$4-$I$5+E475)*(1-$I$10)+$I$6-$I$11)-('Data Schema'!$C$3*(1+B475)^4-'Data Schema'!$C$3*(1+B475)^3)*$I$12)/(1+C475)^4+(('Data Schema'!$C$3*(1+B475)^5)*((1-$I$4-$I$5+E475)*(1-$I$10)+$I$6-$I$11)-('Data Schema'!$C$3*(1+B475)^5-'Data Schema'!$C$3*(1+B475)^4)*$I$12)/(1+C475)^5+((('Data Schema'!$C$3*(1+B475)^5)*((1-$I$4-$I$5+E475)*(1-$I$10)+$I$6-$I$11)-('Data Schema'!$C$3*(1+B475)^5-'Data Schema'!$C$3*(1+B475)^4)*$I$12)*(1+D475)/(C475-D475))/(1+C475)^5-'Data Schema'!$C$31+'Data Schema'!$C$21)/'Data Schema'!$B$17,0),"INVALID")</f>
        <v>77.740803535529309</v>
      </c>
      <c r="H475" s="189" t="b">
        <f t="shared" ca="1" si="50"/>
        <v>1</v>
      </c>
      <c r="I475" s="188">
        <f t="shared" ca="1" si="51"/>
        <v>77.740803535529309</v>
      </c>
      <c r="J475" s="349">
        <f t="shared" ca="1" si="44"/>
        <v>77.740803535529309</v>
      </c>
    </row>
    <row r="476" spans="1:10">
      <c r="A476" s="191">
        <v>297</v>
      </c>
      <c r="B476" s="190">
        <f t="shared" ca="1" si="45"/>
        <v>0.10231512998523631</v>
      </c>
      <c r="C476" s="190">
        <f t="shared" ca="1" si="46"/>
        <v>6.4092368899791863E-2</v>
      </c>
      <c r="D476" s="190">
        <f t="shared" ca="1" si="47"/>
        <v>2.1605794199945388E-2</v>
      </c>
      <c r="E476" s="190">
        <f t="shared" ca="1" si="48"/>
        <v>3.7818420418693932E-2</v>
      </c>
      <c r="F476" s="189" t="b">
        <f t="shared" ca="1" si="49"/>
        <v>1</v>
      </c>
      <c r="G476" s="188">
        <f ca="1">IF(F476,IFERROR(((('Data Schema'!$C$3*(1+B476)^1)*((1-$I$4-$I$5+E476)*(1-$I$10)+$I$6-$I$11)-('Data Schema'!$C$3*(1+B476)^1-'Data Schema'!$C$3)*$I$12)/(1+C476)^1+(('Data Schema'!$C$3*(1+B476)^2)*((1-$I$4-$I$5+E476)*(1-$I$10)+$I$6-$I$11)-('Data Schema'!$C$3*(1+B476)^2-'Data Schema'!$C$3*(1+B476)^1)*$I$12)/(1+C476)^2+(('Data Schema'!$C$3*(1+B476)^3)*((1-$I$4-$I$5+E476)*(1-$I$10)+$I$6-$I$11)-('Data Schema'!$C$3*(1+B476)^3-'Data Schema'!$C$3*(1+B476)^2)*$I$12)/(1+C476)^3+(('Data Schema'!$C$3*(1+B476)^4)*((1-$I$4-$I$5+E476)*(1-$I$10)+$I$6-$I$11)-('Data Schema'!$C$3*(1+B476)^4-'Data Schema'!$C$3*(1+B476)^3)*$I$12)/(1+C476)^4+(('Data Schema'!$C$3*(1+B476)^5)*((1-$I$4-$I$5+E476)*(1-$I$10)+$I$6-$I$11)-('Data Schema'!$C$3*(1+B476)^5-'Data Schema'!$C$3*(1+B476)^4)*$I$12)/(1+C476)^5+((('Data Schema'!$C$3*(1+B476)^5)*((1-$I$4-$I$5+E476)*(1-$I$10)+$I$6-$I$11)-('Data Schema'!$C$3*(1+B476)^5-'Data Schema'!$C$3*(1+B476)^4)*$I$12)*(1+D476)/(C476-D476))/(1+C476)^5-'Data Schema'!$C$31+'Data Schema'!$C$21)/'Data Schema'!$B$17,0),"INVALID")</f>
        <v>156.66135153399151</v>
      </c>
      <c r="H476" s="189" t="b">
        <f t="shared" ca="1" si="50"/>
        <v>1</v>
      </c>
      <c r="I476" s="188">
        <f t="shared" ca="1" si="51"/>
        <v>156.66135153399151</v>
      </c>
      <c r="J476" s="349">
        <f t="shared" ca="1" si="44"/>
        <v>156.66135153399151</v>
      </c>
    </row>
    <row r="477" spans="1:10">
      <c r="A477" s="187">
        <v>298</v>
      </c>
      <c r="B477" s="190">
        <f t="shared" ca="1" si="45"/>
        <v>7.3951401962798785E-2</v>
      </c>
      <c r="C477" s="190">
        <f t="shared" ca="1" si="46"/>
        <v>4.1703984751729303E-2</v>
      </c>
      <c r="D477" s="190">
        <f t="shared" ca="1" si="47"/>
        <v>2.2080184218923066E-2</v>
      </c>
      <c r="E477" s="190">
        <f t="shared" ca="1" si="48"/>
        <v>1.8844608779893506E-2</v>
      </c>
      <c r="F477" s="189" t="b">
        <f t="shared" ca="1" si="49"/>
        <v>1</v>
      </c>
      <c r="G477" s="188">
        <f ca="1">IF(F477,IFERROR(((('Data Schema'!$C$3*(1+B477)^1)*((1-$I$4-$I$5+E477)*(1-$I$10)+$I$6-$I$11)-('Data Schema'!$C$3*(1+B477)^1-'Data Schema'!$C$3)*$I$12)/(1+C477)^1+(('Data Schema'!$C$3*(1+B477)^2)*((1-$I$4-$I$5+E477)*(1-$I$10)+$I$6-$I$11)-('Data Schema'!$C$3*(1+B477)^2-'Data Schema'!$C$3*(1+B477)^1)*$I$12)/(1+C477)^2+(('Data Schema'!$C$3*(1+B477)^3)*((1-$I$4-$I$5+E477)*(1-$I$10)+$I$6-$I$11)-('Data Schema'!$C$3*(1+B477)^3-'Data Schema'!$C$3*(1+B477)^2)*$I$12)/(1+C477)^3+(('Data Schema'!$C$3*(1+B477)^4)*((1-$I$4-$I$5+E477)*(1-$I$10)+$I$6-$I$11)-('Data Schema'!$C$3*(1+B477)^4-'Data Schema'!$C$3*(1+B477)^3)*$I$12)/(1+C477)^4+(('Data Schema'!$C$3*(1+B477)^5)*((1-$I$4-$I$5+E477)*(1-$I$10)+$I$6-$I$11)-('Data Schema'!$C$3*(1+B477)^5-'Data Schema'!$C$3*(1+B477)^4)*$I$12)/(1+C477)^5+((('Data Schema'!$C$3*(1+B477)^5)*((1-$I$4-$I$5+E477)*(1-$I$10)+$I$6-$I$11)-('Data Schema'!$C$3*(1+B477)^5-'Data Schema'!$C$3*(1+B477)^4)*$I$12)*(1+D477)/(C477-D477))/(1+C477)^5-'Data Schema'!$C$31+'Data Schema'!$C$21)/'Data Schema'!$B$17,0),"INVALID")</f>
        <v>228.22099458090429</v>
      </c>
      <c r="H477" s="189" t="b">
        <f t="shared" ca="1" si="50"/>
        <v>1</v>
      </c>
      <c r="I477" s="188">
        <f t="shared" ca="1" si="51"/>
        <v>228.22099458090429</v>
      </c>
      <c r="J477" s="349" t="str">
        <f t="shared" ca="1" si="44"/>
        <v/>
      </c>
    </row>
    <row r="478" spans="1:10">
      <c r="A478" s="191">
        <v>299</v>
      </c>
      <c r="B478" s="190">
        <f t="shared" ca="1" si="45"/>
        <v>0.1187407084843146</v>
      </c>
      <c r="C478" s="190">
        <f t="shared" ca="1" si="46"/>
        <v>6.5423838895675615E-2</v>
      </c>
      <c r="D478" s="190">
        <f t="shared" ca="1" si="47"/>
        <v>3.0719002097498307E-2</v>
      </c>
      <c r="E478" s="190">
        <f t="shared" ca="1" si="48"/>
        <v>9.1895119942200388E-3</v>
      </c>
      <c r="F478" s="189" t="b">
        <f t="shared" ca="1" si="49"/>
        <v>1</v>
      </c>
      <c r="G478" s="188">
        <f ca="1">IF(F478,IFERROR(((('Data Schema'!$C$3*(1+B478)^1)*((1-$I$4-$I$5+E478)*(1-$I$10)+$I$6-$I$11)-('Data Schema'!$C$3*(1+B478)^1-'Data Schema'!$C$3)*$I$12)/(1+C478)^1+(('Data Schema'!$C$3*(1+B478)^2)*((1-$I$4-$I$5+E478)*(1-$I$10)+$I$6-$I$11)-('Data Schema'!$C$3*(1+B478)^2-'Data Schema'!$C$3*(1+B478)^1)*$I$12)/(1+C478)^2+(('Data Schema'!$C$3*(1+B478)^3)*((1-$I$4-$I$5+E478)*(1-$I$10)+$I$6-$I$11)-('Data Schema'!$C$3*(1+B478)^3-'Data Schema'!$C$3*(1+B478)^2)*$I$12)/(1+C478)^3+(('Data Schema'!$C$3*(1+B478)^4)*((1-$I$4-$I$5+E478)*(1-$I$10)+$I$6-$I$11)-('Data Schema'!$C$3*(1+B478)^4-'Data Schema'!$C$3*(1+B478)^3)*$I$12)/(1+C478)^4+(('Data Schema'!$C$3*(1+B478)^5)*((1-$I$4-$I$5+E478)*(1-$I$10)+$I$6-$I$11)-('Data Schema'!$C$3*(1+B478)^5-'Data Schema'!$C$3*(1+B478)^4)*$I$12)/(1+C478)^5+((('Data Schema'!$C$3*(1+B478)^5)*((1-$I$4-$I$5+E478)*(1-$I$10)+$I$6-$I$11)-('Data Schema'!$C$3*(1+B478)^5-'Data Schema'!$C$3*(1+B478)^4)*$I$12)*(1+D478)/(C478-D478))/(1+C478)^5-'Data Schema'!$C$31+'Data Schema'!$C$21)/'Data Schema'!$B$17,0),"INVALID")</f>
        <v>117.41148296913342</v>
      </c>
      <c r="H478" s="189" t="b">
        <f t="shared" ca="1" si="50"/>
        <v>1</v>
      </c>
      <c r="I478" s="188">
        <f t="shared" ca="1" si="51"/>
        <v>117.41148296913342</v>
      </c>
      <c r="J478" s="349">
        <f t="shared" ca="1" si="44"/>
        <v>117.41148296913342</v>
      </c>
    </row>
    <row r="479" spans="1:10">
      <c r="A479" s="187">
        <v>300</v>
      </c>
      <c r="B479" s="190">
        <f t="shared" ca="1" si="45"/>
        <v>8.875583562983333E-2</v>
      </c>
      <c r="C479" s="190">
        <f t="shared" ca="1" si="46"/>
        <v>6.6094041273978998E-2</v>
      </c>
      <c r="D479" s="190">
        <f t="shared" ca="1" si="47"/>
        <v>2.4802546311601101E-2</v>
      </c>
      <c r="E479" s="190">
        <f t="shared" ca="1" si="48"/>
        <v>1.2881421521676029E-2</v>
      </c>
      <c r="F479" s="189" t="b">
        <f t="shared" ca="1" si="49"/>
        <v>1</v>
      </c>
      <c r="G479" s="188">
        <f ca="1">IF(F479,IFERROR(((('Data Schema'!$C$3*(1+B479)^1)*((1-$I$4-$I$5+E479)*(1-$I$10)+$I$6-$I$11)-('Data Schema'!$C$3*(1+B479)^1-'Data Schema'!$C$3)*$I$12)/(1+C479)^1+(('Data Schema'!$C$3*(1+B479)^2)*((1-$I$4-$I$5+E479)*(1-$I$10)+$I$6-$I$11)-('Data Schema'!$C$3*(1+B479)^2-'Data Schema'!$C$3*(1+B479)^1)*$I$12)/(1+C479)^2+(('Data Schema'!$C$3*(1+B479)^3)*((1-$I$4-$I$5+E479)*(1-$I$10)+$I$6-$I$11)-('Data Schema'!$C$3*(1+B479)^3-'Data Schema'!$C$3*(1+B479)^2)*$I$12)/(1+C479)^3+(('Data Schema'!$C$3*(1+B479)^4)*((1-$I$4-$I$5+E479)*(1-$I$10)+$I$6-$I$11)-('Data Schema'!$C$3*(1+B479)^4-'Data Schema'!$C$3*(1+B479)^3)*$I$12)/(1+C479)^4+(('Data Schema'!$C$3*(1+B479)^5)*((1-$I$4-$I$5+E479)*(1-$I$10)+$I$6-$I$11)-('Data Schema'!$C$3*(1+B479)^5-'Data Schema'!$C$3*(1+B479)^4)*$I$12)/(1+C479)^5+((('Data Schema'!$C$3*(1+B479)^5)*((1-$I$4-$I$5+E479)*(1-$I$10)+$I$6-$I$11)-('Data Schema'!$C$3*(1+B479)^5-'Data Schema'!$C$3*(1+B479)^4)*$I$12)*(1+D479)/(C479-D479))/(1+C479)^5-'Data Schema'!$C$31+'Data Schema'!$C$21)/'Data Schema'!$B$17,0),"INVALID")</f>
        <v>96.160951221894607</v>
      </c>
      <c r="H479" s="189" t="b">
        <f t="shared" ca="1" si="50"/>
        <v>1</v>
      </c>
      <c r="I479" s="188">
        <f t="shared" ca="1" si="51"/>
        <v>96.160951221894607</v>
      </c>
      <c r="J479" s="349">
        <f t="shared" ca="1" si="44"/>
        <v>96.160951221894607</v>
      </c>
    </row>
    <row r="480" spans="1:10">
      <c r="A480" s="191">
        <v>301</v>
      </c>
      <c r="B480" s="190">
        <f t="shared" ca="1" si="45"/>
        <v>0.1058257418568057</v>
      </c>
      <c r="C480" s="190">
        <f t="shared" ca="1" si="46"/>
        <v>5.390583535772217E-2</v>
      </c>
      <c r="D480" s="190">
        <f t="shared" ca="1" si="47"/>
        <v>1.9411164726238654E-2</v>
      </c>
      <c r="E480" s="190">
        <f t="shared" ca="1" si="48"/>
        <v>1.2761581911031774E-3</v>
      </c>
      <c r="F480" s="189" t="b">
        <f t="shared" ca="1" si="49"/>
        <v>1</v>
      </c>
      <c r="G480" s="188">
        <f ca="1">IF(F480,IFERROR(((('Data Schema'!$C$3*(1+B480)^1)*((1-$I$4-$I$5+E480)*(1-$I$10)+$I$6-$I$11)-('Data Schema'!$C$3*(1+B480)^1-'Data Schema'!$C$3)*$I$12)/(1+C480)^1+(('Data Schema'!$C$3*(1+B480)^2)*((1-$I$4-$I$5+E480)*(1-$I$10)+$I$6-$I$11)-('Data Schema'!$C$3*(1+B480)^2-'Data Schema'!$C$3*(1+B480)^1)*$I$12)/(1+C480)^2+(('Data Schema'!$C$3*(1+B480)^3)*((1-$I$4-$I$5+E480)*(1-$I$10)+$I$6-$I$11)-('Data Schema'!$C$3*(1+B480)^3-'Data Schema'!$C$3*(1+B480)^2)*$I$12)/(1+C480)^3+(('Data Schema'!$C$3*(1+B480)^4)*((1-$I$4-$I$5+E480)*(1-$I$10)+$I$6-$I$11)-('Data Schema'!$C$3*(1+B480)^4-'Data Schema'!$C$3*(1+B480)^3)*$I$12)/(1+C480)^4+(('Data Schema'!$C$3*(1+B480)^5)*((1-$I$4-$I$5+E480)*(1-$I$10)+$I$6-$I$11)-('Data Schema'!$C$3*(1+B480)^5-'Data Schema'!$C$3*(1+B480)^4)*$I$12)/(1+C480)^5+((('Data Schema'!$C$3*(1+B480)^5)*((1-$I$4-$I$5+E480)*(1-$I$10)+$I$6-$I$11)-('Data Schema'!$C$3*(1+B480)^5-'Data Schema'!$C$3*(1+B480)^4)*$I$12)*(1+D480)/(C480-D480))/(1+C480)^5-'Data Schema'!$C$31+'Data Schema'!$C$21)/'Data Schema'!$B$17,0),"INVALID")</f>
        <v>94.361631215353995</v>
      </c>
      <c r="H480" s="189" t="b">
        <f t="shared" ca="1" si="50"/>
        <v>1</v>
      </c>
      <c r="I480" s="188">
        <f t="shared" ca="1" si="51"/>
        <v>94.361631215353995</v>
      </c>
      <c r="J480" s="349">
        <f t="shared" ca="1" si="44"/>
        <v>94.361631215353995</v>
      </c>
    </row>
    <row r="481" spans="1:10">
      <c r="A481" s="187">
        <v>302</v>
      </c>
      <c r="B481" s="190">
        <f t="shared" ca="1" si="45"/>
        <v>9.2927670920482097E-2</v>
      </c>
      <c r="C481" s="190">
        <f t="shared" ca="1" si="46"/>
        <v>4.7423766595291961E-2</v>
      </c>
      <c r="D481" s="190">
        <f t="shared" ca="1" si="47"/>
        <v>2.6023056257631152E-2</v>
      </c>
      <c r="E481" s="190">
        <f t="shared" ca="1" si="48"/>
        <v>-8.5767280845830095E-3</v>
      </c>
      <c r="F481" s="189" t="b">
        <f t="shared" ca="1" si="49"/>
        <v>1</v>
      </c>
      <c r="G481" s="188">
        <f ca="1">IF(F481,IFERROR(((('Data Schema'!$C$3*(1+B481)^1)*((1-$I$4-$I$5+E481)*(1-$I$10)+$I$6-$I$11)-('Data Schema'!$C$3*(1+B481)^1-'Data Schema'!$C$3)*$I$12)/(1+C481)^1+(('Data Schema'!$C$3*(1+B481)^2)*((1-$I$4-$I$5+E481)*(1-$I$10)+$I$6-$I$11)-('Data Schema'!$C$3*(1+B481)^2-'Data Schema'!$C$3*(1+B481)^1)*$I$12)/(1+C481)^2+(('Data Schema'!$C$3*(1+B481)^3)*((1-$I$4-$I$5+E481)*(1-$I$10)+$I$6-$I$11)-('Data Schema'!$C$3*(1+B481)^3-'Data Schema'!$C$3*(1+B481)^2)*$I$12)/(1+C481)^3+(('Data Schema'!$C$3*(1+B481)^4)*((1-$I$4-$I$5+E481)*(1-$I$10)+$I$6-$I$11)-('Data Schema'!$C$3*(1+B481)^4-'Data Schema'!$C$3*(1+B481)^3)*$I$12)/(1+C481)^4+(('Data Schema'!$C$3*(1+B481)^5)*((1-$I$4-$I$5+E481)*(1-$I$10)+$I$6-$I$11)-('Data Schema'!$C$3*(1+B481)^5-'Data Schema'!$C$3*(1+B481)^4)*$I$12)/(1+C481)^5+((('Data Schema'!$C$3*(1+B481)^5)*((1-$I$4-$I$5+E481)*(1-$I$10)+$I$6-$I$11)-('Data Schema'!$C$3*(1+B481)^5-'Data Schema'!$C$3*(1+B481)^4)*$I$12)*(1+D481)/(C481-D481))/(1+C481)^5-'Data Schema'!$C$31+'Data Schema'!$C$21)/'Data Schema'!$B$17,0),"INVALID")</f>
        <v>103.43017519726077</v>
      </c>
      <c r="H481" s="189" t="b">
        <f t="shared" ca="1" si="50"/>
        <v>1</v>
      </c>
      <c r="I481" s="188">
        <f t="shared" ca="1" si="51"/>
        <v>103.43017519726077</v>
      </c>
      <c r="J481" s="349">
        <f t="shared" ca="1" si="44"/>
        <v>103.43017519726077</v>
      </c>
    </row>
    <row r="482" spans="1:10">
      <c r="A482" s="191">
        <v>303</v>
      </c>
      <c r="B482" s="190">
        <f t="shared" ca="1" si="45"/>
        <v>0.11708445752384161</v>
      </c>
      <c r="C482" s="190">
        <f t="shared" ca="1" si="46"/>
        <v>5.8320604008656352E-2</v>
      </c>
      <c r="D482" s="190">
        <f t="shared" ca="1" si="47"/>
        <v>2.8799668199362728E-2</v>
      </c>
      <c r="E482" s="190">
        <f t="shared" ca="1" si="48"/>
        <v>-1.5933884260055035E-2</v>
      </c>
      <c r="F482" s="189" t="b">
        <f t="shared" ca="1" si="49"/>
        <v>1</v>
      </c>
      <c r="G482" s="188">
        <f ca="1">IF(F482,IFERROR(((('Data Schema'!$C$3*(1+B482)^1)*((1-$I$4-$I$5+E482)*(1-$I$10)+$I$6-$I$11)-('Data Schema'!$C$3*(1+B482)^1-'Data Schema'!$C$3)*$I$12)/(1+C482)^1+(('Data Schema'!$C$3*(1+B482)^2)*((1-$I$4-$I$5+E482)*(1-$I$10)+$I$6-$I$11)-('Data Schema'!$C$3*(1+B482)^2-'Data Schema'!$C$3*(1+B482)^1)*$I$12)/(1+C482)^2+(('Data Schema'!$C$3*(1+B482)^3)*((1-$I$4-$I$5+E482)*(1-$I$10)+$I$6-$I$11)-('Data Schema'!$C$3*(1+B482)^3-'Data Schema'!$C$3*(1+B482)^2)*$I$12)/(1+C482)^3+(('Data Schema'!$C$3*(1+B482)^4)*((1-$I$4-$I$5+E482)*(1-$I$10)+$I$6-$I$11)-('Data Schema'!$C$3*(1+B482)^4-'Data Schema'!$C$3*(1+B482)^3)*$I$12)/(1+C482)^4+(('Data Schema'!$C$3*(1+B482)^5)*((1-$I$4-$I$5+E482)*(1-$I$10)+$I$6-$I$11)-('Data Schema'!$C$3*(1+B482)^5-'Data Schema'!$C$3*(1+B482)^4)*$I$12)/(1+C482)^5+((('Data Schema'!$C$3*(1+B482)^5)*((1-$I$4-$I$5+E482)*(1-$I$10)+$I$6-$I$11)-('Data Schema'!$C$3*(1+B482)^5-'Data Schema'!$C$3*(1+B482)^4)*$I$12)*(1+D482)/(C482-D482))/(1+C482)^5-'Data Schema'!$C$31+'Data Schema'!$C$21)/'Data Schema'!$B$17,0),"INVALID")</f>
        <v>53.491592141683732</v>
      </c>
      <c r="H482" s="189" t="b">
        <f t="shared" ca="1" si="50"/>
        <v>1</v>
      </c>
      <c r="I482" s="188">
        <f t="shared" ca="1" si="51"/>
        <v>53.491592141683732</v>
      </c>
      <c r="J482" s="349">
        <f t="shared" ca="1" si="44"/>
        <v>53.491592141683732</v>
      </c>
    </row>
    <row r="483" spans="1:10">
      <c r="A483" s="187">
        <v>304</v>
      </c>
      <c r="B483" s="190">
        <f t="shared" ca="1" si="45"/>
        <v>0.12797356033622814</v>
      </c>
      <c r="C483" s="190">
        <f t="shared" ca="1" si="46"/>
        <v>7.0876588368928378E-2</v>
      </c>
      <c r="D483" s="190">
        <f t="shared" ca="1" si="47"/>
        <v>2.057294794145733E-2</v>
      </c>
      <c r="E483" s="190">
        <f t="shared" ca="1" si="48"/>
        <v>-2.1783409455324837E-2</v>
      </c>
      <c r="F483" s="189" t="b">
        <f t="shared" ca="1" si="49"/>
        <v>1</v>
      </c>
      <c r="G483" s="188">
        <f ca="1">IF(F483,IFERROR(((('Data Schema'!$C$3*(1+B483)^1)*((1-$I$4-$I$5+E483)*(1-$I$10)+$I$6-$I$11)-('Data Schema'!$C$3*(1+B483)^1-'Data Schema'!$C$3)*$I$12)/(1+C483)^1+(('Data Schema'!$C$3*(1+B483)^2)*((1-$I$4-$I$5+E483)*(1-$I$10)+$I$6-$I$11)-('Data Schema'!$C$3*(1+B483)^2-'Data Schema'!$C$3*(1+B483)^1)*$I$12)/(1+C483)^2+(('Data Schema'!$C$3*(1+B483)^3)*((1-$I$4-$I$5+E483)*(1-$I$10)+$I$6-$I$11)-('Data Schema'!$C$3*(1+B483)^3-'Data Schema'!$C$3*(1+B483)^2)*$I$12)/(1+C483)^3+(('Data Schema'!$C$3*(1+B483)^4)*((1-$I$4-$I$5+E483)*(1-$I$10)+$I$6-$I$11)-('Data Schema'!$C$3*(1+B483)^4-'Data Schema'!$C$3*(1+B483)^3)*$I$12)/(1+C483)^4+(('Data Schema'!$C$3*(1+B483)^5)*((1-$I$4-$I$5+E483)*(1-$I$10)+$I$6-$I$11)-('Data Schema'!$C$3*(1+B483)^5-'Data Schema'!$C$3*(1+B483)^4)*$I$12)/(1+C483)^5+((('Data Schema'!$C$3*(1+B483)^5)*((1-$I$4-$I$5+E483)*(1-$I$10)+$I$6-$I$11)-('Data Schema'!$C$3*(1+B483)^5-'Data Schema'!$C$3*(1+B483)^4)*$I$12)*(1+D483)/(C483-D483))/(1+C483)^5-'Data Schema'!$C$31+'Data Schema'!$C$21)/'Data Schema'!$B$17,0),"INVALID")</f>
        <v>17.688343313740894</v>
      </c>
      <c r="H483" s="189" t="b">
        <f t="shared" ca="1" si="50"/>
        <v>1</v>
      </c>
      <c r="I483" s="188">
        <f t="shared" ca="1" si="51"/>
        <v>17.688343313740894</v>
      </c>
      <c r="J483" s="349" t="str">
        <f t="shared" ca="1" si="44"/>
        <v/>
      </c>
    </row>
    <row r="484" spans="1:10">
      <c r="A484" s="191">
        <v>305</v>
      </c>
      <c r="B484" s="190">
        <f t="shared" ca="1" si="45"/>
        <v>8.7928538052733735E-2</v>
      </c>
      <c r="C484" s="190">
        <f t="shared" ca="1" si="46"/>
        <v>5.7433977811378358E-2</v>
      </c>
      <c r="D484" s="190">
        <f t="shared" ca="1" si="47"/>
        <v>2.8951465010966418E-2</v>
      </c>
      <c r="E484" s="190">
        <f t="shared" ca="1" si="48"/>
        <v>-1.5968465843764081E-2</v>
      </c>
      <c r="F484" s="189" t="b">
        <f t="shared" ca="1" si="49"/>
        <v>1</v>
      </c>
      <c r="G484" s="188">
        <f ca="1">IF(F484,IFERROR(((('Data Schema'!$C$3*(1+B484)^1)*((1-$I$4-$I$5+E484)*(1-$I$10)+$I$6-$I$11)-('Data Schema'!$C$3*(1+B484)^1-'Data Schema'!$C$3)*$I$12)/(1+C484)^1+(('Data Schema'!$C$3*(1+B484)^2)*((1-$I$4-$I$5+E484)*(1-$I$10)+$I$6-$I$11)-('Data Schema'!$C$3*(1+B484)^2-'Data Schema'!$C$3*(1+B484)^1)*$I$12)/(1+C484)^2+(('Data Schema'!$C$3*(1+B484)^3)*((1-$I$4-$I$5+E484)*(1-$I$10)+$I$6-$I$11)-('Data Schema'!$C$3*(1+B484)^3-'Data Schema'!$C$3*(1+B484)^2)*$I$12)/(1+C484)^3+(('Data Schema'!$C$3*(1+B484)^4)*((1-$I$4-$I$5+E484)*(1-$I$10)+$I$6-$I$11)-('Data Schema'!$C$3*(1+B484)^4-'Data Schema'!$C$3*(1+B484)^3)*$I$12)/(1+C484)^4+(('Data Schema'!$C$3*(1+B484)^5)*((1-$I$4-$I$5+E484)*(1-$I$10)+$I$6-$I$11)-('Data Schema'!$C$3*(1+B484)^5-'Data Schema'!$C$3*(1+B484)^4)*$I$12)/(1+C484)^5+((('Data Schema'!$C$3*(1+B484)^5)*((1-$I$4-$I$5+E484)*(1-$I$10)+$I$6-$I$11)-('Data Schema'!$C$3*(1+B484)^5-'Data Schema'!$C$3*(1+B484)^4)*$I$12)*(1+D484)/(C484-D484))/(1+C484)^5-'Data Schema'!$C$31+'Data Schema'!$C$21)/'Data Schema'!$B$17,0),"INVALID")</f>
        <v>50.151396154155343</v>
      </c>
      <c r="H484" s="189" t="b">
        <f t="shared" ca="1" si="50"/>
        <v>1</v>
      </c>
      <c r="I484" s="188">
        <f t="shared" ca="1" si="51"/>
        <v>50.151396154155343</v>
      </c>
      <c r="J484" s="349">
        <f t="shared" ca="1" si="44"/>
        <v>50.151396154155343</v>
      </c>
    </row>
    <row r="485" spans="1:10">
      <c r="A485" s="187">
        <v>306</v>
      </c>
      <c r="B485" s="190">
        <f t="shared" ca="1" si="45"/>
        <v>9.8901642473179605E-2</v>
      </c>
      <c r="C485" s="190">
        <f t="shared" ca="1" si="46"/>
        <v>5.9780226144178425E-2</v>
      </c>
      <c r="D485" s="190">
        <f t="shared" ca="1" si="47"/>
        <v>1.9550523321323038E-2</v>
      </c>
      <c r="E485" s="190">
        <f t="shared" ca="1" si="48"/>
        <v>3.5340026064013576E-2</v>
      </c>
      <c r="F485" s="189" t="b">
        <f t="shared" ca="1" si="49"/>
        <v>1</v>
      </c>
      <c r="G485" s="188">
        <f ca="1">IF(F485,IFERROR(((('Data Schema'!$C$3*(1+B485)^1)*((1-$I$4-$I$5+E485)*(1-$I$10)+$I$6-$I$11)-('Data Schema'!$C$3*(1+B485)^1-'Data Schema'!$C$3)*$I$12)/(1+C485)^1+(('Data Schema'!$C$3*(1+B485)^2)*((1-$I$4-$I$5+E485)*(1-$I$10)+$I$6-$I$11)-('Data Schema'!$C$3*(1+B485)^2-'Data Schema'!$C$3*(1+B485)^1)*$I$12)/(1+C485)^2+(('Data Schema'!$C$3*(1+B485)^3)*((1-$I$4-$I$5+E485)*(1-$I$10)+$I$6-$I$11)-('Data Schema'!$C$3*(1+B485)^3-'Data Schema'!$C$3*(1+B485)^2)*$I$12)/(1+C485)^3+(('Data Schema'!$C$3*(1+B485)^4)*((1-$I$4-$I$5+E485)*(1-$I$10)+$I$6-$I$11)-('Data Schema'!$C$3*(1+B485)^4-'Data Schema'!$C$3*(1+B485)^3)*$I$12)/(1+C485)^4+(('Data Schema'!$C$3*(1+B485)^5)*((1-$I$4-$I$5+E485)*(1-$I$10)+$I$6-$I$11)-('Data Schema'!$C$3*(1+B485)^5-'Data Schema'!$C$3*(1+B485)^4)*$I$12)/(1+C485)^5+((('Data Schema'!$C$3*(1+B485)^5)*((1-$I$4-$I$5+E485)*(1-$I$10)+$I$6-$I$11)-('Data Schema'!$C$3*(1+B485)^5-'Data Schema'!$C$3*(1+B485)^4)*$I$12)*(1+D485)/(C485-D485))/(1+C485)^5-'Data Schema'!$C$31+'Data Schema'!$C$21)/'Data Schema'!$B$17,0),"INVALID")</f>
        <v>159.07161164658513</v>
      </c>
      <c r="H485" s="189" t="b">
        <f t="shared" ca="1" si="50"/>
        <v>1</v>
      </c>
      <c r="I485" s="188">
        <f t="shared" ca="1" si="51"/>
        <v>159.07161164658513</v>
      </c>
      <c r="J485" s="349">
        <f t="shared" ca="1" si="44"/>
        <v>159.07161164658513</v>
      </c>
    </row>
    <row r="486" spans="1:10">
      <c r="A486" s="191">
        <v>307</v>
      </c>
      <c r="B486" s="190">
        <f t="shared" ca="1" si="45"/>
        <v>9.1448326841606489E-2</v>
      </c>
      <c r="C486" s="190">
        <f t="shared" ca="1" si="46"/>
        <v>8.3159577074298746E-2</v>
      </c>
      <c r="D486" s="190">
        <f t="shared" ca="1" si="47"/>
        <v>2.2616197151952396E-2</v>
      </c>
      <c r="E486" s="190">
        <f t="shared" ca="1" si="48"/>
        <v>5.0853620689393832E-3</v>
      </c>
      <c r="F486" s="189" t="b">
        <f t="shared" ca="1" si="49"/>
        <v>1</v>
      </c>
      <c r="G486" s="188">
        <f ca="1">IF(F486,IFERROR(((('Data Schema'!$C$3*(1+B486)^1)*((1-$I$4-$I$5+E486)*(1-$I$10)+$I$6-$I$11)-('Data Schema'!$C$3*(1+B486)^1-'Data Schema'!$C$3)*$I$12)/(1+C486)^1+(('Data Schema'!$C$3*(1+B486)^2)*((1-$I$4-$I$5+E486)*(1-$I$10)+$I$6-$I$11)-('Data Schema'!$C$3*(1+B486)^2-'Data Schema'!$C$3*(1+B486)^1)*$I$12)/(1+C486)^2+(('Data Schema'!$C$3*(1+B486)^3)*((1-$I$4-$I$5+E486)*(1-$I$10)+$I$6-$I$11)-('Data Schema'!$C$3*(1+B486)^3-'Data Schema'!$C$3*(1+B486)^2)*$I$12)/(1+C486)^3+(('Data Schema'!$C$3*(1+B486)^4)*((1-$I$4-$I$5+E486)*(1-$I$10)+$I$6-$I$11)-('Data Schema'!$C$3*(1+B486)^4-'Data Schema'!$C$3*(1+B486)^3)*$I$12)/(1+C486)^4+(('Data Schema'!$C$3*(1+B486)^5)*((1-$I$4-$I$5+E486)*(1-$I$10)+$I$6-$I$11)-('Data Schema'!$C$3*(1+B486)^5-'Data Schema'!$C$3*(1+B486)^4)*$I$12)/(1+C486)^5+((('Data Schema'!$C$3*(1+B486)^5)*((1-$I$4-$I$5+E486)*(1-$I$10)+$I$6-$I$11)-('Data Schema'!$C$3*(1+B486)^5-'Data Schema'!$C$3*(1+B486)^4)*$I$12)*(1+D486)/(C486-D486))/(1+C486)^5-'Data Schema'!$C$31+'Data Schema'!$C$21)/'Data Schema'!$B$17,0),"INVALID")</f>
        <v>52.183287441591034</v>
      </c>
      <c r="H486" s="189" t="b">
        <f t="shared" ca="1" si="50"/>
        <v>1</v>
      </c>
      <c r="I486" s="188">
        <f t="shared" ca="1" si="51"/>
        <v>52.183287441591034</v>
      </c>
      <c r="J486" s="349">
        <f t="shared" ca="1" si="44"/>
        <v>52.183287441591034</v>
      </c>
    </row>
    <row r="487" spans="1:10">
      <c r="A487" s="187">
        <v>308</v>
      </c>
      <c r="B487" s="190">
        <f t="shared" ca="1" si="45"/>
        <v>8.6227633256018343E-2</v>
      </c>
      <c r="C487" s="190">
        <f t="shared" ca="1" si="46"/>
        <v>5.9081867841471208E-2</v>
      </c>
      <c r="D487" s="190">
        <f t="shared" ca="1" si="47"/>
        <v>3.4824064942972306E-2</v>
      </c>
      <c r="E487" s="190">
        <f t="shared" ca="1" si="48"/>
        <v>-4.1055931816676534E-3</v>
      </c>
      <c r="F487" s="189" t="b">
        <f t="shared" ca="1" si="49"/>
        <v>1</v>
      </c>
      <c r="G487" s="188">
        <f ca="1">IF(F487,IFERROR(((('Data Schema'!$C$3*(1+B487)^1)*((1-$I$4-$I$5+E487)*(1-$I$10)+$I$6-$I$11)-('Data Schema'!$C$3*(1+B487)^1-'Data Schema'!$C$3)*$I$12)/(1+C487)^1+(('Data Schema'!$C$3*(1+B487)^2)*((1-$I$4-$I$5+E487)*(1-$I$10)+$I$6-$I$11)-('Data Schema'!$C$3*(1+B487)^2-'Data Schema'!$C$3*(1+B487)^1)*$I$12)/(1+C487)^2+(('Data Schema'!$C$3*(1+B487)^3)*((1-$I$4-$I$5+E487)*(1-$I$10)+$I$6-$I$11)-('Data Schema'!$C$3*(1+B487)^3-'Data Schema'!$C$3*(1+B487)^2)*$I$12)/(1+C487)^3+(('Data Schema'!$C$3*(1+B487)^4)*((1-$I$4-$I$5+E487)*(1-$I$10)+$I$6-$I$11)-('Data Schema'!$C$3*(1+B487)^4-'Data Schema'!$C$3*(1+B487)^3)*$I$12)/(1+C487)^4+(('Data Schema'!$C$3*(1+B487)^5)*((1-$I$4-$I$5+E487)*(1-$I$10)+$I$6-$I$11)-('Data Schema'!$C$3*(1+B487)^5-'Data Schema'!$C$3*(1+B487)^4)*$I$12)/(1+C487)^5+((('Data Schema'!$C$3*(1+B487)^5)*((1-$I$4-$I$5+E487)*(1-$I$10)+$I$6-$I$11)-('Data Schema'!$C$3*(1+B487)^5-'Data Schema'!$C$3*(1+B487)^4)*$I$12)*(1+D487)/(C487-D487))/(1+C487)^5-'Data Schema'!$C$31+'Data Schema'!$C$21)/'Data Schema'!$B$17,0),"INVALID")</f>
        <v>101.00953558618909</v>
      </c>
      <c r="H487" s="189" t="b">
        <f t="shared" ca="1" si="50"/>
        <v>1</v>
      </c>
      <c r="I487" s="188">
        <f t="shared" ca="1" si="51"/>
        <v>101.00953558618909</v>
      </c>
      <c r="J487" s="349">
        <f t="shared" ca="1" si="44"/>
        <v>101.00953558618909</v>
      </c>
    </row>
    <row r="488" spans="1:10">
      <c r="A488" s="191">
        <v>309</v>
      </c>
      <c r="B488" s="190">
        <f t="shared" ca="1" si="45"/>
        <v>9.9509476339552858E-2</v>
      </c>
      <c r="C488" s="190">
        <f t="shared" ca="1" si="46"/>
        <v>5.8308660926576487E-2</v>
      </c>
      <c r="D488" s="190">
        <f t="shared" ca="1" si="47"/>
        <v>2.7271640487742655E-2</v>
      </c>
      <c r="E488" s="190">
        <f t="shared" ca="1" si="48"/>
        <v>4.8340533696017316E-3</v>
      </c>
      <c r="F488" s="189" t="b">
        <f t="shared" ca="1" si="49"/>
        <v>1</v>
      </c>
      <c r="G488" s="188">
        <f ca="1">IF(F488,IFERROR(((('Data Schema'!$C$3*(1+B488)^1)*((1-$I$4-$I$5+E488)*(1-$I$10)+$I$6-$I$11)-('Data Schema'!$C$3*(1+B488)^1-'Data Schema'!$C$3)*$I$12)/(1+C488)^1+(('Data Schema'!$C$3*(1+B488)^2)*((1-$I$4-$I$5+E488)*(1-$I$10)+$I$6-$I$11)-('Data Schema'!$C$3*(1+B488)^2-'Data Schema'!$C$3*(1+B488)^1)*$I$12)/(1+C488)^2+(('Data Schema'!$C$3*(1+B488)^3)*((1-$I$4-$I$5+E488)*(1-$I$10)+$I$6-$I$11)-('Data Schema'!$C$3*(1+B488)^3-'Data Schema'!$C$3*(1+B488)^2)*$I$12)/(1+C488)^3+(('Data Schema'!$C$3*(1+B488)^4)*((1-$I$4-$I$5+E488)*(1-$I$10)+$I$6-$I$11)-('Data Schema'!$C$3*(1+B488)^4-'Data Schema'!$C$3*(1+B488)^3)*$I$12)/(1+C488)^4+(('Data Schema'!$C$3*(1+B488)^5)*((1-$I$4-$I$5+E488)*(1-$I$10)+$I$6-$I$11)-('Data Schema'!$C$3*(1+B488)^5-'Data Schema'!$C$3*(1+B488)^4)*$I$12)/(1+C488)^5+((('Data Schema'!$C$3*(1+B488)^5)*((1-$I$4-$I$5+E488)*(1-$I$10)+$I$6-$I$11)-('Data Schema'!$C$3*(1+B488)^5-'Data Schema'!$C$3*(1+B488)^4)*$I$12)*(1+D488)/(C488-D488))/(1+C488)^5-'Data Schema'!$C$31+'Data Schema'!$C$21)/'Data Schema'!$B$17,0),"INVALID")</f>
        <v>111.00206632740944</v>
      </c>
      <c r="H488" s="189" t="b">
        <f t="shared" ca="1" si="50"/>
        <v>1</v>
      </c>
      <c r="I488" s="188">
        <f t="shared" ca="1" si="51"/>
        <v>111.00206632740944</v>
      </c>
      <c r="J488" s="349">
        <f t="shared" ca="1" si="44"/>
        <v>111.00206632740944</v>
      </c>
    </row>
    <row r="489" spans="1:10">
      <c r="A489" s="187">
        <v>310</v>
      </c>
      <c r="B489" s="190">
        <f t="shared" ca="1" si="45"/>
        <v>0.10651810215333443</v>
      </c>
      <c r="C489" s="190">
        <f t="shared" ca="1" si="46"/>
        <v>5.2401670433680034E-2</v>
      </c>
      <c r="D489" s="190">
        <f t="shared" ca="1" si="47"/>
        <v>2.2544754354794156E-2</v>
      </c>
      <c r="E489" s="190">
        <f t="shared" ca="1" si="48"/>
        <v>-7.3070885974081227E-3</v>
      </c>
      <c r="F489" s="189" t="b">
        <f t="shared" ca="1" si="49"/>
        <v>1</v>
      </c>
      <c r="G489" s="188">
        <f ca="1">IF(F489,IFERROR(((('Data Schema'!$C$3*(1+B489)^1)*((1-$I$4-$I$5+E489)*(1-$I$10)+$I$6-$I$11)-('Data Schema'!$C$3*(1+B489)^1-'Data Schema'!$C$3)*$I$12)/(1+C489)^1+(('Data Schema'!$C$3*(1+B489)^2)*((1-$I$4-$I$5+E489)*(1-$I$10)+$I$6-$I$11)-('Data Schema'!$C$3*(1+B489)^2-'Data Schema'!$C$3*(1+B489)^1)*$I$12)/(1+C489)^2+(('Data Schema'!$C$3*(1+B489)^3)*((1-$I$4-$I$5+E489)*(1-$I$10)+$I$6-$I$11)-('Data Schema'!$C$3*(1+B489)^3-'Data Schema'!$C$3*(1+B489)^2)*$I$12)/(1+C489)^3+(('Data Schema'!$C$3*(1+B489)^4)*((1-$I$4-$I$5+E489)*(1-$I$10)+$I$6-$I$11)-('Data Schema'!$C$3*(1+B489)^4-'Data Schema'!$C$3*(1+B489)^3)*$I$12)/(1+C489)^4+(('Data Schema'!$C$3*(1+B489)^5)*((1-$I$4-$I$5+E489)*(1-$I$10)+$I$6-$I$11)-('Data Schema'!$C$3*(1+B489)^5-'Data Schema'!$C$3*(1+B489)^4)*$I$12)/(1+C489)^5+((('Data Schema'!$C$3*(1+B489)^5)*((1-$I$4-$I$5+E489)*(1-$I$10)+$I$6-$I$11)-('Data Schema'!$C$3*(1+B489)^5-'Data Schema'!$C$3*(1+B489)^4)*$I$12)*(1+D489)/(C489-D489))/(1+C489)^5-'Data Schema'!$C$31+'Data Schema'!$C$21)/'Data Schema'!$B$17,0),"INVALID")</f>
        <v>80.888572071127939</v>
      </c>
      <c r="H489" s="189" t="b">
        <f t="shared" ca="1" si="50"/>
        <v>1</v>
      </c>
      <c r="I489" s="188">
        <f t="shared" ca="1" si="51"/>
        <v>80.888572071127939</v>
      </c>
      <c r="J489" s="349">
        <f t="shared" ca="1" si="44"/>
        <v>80.888572071127939</v>
      </c>
    </row>
    <row r="490" spans="1:10">
      <c r="A490" s="191">
        <v>311</v>
      </c>
      <c r="B490" s="190">
        <f t="shared" ca="1" si="45"/>
        <v>0.10631609959927764</v>
      </c>
      <c r="C490" s="190">
        <f t="shared" ca="1" si="46"/>
        <v>5.3032306072156497E-2</v>
      </c>
      <c r="D490" s="190">
        <f t="shared" ca="1" si="47"/>
        <v>2.9033863170994854E-2</v>
      </c>
      <c r="E490" s="190">
        <f t="shared" ca="1" si="48"/>
        <v>-2.3196353670182988E-2</v>
      </c>
      <c r="F490" s="189" t="b">
        <f t="shared" ca="1" si="49"/>
        <v>1</v>
      </c>
      <c r="G490" s="188">
        <f ca="1">IF(F490,IFERROR(((('Data Schema'!$C$3*(1+B490)^1)*((1-$I$4-$I$5+E490)*(1-$I$10)+$I$6-$I$11)-('Data Schema'!$C$3*(1+B490)^1-'Data Schema'!$C$3)*$I$12)/(1+C490)^1+(('Data Schema'!$C$3*(1+B490)^2)*((1-$I$4-$I$5+E490)*(1-$I$10)+$I$6-$I$11)-('Data Schema'!$C$3*(1+B490)^2-'Data Schema'!$C$3*(1+B490)^1)*$I$12)/(1+C490)^2+(('Data Schema'!$C$3*(1+B490)^3)*((1-$I$4-$I$5+E490)*(1-$I$10)+$I$6-$I$11)-('Data Schema'!$C$3*(1+B490)^3-'Data Schema'!$C$3*(1+B490)^2)*$I$12)/(1+C490)^3+(('Data Schema'!$C$3*(1+B490)^4)*((1-$I$4-$I$5+E490)*(1-$I$10)+$I$6-$I$11)-('Data Schema'!$C$3*(1+B490)^4-'Data Schema'!$C$3*(1+B490)^3)*$I$12)/(1+C490)^4+(('Data Schema'!$C$3*(1+B490)^5)*((1-$I$4-$I$5+E490)*(1-$I$10)+$I$6-$I$11)-('Data Schema'!$C$3*(1+B490)^5-'Data Schema'!$C$3*(1+B490)^4)*$I$12)/(1+C490)^5+((('Data Schema'!$C$3*(1+B490)^5)*((1-$I$4-$I$5+E490)*(1-$I$10)+$I$6-$I$11)-('Data Schema'!$C$3*(1+B490)^5-'Data Schema'!$C$3*(1+B490)^4)*$I$12)*(1+D490)/(C490-D490))/(1+C490)^5-'Data Schema'!$C$31+'Data Schema'!$C$21)/'Data Schema'!$B$17,0),"INVALID")</f>
        <v>35.766206143103361</v>
      </c>
      <c r="H490" s="189" t="b">
        <f t="shared" ca="1" si="50"/>
        <v>1</v>
      </c>
      <c r="I490" s="188">
        <f t="shared" ca="1" si="51"/>
        <v>35.766206143103361</v>
      </c>
      <c r="J490" s="349">
        <f t="shared" ca="1" si="44"/>
        <v>35.766206143103361</v>
      </c>
    </row>
    <row r="491" spans="1:10">
      <c r="A491" s="187">
        <v>312</v>
      </c>
      <c r="B491" s="190">
        <f t="shared" ca="1" si="45"/>
        <v>0.12012118161407628</v>
      </c>
      <c r="C491" s="190">
        <f t="shared" ca="1" si="46"/>
        <v>5.3034169795664006E-2</v>
      </c>
      <c r="D491" s="190">
        <f t="shared" ca="1" si="47"/>
        <v>2.530279294307157E-2</v>
      </c>
      <c r="E491" s="190">
        <f t="shared" ca="1" si="48"/>
        <v>2.5736649185950543E-2</v>
      </c>
      <c r="F491" s="189" t="b">
        <f t="shared" ca="1" si="49"/>
        <v>1</v>
      </c>
      <c r="G491" s="188">
        <f ca="1">IF(F491,IFERROR(((('Data Schema'!$C$3*(1+B491)^1)*((1-$I$4-$I$5+E491)*(1-$I$10)+$I$6-$I$11)-('Data Schema'!$C$3*(1+B491)^1-'Data Schema'!$C$3)*$I$12)/(1+C491)^1+(('Data Schema'!$C$3*(1+B491)^2)*((1-$I$4-$I$5+E491)*(1-$I$10)+$I$6-$I$11)-('Data Schema'!$C$3*(1+B491)^2-'Data Schema'!$C$3*(1+B491)^1)*$I$12)/(1+C491)^2+(('Data Schema'!$C$3*(1+B491)^3)*((1-$I$4-$I$5+E491)*(1-$I$10)+$I$6-$I$11)-('Data Schema'!$C$3*(1+B491)^3-'Data Schema'!$C$3*(1+B491)^2)*$I$12)/(1+C491)^3+(('Data Schema'!$C$3*(1+B491)^4)*((1-$I$4-$I$5+E491)*(1-$I$10)+$I$6-$I$11)-('Data Schema'!$C$3*(1+B491)^4-'Data Schema'!$C$3*(1+B491)^3)*$I$12)/(1+C491)^4+(('Data Schema'!$C$3*(1+B491)^5)*((1-$I$4-$I$5+E491)*(1-$I$10)+$I$6-$I$11)-('Data Schema'!$C$3*(1+B491)^5-'Data Schema'!$C$3*(1+B491)^4)*$I$12)/(1+C491)^5+((('Data Schema'!$C$3*(1+B491)^5)*((1-$I$4-$I$5+E491)*(1-$I$10)+$I$6-$I$11)-('Data Schema'!$C$3*(1+B491)^5-'Data Schema'!$C$3*(1+B491)^4)*$I$12)*(1+D491)/(C491-D491))/(1+C491)^5-'Data Schema'!$C$31+'Data Schema'!$C$21)/'Data Schema'!$B$17,0),"INVALID")</f>
        <v>215.59482121721737</v>
      </c>
      <c r="H491" s="189" t="b">
        <f t="shared" ca="1" si="50"/>
        <v>1</v>
      </c>
      <c r="I491" s="188">
        <f t="shared" ca="1" si="51"/>
        <v>215.59482121721737</v>
      </c>
      <c r="J491" s="349">
        <f t="shared" ca="1" si="44"/>
        <v>215.59482121721737</v>
      </c>
    </row>
    <row r="492" spans="1:10">
      <c r="A492" s="191">
        <v>313</v>
      </c>
      <c r="B492" s="190">
        <f t="shared" ca="1" si="45"/>
        <v>8.3690027189130461E-2</v>
      </c>
      <c r="C492" s="190">
        <f t="shared" ca="1" si="46"/>
        <v>7.2717773262215749E-2</v>
      </c>
      <c r="D492" s="190">
        <f t="shared" ca="1" si="47"/>
        <v>2.6087429377569984E-2</v>
      </c>
      <c r="E492" s="190">
        <f t="shared" ca="1" si="48"/>
        <v>8.0940666134628084E-4</v>
      </c>
      <c r="F492" s="189" t="b">
        <f t="shared" ca="1" si="49"/>
        <v>1</v>
      </c>
      <c r="G492" s="188">
        <f ca="1">IF(F492,IFERROR(((('Data Schema'!$C$3*(1+B492)^1)*((1-$I$4-$I$5+E492)*(1-$I$10)+$I$6-$I$11)-('Data Schema'!$C$3*(1+B492)^1-'Data Schema'!$C$3)*$I$12)/(1+C492)^1+(('Data Schema'!$C$3*(1+B492)^2)*((1-$I$4-$I$5+E492)*(1-$I$10)+$I$6-$I$11)-('Data Schema'!$C$3*(1+B492)^2-'Data Schema'!$C$3*(1+B492)^1)*$I$12)/(1+C492)^2+(('Data Schema'!$C$3*(1+B492)^3)*((1-$I$4-$I$5+E492)*(1-$I$10)+$I$6-$I$11)-('Data Schema'!$C$3*(1+B492)^3-'Data Schema'!$C$3*(1+B492)^2)*$I$12)/(1+C492)^3+(('Data Schema'!$C$3*(1+B492)^4)*((1-$I$4-$I$5+E492)*(1-$I$10)+$I$6-$I$11)-('Data Schema'!$C$3*(1+B492)^4-'Data Schema'!$C$3*(1+B492)^3)*$I$12)/(1+C492)^4+(('Data Schema'!$C$3*(1+B492)^5)*((1-$I$4-$I$5+E492)*(1-$I$10)+$I$6-$I$11)-('Data Schema'!$C$3*(1+B492)^5-'Data Schema'!$C$3*(1+B492)^4)*$I$12)/(1+C492)^5+((('Data Schema'!$C$3*(1+B492)^5)*((1-$I$4-$I$5+E492)*(1-$I$10)+$I$6-$I$11)-('Data Schema'!$C$3*(1+B492)^5-'Data Schema'!$C$3*(1+B492)^4)*$I$12)*(1+D492)/(C492-D492))/(1+C492)^5-'Data Schema'!$C$31+'Data Schema'!$C$21)/'Data Schema'!$B$17,0),"INVALID")</f>
        <v>59.193637871136083</v>
      </c>
      <c r="H492" s="189" t="b">
        <f t="shared" ca="1" si="50"/>
        <v>1</v>
      </c>
      <c r="I492" s="188">
        <f t="shared" ca="1" si="51"/>
        <v>59.193637871136083</v>
      </c>
      <c r="J492" s="349">
        <f t="shared" ca="1" si="44"/>
        <v>59.193637871136083</v>
      </c>
    </row>
    <row r="493" spans="1:10">
      <c r="A493" s="187">
        <v>314</v>
      </c>
      <c r="B493" s="190">
        <f t="shared" ca="1" si="45"/>
        <v>9.7765596098574617E-2</v>
      </c>
      <c r="C493" s="190">
        <f t="shared" ca="1" si="46"/>
        <v>7.0708563626488349E-2</v>
      </c>
      <c r="D493" s="190">
        <f t="shared" ca="1" si="47"/>
        <v>2.4554437446011365E-2</v>
      </c>
      <c r="E493" s="190">
        <f t="shared" ca="1" si="48"/>
        <v>-1.2891587270795096E-2</v>
      </c>
      <c r="F493" s="189" t="b">
        <f t="shared" ca="1" si="49"/>
        <v>1</v>
      </c>
      <c r="G493" s="188">
        <f ca="1">IF(F493,IFERROR(((('Data Schema'!$C$3*(1+B493)^1)*((1-$I$4-$I$5+E493)*(1-$I$10)+$I$6-$I$11)-('Data Schema'!$C$3*(1+B493)^1-'Data Schema'!$C$3)*$I$12)/(1+C493)^1+(('Data Schema'!$C$3*(1+B493)^2)*((1-$I$4-$I$5+E493)*(1-$I$10)+$I$6-$I$11)-('Data Schema'!$C$3*(1+B493)^2-'Data Schema'!$C$3*(1+B493)^1)*$I$12)/(1+C493)^2+(('Data Schema'!$C$3*(1+B493)^3)*((1-$I$4-$I$5+E493)*(1-$I$10)+$I$6-$I$11)-('Data Schema'!$C$3*(1+B493)^3-'Data Schema'!$C$3*(1+B493)^2)*$I$12)/(1+C493)^3+(('Data Schema'!$C$3*(1+B493)^4)*((1-$I$4-$I$5+E493)*(1-$I$10)+$I$6-$I$11)-('Data Schema'!$C$3*(1+B493)^4-'Data Schema'!$C$3*(1+B493)^3)*$I$12)/(1+C493)^4+(('Data Schema'!$C$3*(1+B493)^5)*((1-$I$4-$I$5+E493)*(1-$I$10)+$I$6-$I$11)-('Data Schema'!$C$3*(1+B493)^5-'Data Schema'!$C$3*(1+B493)^4)*$I$12)/(1+C493)^5+((('Data Schema'!$C$3*(1+B493)^5)*((1-$I$4-$I$5+E493)*(1-$I$10)+$I$6-$I$11)-('Data Schema'!$C$3*(1+B493)^5-'Data Schema'!$C$3*(1+B493)^4)*$I$12)*(1+D493)/(C493-D493))/(1+C493)^5-'Data Schema'!$C$31+'Data Schema'!$C$21)/'Data Schema'!$B$17,0),"INVALID")</f>
        <v>35.872352995971056</v>
      </c>
      <c r="H493" s="189" t="b">
        <f t="shared" ca="1" si="50"/>
        <v>1</v>
      </c>
      <c r="I493" s="188">
        <f t="shared" ca="1" si="51"/>
        <v>35.872352995971056</v>
      </c>
      <c r="J493" s="349">
        <f t="shared" ca="1" si="44"/>
        <v>35.872352995971056</v>
      </c>
    </row>
    <row r="494" spans="1:10">
      <c r="A494" s="191">
        <v>315</v>
      </c>
      <c r="B494" s="190">
        <f t="shared" ca="1" si="45"/>
        <v>8.5532617250637391E-2</v>
      </c>
      <c r="C494" s="190">
        <f t="shared" ca="1" si="46"/>
        <v>6.9387251461423521E-2</v>
      </c>
      <c r="D494" s="190">
        <f t="shared" ca="1" si="47"/>
        <v>2.7343280054178531E-2</v>
      </c>
      <c r="E494" s="190">
        <f t="shared" ca="1" si="48"/>
        <v>7.1930681066099816E-3</v>
      </c>
      <c r="F494" s="189" t="b">
        <f t="shared" ca="1" si="49"/>
        <v>1</v>
      </c>
      <c r="G494" s="188">
        <f ca="1">IF(F494,IFERROR(((('Data Schema'!$C$3*(1+B494)^1)*((1-$I$4-$I$5+E494)*(1-$I$10)+$I$6-$I$11)-('Data Schema'!$C$3*(1+B494)^1-'Data Schema'!$C$3)*$I$12)/(1+C494)^1+(('Data Schema'!$C$3*(1+B494)^2)*((1-$I$4-$I$5+E494)*(1-$I$10)+$I$6-$I$11)-('Data Schema'!$C$3*(1+B494)^2-'Data Schema'!$C$3*(1+B494)^1)*$I$12)/(1+C494)^2+(('Data Schema'!$C$3*(1+B494)^3)*((1-$I$4-$I$5+E494)*(1-$I$10)+$I$6-$I$11)-('Data Schema'!$C$3*(1+B494)^3-'Data Schema'!$C$3*(1+B494)^2)*$I$12)/(1+C494)^3+(('Data Schema'!$C$3*(1+B494)^4)*((1-$I$4-$I$5+E494)*(1-$I$10)+$I$6-$I$11)-('Data Schema'!$C$3*(1+B494)^4-'Data Schema'!$C$3*(1+B494)^3)*$I$12)/(1+C494)^4+(('Data Schema'!$C$3*(1+B494)^5)*((1-$I$4-$I$5+E494)*(1-$I$10)+$I$6-$I$11)-('Data Schema'!$C$3*(1+B494)^5-'Data Schema'!$C$3*(1+B494)^4)*$I$12)/(1+C494)^5+((('Data Schema'!$C$3*(1+B494)^5)*((1-$I$4-$I$5+E494)*(1-$I$10)+$I$6-$I$11)-('Data Schema'!$C$3*(1+B494)^5-'Data Schema'!$C$3*(1+B494)^4)*$I$12)*(1+D494)/(C494-D494))/(1+C494)^5-'Data Schema'!$C$31+'Data Schema'!$C$21)/'Data Schema'!$B$17,0),"INVALID")</f>
        <v>80.163606481443907</v>
      </c>
      <c r="H494" s="189" t="b">
        <f t="shared" ca="1" si="50"/>
        <v>1</v>
      </c>
      <c r="I494" s="188">
        <f t="shared" ca="1" si="51"/>
        <v>80.163606481443907</v>
      </c>
      <c r="J494" s="349">
        <f t="shared" ca="1" si="44"/>
        <v>80.163606481443907</v>
      </c>
    </row>
    <row r="495" spans="1:10">
      <c r="A495" s="187">
        <v>316</v>
      </c>
      <c r="B495" s="190">
        <f t="shared" ca="1" si="45"/>
        <v>7.5181072592915038E-2</v>
      </c>
      <c r="C495" s="190">
        <f t="shared" ca="1" si="46"/>
        <v>5.6033488558097255E-2</v>
      </c>
      <c r="D495" s="190">
        <f t="shared" ca="1" si="47"/>
        <v>3.5120971280528761E-2</v>
      </c>
      <c r="E495" s="190">
        <f t="shared" ca="1" si="48"/>
        <v>-2.6945923189083242E-2</v>
      </c>
      <c r="F495" s="189" t="b">
        <f t="shared" ca="1" si="49"/>
        <v>1</v>
      </c>
      <c r="G495" s="188">
        <f ca="1">IF(F495,IFERROR(((('Data Schema'!$C$3*(1+B495)^1)*((1-$I$4-$I$5+E495)*(1-$I$10)+$I$6-$I$11)-('Data Schema'!$C$3*(1+B495)^1-'Data Schema'!$C$3)*$I$12)/(1+C495)^1+(('Data Schema'!$C$3*(1+B495)^2)*((1-$I$4-$I$5+E495)*(1-$I$10)+$I$6-$I$11)-('Data Schema'!$C$3*(1+B495)^2-'Data Schema'!$C$3*(1+B495)^1)*$I$12)/(1+C495)^2+(('Data Schema'!$C$3*(1+B495)^3)*((1-$I$4-$I$5+E495)*(1-$I$10)+$I$6-$I$11)-('Data Schema'!$C$3*(1+B495)^3-'Data Schema'!$C$3*(1+B495)^2)*$I$12)/(1+C495)^3+(('Data Schema'!$C$3*(1+B495)^4)*((1-$I$4-$I$5+E495)*(1-$I$10)+$I$6-$I$11)-('Data Schema'!$C$3*(1+B495)^4-'Data Schema'!$C$3*(1+B495)^3)*$I$12)/(1+C495)^4+(('Data Schema'!$C$3*(1+B495)^5)*((1-$I$4-$I$5+E495)*(1-$I$10)+$I$6-$I$11)-('Data Schema'!$C$3*(1+B495)^5-'Data Schema'!$C$3*(1+B495)^4)*$I$12)/(1+C495)^5+((('Data Schema'!$C$3*(1+B495)^5)*((1-$I$4-$I$5+E495)*(1-$I$10)+$I$6-$I$11)-('Data Schema'!$C$3*(1+B495)^5-'Data Schema'!$C$3*(1+B495)^4)*$I$12)*(1+D495)/(C495-D495))/(1+C495)^5-'Data Schema'!$C$31+'Data Schema'!$C$21)/'Data Schema'!$B$17,0),"INVALID")</f>
        <v>22.782242871448034</v>
      </c>
      <c r="H495" s="189" t="b">
        <f t="shared" ca="1" si="50"/>
        <v>1</v>
      </c>
      <c r="I495" s="188">
        <f t="shared" ca="1" si="51"/>
        <v>22.782242871448034</v>
      </c>
      <c r="J495" s="349" t="str">
        <f t="shared" ca="1" si="44"/>
        <v/>
      </c>
    </row>
    <row r="496" spans="1:10">
      <c r="A496" s="185">
        <v>317</v>
      </c>
      <c r="B496" s="190">
        <f t="shared" ca="1" si="45"/>
        <v>0.10818748855101561</v>
      </c>
      <c r="C496" s="190">
        <f t="shared" ca="1" si="46"/>
        <v>5.547755496630289E-2</v>
      </c>
      <c r="D496" s="190">
        <f t="shared" ca="1" si="47"/>
        <v>2.6669601393275507E-2</v>
      </c>
      <c r="E496" s="190">
        <f t="shared" ca="1" si="48"/>
        <v>-1.0738315346641457E-2</v>
      </c>
      <c r="F496" s="189" t="b">
        <f t="shared" ca="1" si="49"/>
        <v>1</v>
      </c>
      <c r="G496" s="188">
        <f ca="1">IF(F496,IFERROR(((('Data Schema'!$C$3*(1+B496)^1)*((1-$I$4-$I$5+E496)*(1-$I$10)+$I$6-$I$11)-('Data Schema'!$C$3*(1+B496)^1-'Data Schema'!$C$3)*$I$12)/(1+C496)^1+(('Data Schema'!$C$3*(1+B496)^2)*((1-$I$4-$I$5+E496)*(1-$I$10)+$I$6-$I$11)-('Data Schema'!$C$3*(1+B496)^2-'Data Schema'!$C$3*(1+B496)^1)*$I$12)/(1+C496)^2+(('Data Schema'!$C$3*(1+B496)^3)*((1-$I$4-$I$5+E496)*(1-$I$10)+$I$6-$I$11)-('Data Schema'!$C$3*(1+B496)^3-'Data Schema'!$C$3*(1+B496)^2)*$I$12)/(1+C496)^3+(('Data Schema'!$C$3*(1+B496)^4)*((1-$I$4-$I$5+E496)*(1-$I$10)+$I$6-$I$11)-('Data Schema'!$C$3*(1+B496)^4-'Data Schema'!$C$3*(1+B496)^3)*$I$12)/(1+C496)^4+(('Data Schema'!$C$3*(1+B496)^5)*((1-$I$4-$I$5+E496)*(1-$I$10)+$I$6-$I$11)-('Data Schema'!$C$3*(1+B496)^5-'Data Schema'!$C$3*(1+B496)^4)*$I$12)/(1+C496)^5+((('Data Schema'!$C$3*(1+B496)^5)*((1-$I$4-$I$5+E496)*(1-$I$10)+$I$6-$I$11)-('Data Schema'!$C$3*(1+B496)^5-'Data Schema'!$C$3*(1+B496)^4)*$I$12)*(1+D496)/(C496-D496))/(1+C496)^5-'Data Schema'!$C$31+'Data Schema'!$C$21)/'Data Schema'!$B$17,0),"INVALID")</f>
        <v>71.573138791269599</v>
      </c>
      <c r="H496" s="189" t="b">
        <f t="shared" ca="1" si="50"/>
        <v>1</v>
      </c>
      <c r="I496" s="188">
        <f t="shared" ca="1" si="51"/>
        <v>71.573138791269599</v>
      </c>
      <c r="J496" s="349">
        <f t="shared" ca="1" si="44"/>
        <v>71.573138791269599</v>
      </c>
    </row>
    <row r="497" spans="1:10">
      <c r="A497" s="184">
        <v>318</v>
      </c>
      <c r="B497" s="190">
        <f t="shared" ca="1" si="45"/>
        <v>7.9189708507323181E-2</v>
      </c>
      <c r="C497" s="190">
        <f t="shared" ca="1" si="46"/>
        <v>5.8758820248520159E-2</v>
      </c>
      <c r="D497" s="190">
        <f t="shared" ca="1" si="47"/>
        <v>2.3413285778089682E-2</v>
      </c>
      <c r="E497" s="190">
        <f t="shared" ca="1" si="48"/>
        <v>-4.4078443148959451E-2</v>
      </c>
      <c r="F497" s="189" t="b">
        <f t="shared" ca="1" si="49"/>
        <v>1</v>
      </c>
      <c r="G497" s="188">
        <f ca="1">IF(F497,IFERROR(((('Data Schema'!$C$3*(1+B497)^1)*((1-$I$4-$I$5+E497)*(1-$I$10)+$I$6-$I$11)-('Data Schema'!$C$3*(1+B497)^1-'Data Schema'!$C$3)*$I$12)/(1+C497)^1+(('Data Schema'!$C$3*(1+B497)^2)*((1-$I$4-$I$5+E497)*(1-$I$10)+$I$6-$I$11)-('Data Schema'!$C$3*(1+B497)^2-'Data Schema'!$C$3*(1+B497)^1)*$I$12)/(1+C497)^2+(('Data Schema'!$C$3*(1+B497)^3)*((1-$I$4-$I$5+E497)*(1-$I$10)+$I$6-$I$11)-('Data Schema'!$C$3*(1+B497)^3-'Data Schema'!$C$3*(1+B497)^2)*$I$12)/(1+C497)^3+(('Data Schema'!$C$3*(1+B497)^4)*((1-$I$4-$I$5+E497)*(1-$I$10)+$I$6-$I$11)-('Data Schema'!$C$3*(1+B497)^4-'Data Schema'!$C$3*(1+B497)^3)*$I$12)/(1+C497)^4+(('Data Schema'!$C$3*(1+B497)^5)*((1-$I$4-$I$5+E497)*(1-$I$10)+$I$6-$I$11)-('Data Schema'!$C$3*(1+B497)^5-'Data Schema'!$C$3*(1+B497)^4)*$I$12)/(1+C497)^5+((('Data Schema'!$C$3*(1+B497)^5)*((1-$I$4-$I$5+E497)*(1-$I$10)+$I$6-$I$11)-('Data Schema'!$C$3*(1+B497)^5-'Data Schema'!$C$3*(1+B497)^4)*$I$12)*(1+D497)/(C497-D497))/(1+C497)^5-'Data Schema'!$C$31+'Data Schema'!$C$21)/'Data Schema'!$B$17,0),"INVALID")</f>
        <v>-31.061569232181856</v>
      </c>
      <c r="H497" s="189" t="b">
        <f t="shared" ca="1" si="50"/>
        <v>0</v>
      </c>
      <c r="I497" s="188" t="str">
        <f t="shared" ca="1" si="51"/>
        <v/>
      </c>
      <c r="J497" s="349" t="str">
        <f t="shared" ca="1" si="44"/>
        <v/>
      </c>
    </row>
    <row r="498" spans="1:10">
      <c r="A498" s="185">
        <v>319</v>
      </c>
      <c r="B498" s="190">
        <f t="shared" ca="1" si="45"/>
        <v>0.11708136823607529</v>
      </c>
      <c r="C498" s="190">
        <f t="shared" ca="1" si="46"/>
        <v>8.1757973306571946E-2</v>
      </c>
      <c r="D498" s="190">
        <f t="shared" ca="1" si="47"/>
        <v>2.4521383099785372E-2</v>
      </c>
      <c r="E498" s="190">
        <f t="shared" ca="1" si="48"/>
        <v>-8.5157681438431474E-3</v>
      </c>
      <c r="F498" s="189" t="b">
        <f t="shared" ca="1" si="49"/>
        <v>1</v>
      </c>
      <c r="G498" s="188">
        <f ca="1">IF(F498,IFERROR(((('Data Schema'!$C$3*(1+B498)^1)*((1-$I$4-$I$5+E498)*(1-$I$10)+$I$6-$I$11)-('Data Schema'!$C$3*(1+B498)^1-'Data Schema'!$C$3)*$I$12)/(1+C498)^1+(('Data Schema'!$C$3*(1+B498)^2)*((1-$I$4-$I$5+E498)*(1-$I$10)+$I$6-$I$11)-('Data Schema'!$C$3*(1+B498)^2-'Data Schema'!$C$3*(1+B498)^1)*$I$12)/(1+C498)^2+(('Data Schema'!$C$3*(1+B498)^3)*((1-$I$4-$I$5+E498)*(1-$I$10)+$I$6-$I$11)-('Data Schema'!$C$3*(1+B498)^3-'Data Schema'!$C$3*(1+B498)^2)*$I$12)/(1+C498)^3+(('Data Schema'!$C$3*(1+B498)^4)*((1-$I$4-$I$5+E498)*(1-$I$10)+$I$6-$I$11)-('Data Schema'!$C$3*(1+B498)^4-'Data Schema'!$C$3*(1+B498)^3)*$I$12)/(1+C498)^4+(('Data Schema'!$C$3*(1+B498)^5)*((1-$I$4-$I$5+E498)*(1-$I$10)+$I$6-$I$11)-('Data Schema'!$C$3*(1+B498)^5-'Data Schema'!$C$3*(1+B498)^4)*$I$12)/(1+C498)^5+((('Data Schema'!$C$3*(1+B498)^5)*((1-$I$4-$I$5+E498)*(1-$I$10)+$I$6-$I$11)-('Data Schema'!$C$3*(1+B498)^5-'Data Schema'!$C$3*(1+B498)^4)*$I$12)*(1+D498)/(C498-D498))/(1+C498)^5-'Data Schema'!$C$31+'Data Schema'!$C$21)/'Data Schema'!$B$17,0),"INVALID")</f>
        <v>37.237800851606231</v>
      </c>
      <c r="H498" s="189" t="b">
        <f t="shared" ca="1" si="50"/>
        <v>1</v>
      </c>
      <c r="I498" s="188">
        <f t="shared" ca="1" si="51"/>
        <v>37.237800851606231</v>
      </c>
      <c r="J498" s="349">
        <f t="shared" ca="1" si="44"/>
        <v>37.237800851606231</v>
      </c>
    </row>
    <row r="499" spans="1:10">
      <c r="A499" s="184">
        <v>320</v>
      </c>
      <c r="B499" s="190">
        <f t="shared" ca="1" si="45"/>
        <v>7.9570008651005039E-2</v>
      </c>
      <c r="C499" s="190">
        <f t="shared" ca="1" si="46"/>
        <v>4.579433442278498E-2</v>
      </c>
      <c r="D499" s="190">
        <f t="shared" ca="1" si="47"/>
        <v>1.8517464453274669E-2</v>
      </c>
      <c r="E499" s="190">
        <f t="shared" ca="1" si="48"/>
        <v>7.6492807488521188E-3</v>
      </c>
      <c r="F499" s="189" t="b">
        <f t="shared" ca="1" si="49"/>
        <v>1</v>
      </c>
      <c r="G499" s="188">
        <f ca="1">IF(F499,IFERROR(((('Data Schema'!$C$3*(1+B499)^1)*((1-$I$4-$I$5+E499)*(1-$I$10)+$I$6-$I$11)-('Data Schema'!$C$3*(1+B499)^1-'Data Schema'!$C$3)*$I$12)/(1+C499)^1+(('Data Schema'!$C$3*(1+B499)^2)*((1-$I$4-$I$5+E499)*(1-$I$10)+$I$6-$I$11)-('Data Schema'!$C$3*(1+B499)^2-'Data Schema'!$C$3*(1+B499)^1)*$I$12)/(1+C499)^2+(('Data Schema'!$C$3*(1+B499)^3)*((1-$I$4-$I$5+E499)*(1-$I$10)+$I$6-$I$11)-('Data Schema'!$C$3*(1+B499)^3-'Data Schema'!$C$3*(1+B499)^2)*$I$12)/(1+C499)^3+(('Data Schema'!$C$3*(1+B499)^4)*((1-$I$4-$I$5+E499)*(1-$I$10)+$I$6-$I$11)-('Data Schema'!$C$3*(1+B499)^4-'Data Schema'!$C$3*(1+B499)^3)*$I$12)/(1+C499)^4+(('Data Schema'!$C$3*(1+B499)^5)*((1-$I$4-$I$5+E499)*(1-$I$10)+$I$6-$I$11)-('Data Schema'!$C$3*(1+B499)^5-'Data Schema'!$C$3*(1+B499)^4)*$I$12)/(1+C499)^5+((('Data Schema'!$C$3*(1+B499)^5)*((1-$I$4-$I$5+E499)*(1-$I$10)+$I$6-$I$11)-('Data Schema'!$C$3*(1+B499)^5-'Data Schema'!$C$3*(1+B499)^4)*$I$12)*(1+D499)/(C499-D499))/(1+C499)^5-'Data Schema'!$C$31+'Data Schema'!$C$21)/'Data Schema'!$B$17,0),"INVALID")</f>
        <v>131.02623802416443</v>
      </c>
      <c r="H499" s="189" t="b">
        <f t="shared" ca="1" si="50"/>
        <v>1</v>
      </c>
      <c r="I499" s="188">
        <f t="shared" ca="1" si="51"/>
        <v>131.02623802416443</v>
      </c>
      <c r="J499" s="349">
        <f t="shared" ca="1" si="44"/>
        <v>131.02623802416443</v>
      </c>
    </row>
    <row r="500" spans="1:10">
      <c r="A500" s="185">
        <v>321</v>
      </c>
      <c r="B500" s="190">
        <f t="shared" ca="1" si="45"/>
        <v>0.12875637157656261</v>
      </c>
      <c r="C500" s="190">
        <f t="shared" ca="1" si="46"/>
        <v>6.64439586136545E-2</v>
      </c>
      <c r="D500" s="190">
        <f t="shared" ca="1" si="47"/>
        <v>2.191218039886909E-2</v>
      </c>
      <c r="E500" s="190">
        <f t="shared" ca="1" si="48"/>
        <v>4.3505863017187278E-2</v>
      </c>
      <c r="F500" s="189" t="b">
        <f t="shared" ca="1" si="49"/>
        <v>1</v>
      </c>
      <c r="G500" s="188">
        <f ca="1">IF(F500,IFERROR(((('Data Schema'!$C$3*(1+B500)^1)*((1-$I$4-$I$5+E500)*(1-$I$10)+$I$6-$I$11)-('Data Schema'!$C$3*(1+B500)^1-'Data Schema'!$C$3)*$I$12)/(1+C500)^1+(('Data Schema'!$C$3*(1+B500)^2)*((1-$I$4-$I$5+E500)*(1-$I$10)+$I$6-$I$11)-('Data Schema'!$C$3*(1+B500)^2-'Data Schema'!$C$3*(1+B500)^1)*$I$12)/(1+C500)^2+(('Data Schema'!$C$3*(1+B500)^3)*((1-$I$4-$I$5+E500)*(1-$I$10)+$I$6-$I$11)-('Data Schema'!$C$3*(1+B500)^3-'Data Schema'!$C$3*(1+B500)^2)*$I$12)/(1+C500)^3+(('Data Schema'!$C$3*(1+B500)^4)*((1-$I$4-$I$5+E500)*(1-$I$10)+$I$6-$I$11)-('Data Schema'!$C$3*(1+B500)^4-'Data Schema'!$C$3*(1+B500)^3)*$I$12)/(1+C500)^4+(('Data Schema'!$C$3*(1+B500)^5)*((1-$I$4-$I$5+E500)*(1-$I$10)+$I$6-$I$11)-('Data Schema'!$C$3*(1+B500)^5-'Data Schema'!$C$3*(1+B500)^4)*$I$12)/(1+C500)^5+((('Data Schema'!$C$3*(1+B500)^5)*((1-$I$4-$I$5+E500)*(1-$I$10)+$I$6-$I$11)-('Data Schema'!$C$3*(1+B500)^5-'Data Schema'!$C$3*(1+B500)^4)*$I$12)*(1+D500)/(C500-D500))/(1+C500)^5-'Data Schema'!$C$31+'Data Schema'!$C$21)/'Data Schema'!$B$17,0),"INVALID")</f>
        <v>179.51657908945748</v>
      </c>
      <c r="H500" s="189" t="b">
        <f t="shared" ca="1" si="50"/>
        <v>1</v>
      </c>
      <c r="I500" s="188">
        <f t="shared" ca="1" si="51"/>
        <v>179.51657908945748</v>
      </c>
      <c r="J500" s="349">
        <f t="shared" ref="J500:J563" ca="1" si="52">IF(AND(F500=TRUE,H500=TRUE,ISNUMBER(G500),G500&gt;=$B$153,G500&lt;=$B$154),G500,"")</f>
        <v>179.51657908945748</v>
      </c>
    </row>
    <row r="501" spans="1:10">
      <c r="A501" s="184">
        <v>322</v>
      </c>
      <c r="B501" s="190">
        <f t="shared" ref="B501:B564" ca="1" si="53">MAX($D$139,MIN($E$139,NORMINV(RAND(),$B$139,$C$139)))</f>
        <v>8.3722474058547491E-2</v>
      </c>
      <c r="C501" s="190">
        <f t="shared" ref="C501:C564" ca="1" si="54">MAX($D$140,MIN($E$140,NORMINV(RAND(),$B$140,$C$140)))</f>
        <v>7.3930526024258494E-2</v>
      </c>
      <c r="D501" s="190">
        <f t="shared" ref="D501:D564" ca="1" si="55">MAX($D$141,MIN($E$141,NORMINV(RAND(),$B$141,$C$141)))</f>
        <v>3.0905076486078775E-2</v>
      </c>
      <c r="E501" s="190">
        <f t="shared" ref="E501:E564" ca="1" si="56">MAX($D$142,MIN($E$142,NORMINV(RAND(),$B$142,$C$142)))</f>
        <v>-1.0900509758743286E-2</v>
      </c>
      <c r="F501" s="189" t="b">
        <f t="shared" ref="F501:F564" ca="1" si="57">C501&gt;D501+$B$144</f>
        <v>1</v>
      </c>
      <c r="G501" s="188">
        <f ca="1">IF(F501,IFERROR(((('Data Schema'!$C$3*(1+B501)^1)*((1-$I$4-$I$5+E501)*(1-$I$10)+$I$6-$I$11)-('Data Schema'!$C$3*(1+B501)^1-'Data Schema'!$C$3)*$I$12)/(1+C501)^1+(('Data Schema'!$C$3*(1+B501)^2)*((1-$I$4-$I$5+E501)*(1-$I$10)+$I$6-$I$11)-('Data Schema'!$C$3*(1+B501)^2-'Data Schema'!$C$3*(1+B501)^1)*$I$12)/(1+C501)^2+(('Data Schema'!$C$3*(1+B501)^3)*((1-$I$4-$I$5+E501)*(1-$I$10)+$I$6-$I$11)-('Data Schema'!$C$3*(1+B501)^3-'Data Schema'!$C$3*(1+B501)^2)*$I$12)/(1+C501)^3+(('Data Schema'!$C$3*(1+B501)^4)*((1-$I$4-$I$5+E501)*(1-$I$10)+$I$6-$I$11)-('Data Schema'!$C$3*(1+B501)^4-'Data Schema'!$C$3*(1+B501)^3)*$I$12)/(1+C501)^4+(('Data Schema'!$C$3*(1+B501)^5)*((1-$I$4-$I$5+E501)*(1-$I$10)+$I$6-$I$11)-('Data Schema'!$C$3*(1+B501)^5-'Data Schema'!$C$3*(1+B501)^4)*$I$12)/(1+C501)^5+((('Data Schema'!$C$3*(1+B501)^5)*((1-$I$4-$I$5+E501)*(1-$I$10)+$I$6-$I$11)-('Data Schema'!$C$3*(1+B501)^5-'Data Schema'!$C$3*(1+B501)^4)*$I$12)*(1+D501)/(C501-D501))/(1+C501)^5-'Data Schema'!$C$31+'Data Schema'!$C$21)/'Data Schema'!$B$17,0),"INVALID")</f>
        <v>40.054231434902029</v>
      </c>
      <c r="H501" s="189" t="b">
        <f t="shared" ref="H501:H564" ca="1" si="58">AND(ISNUMBER(G501),G501&gt;$F$29*$B$145,G501&lt;$F$29*$B$146)</f>
        <v>1</v>
      </c>
      <c r="I501" s="188">
        <f t="shared" ref="I501:I564" ca="1" si="59">IF(AND(F501=TRUE,H501=TRUE),G501,"")</f>
        <v>40.054231434902029</v>
      </c>
      <c r="J501" s="349">
        <f t="shared" ca="1" si="52"/>
        <v>40.054231434902029</v>
      </c>
    </row>
    <row r="502" spans="1:10">
      <c r="A502" s="185">
        <v>323</v>
      </c>
      <c r="B502" s="190">
        <f t="shared" ca="1" si="53"/>
        <v>7.7204988275987582E-2</v>
      </c>
      <c r="C502" s="190">
        <f t="shared" ca="1" si="54"/>
        <v>7.0222364965717071E-2</v>
      </c>
      <c r="D502" s="190">
        <f t="shared" ca="1" si="55"/>
        <v>2.9535908175033036E-2</v>
      </c>
      <c r="E502" s="190">
        <f t="shared" ca="1" si="56"/>
        <v>-4.2438768860343375E-2</v>
      </c>
      <c r="F502" s="189" t="b">
        <f t="shared" ca="1" si="57"/>
        <v>1</v>
      </c>
      <c r="G502" s="188">
        <f ca="1">IF(F502,IFERROR(((('Data Schema'!$C$3*(1+B502)^1)*((1-$I$4-$I$5+E502)*(1-$I$10)+$I$6-$I$11)-('Data Schema'!$C$3*(1+B502)^1-'Data Schema'!$C$3)*$I$12)/(1+C502)^1+(('Data Schema'!$C$3*(1+B502)^2)*((1-$I$4-$I$5+E502)*(1-$I$10)+$I$6-$I$11)-('Data Schema'!$C$3*(1+B502)^2-'Data Schema'!$C$3*(1+B502)^1)*$I$12)/(1+C502)^2+(('Data Schema'!$C$3*(1+B502)^3)*((1-$I$4-$I$5+E502)*(1-$I$10)+$I$6-$I$11)-('Data Schema'!$C$3*(1+B502)^3-'Data Schema'!$C$3*(1+B502)^2)*$I$12)/(1+C502)^3+(('Data Schema'!$C$3*(1+B502)^4)*((1-$I$4-$I$5+E502)*(1-$I$10)+$I$6-$I$11)-('Data Schema'!$C$3*(1+B502)^4-'Data Schema'!$C$3*(1+B502)^3)*$I$12)/(1+C502)^4+(('Data Schema'!$C$3*(1+B502)^5)*((1-$I$4-$I$5+E502)*(1-$I$10)+$I$6-$I$11)-('Data Schema'!$C$3*(1+B502)^5-'Data Schema'!$C$3*(1+B502)^4)*$I$12)/(1+C502)^5+((('Data Schema'!$C$3*(1+B502)^5)*((1-$I$4-$I$5+E502)*(1-$I$10)+$I$6-$I$11)-('Data Schema'!$C$3*(1+B502)^5-'Data Schema'!$C$3*(1+B502)^4)*$I$12)*(1+D502)/(C502-D502))/(1+C502)^5-'Data Schema'!$C$31+'Data Schema'!$C$21)/'Data Schema'!$B$17,0),"INVALID")</f>
        <v>-23.724565061347647</v>
      </c>
      <c r="H502" s="189" t="b">
        <f t="shared" ca="1" si="58"/>
        <v>0</v>
      </c>
      <c r="I502" s="188" t="str">
        <f t="shared" ca="1" si="59"/>
        <v/>
      </c>
      <c r="J502" s="349" t="str">
        <f t="shared" ca="1" si="52"/>
        <v/>
      </c>
    </row>
    <row r="503" spans="1:10">
      <c r="A503" s="184">
        <v>324</v>
      </c>
      <c r="B503" s="190">
        <f t="shared" ca="1" si="53"/>
        <v>9.5766581789091101E-2</v>
      </c>
      <c r="C503" s="190">
        <f t="shared" ca="1" si="54"/>
        <v>6.9899258298276382E-2</v>
      </c>
      <c r="D503" s="190">
        <f t="shared" ca="1" si="55"/>
        <v>3.0998161384835323E-2</v>
      </c>
      <c r="E503" s="190">
        <f t="shared" ca="1" si="56"/>
        <v>3.2691591990956864E-2</v>
      </c>
      <c r="F503" s="189" t="b">
        <f t="shared" ca="1" si="57"/>
        <v>1</v>
      </c>
      <c r="G503" s="188">
        <f ca="1">IF(F503,IFERROR(((('Data Schema'!$C$3*(1+B503)^1)*((1-$I$4-$I$5+E503)*(1-$I$10)+$I$6-$I$11)-('Data Schema'!$C$3*(1+B503)^1-'Data Schema'!$C$3)*$I$12)/(1+C503)^1+(('Data Schema'!$C$3*(1+B503)^2)*((1-$I$4-$I$5+E503)*(1-$I$10)+$I$6-$I$11)-('Data Schema'!$C$3*(1+B503)^2-'Data Schema'!$C$3*(1+B503)^1)*$I$12)/(1+C503)^2+(('Data Schema'!$C$3*(1+B503)^3)*((1-$I$4-$I$5+E503)*(1-$I$10)+$I$6-$I$11)-('Data Schema'!$C$3*(1+B503)^3-'Data Schema'!$C$3*(1+B503)^2)*$I$12)/(1+C503)^3+(('Data Schema'!$C$3*(1+B503)^4)*((1-$I$4-$I$5+E503)*(1-$I$10)+$I$6-$I$11)-('Data Schema'!$C$3*(1+B503)^4-'Data Schema'!$C$3*(1+B503)^3)*$I$12)/(1+C503)^4+(('Data Schema'!$C$3*(1+B503)^5)*((1-$I$4-$I$5+E503)*(1-$I$10)+$I$6-$I$11)-('Data Schema'!$C$3*(1+B503)^5-'Data Schema'!$C$3*(1+B503)^4)*$I$12)/(1+C503)^5+((('Data Schema'!$C$3*(1+B503)^5)*((1-$I$4-$I$5+E503)*(1-$I$10)+$I$6-$I$11)-('Data Schema'!$C$3*(1+B503)^5-'Data Schema'!$C$3*(1+B503)^4)*$I$12)*(1+D503)/(C503-D503))/(1+C503)^5-'Data Schema'!$C$31+'Data Schema'!$C$21)/'Data Schema'!$B$17,0),"INVALID")</f>
        <v>149.68265672448331</v>
      </c>
      <c r="H503" s="189" t="b">
        <f t="shared" ca="1" si="58"/>
        <v>1</v>
      </c>
      <c r="I503" s="188">
        <f t="shared" ca="1" si="59"/>
        <v>149.68265672448331</v>
      </c>
      <c r="J503" s="349">
        <f t="shared" ca="1" si="52"/>
        <v>149.68265672448331</v>
      </c>
    </row>
    <row r="504" spans="1:10">
      <c r="A504" s="185">
        <v>325</v>
      </c>
      <c r="B504" s="190">
        <f t="shared" ca="1" si="53"/>
        <v>0.11321079141529461</v>
      </c>
      <c r="C504" s="190">
        <f t="shared" ca="1" si="54"/>
        <v>4.4602970690962064E-2</v>
      </c>
      <c r="D504" s="190">
        <f t="shared" ca="1" si="55"/>
        <v>2.0532481723502208E-2</v>
      </c>
      <c r="E504" s="190">
        <f t="shared" ca="1" si="56"/>
        <v>-1.4741026188350612E-2</v>
      </c>
      <c r="F504" s="189" t="b">
        <f t="shared" ca="1" si="57"/>
        <v>1</v>
      </c>
      <c r="G504" s="188">
        <f ca="1">IF(F504,IFERROR(((('Data Schema'!$C$3*(1+B504)^1)*((1-$I$4-$I$5+E504)*(1-$I$10)+$I$6-$I$11)-('Data Schema'!$C$3*(1+B504)^1-'Data Schema'!$C$3)*$I$12)/(1+C504)^1+(('Data Schema'!$C$3*(1+B504)^2)*((1-$I$4-$I$5+E504)*(1-$I$10)+$I$6-$I$11)-('Data Schema'!$C$3*(1+B504)^2-'Data Schema'!$C$3*(1+B504)^1)*$I$12)/(1+C504)^2+(('Data Schema'!$C$3*(1+B504)^3)*((1-$I$4-$I$5+E504)*(1-$I$10)+$I$6-$I$11)-('Data Schema'!$C$3*(1+B504)^3-'Data Schema'!$C$3*(1+B504)^2)*$I$12)/(1+C504)^3+(('Data Schema'!$C$3*(1+B504)^4)*((1-$I$4-$I$5+E504)*(1-$I$10)+$I$6-$I$11)-('Data Schema'!$C$3*(1+B504)^4-'Data Schema'!$C$3*(1+B504)^3)*$I$12)/(1+C504)^4+(('Data Schema'!$C$3*(1+B504)^5)*((1-$I$4-$I$5+E504)*(1-$I$10)+$I$6-$I$11)-('Data Schema'!$C$3*(1+B504)^5-'Data Schema'!$C$3*(1+B504)^4)*$I$12)/(1+C504)^5+((('Data Schema'!$C$3*(1+B504)^5)*((1-$I$4-$I$5+E504)*(1-$I$10)+$I$6-$I$11)-('Data Schema'!$C$3*(1+B504)^5-'Data Schema'!$C$3*(1+B504)^4)*$I$12)*(1+D504)/(C504-D504))/(1+C504)^5-'Data Schema'!$C$31+'Data Schema'!$C$21)/'Data Schema'!$B$17,0),"INVALID")</f>
        <v>73.980463930450838</v>
      </c>
      <c r="H504" s="189" t="b">
        <f t="shared" ca="1" si="58"/>
        <v>1</v>
      </c>
      <c r="I504" s="188">
        <f t="shared" ca="1" si="59"/>
        <v>73.980463930450838</v>
      </c>
      <c r="J504" s="349">
        <f t="shared" ca="1" si="52"/>
        <v>73.980463930450838</v>
      </c>
    </row>
    <row r="505" spans="1:10">
      <c r="A505" s="184">
        <v>326</v>
      </c>
      <c r="B505" s="190">
        <f t="shared" ca="1" si="53"/>
        <v>8.2339764374470881E-2</v>
      </c>
      <c r="C505" s="190">
        <f t="shared" ca="1" si="54"/>
        <v>5.1424899134650037E-2</v>
      </c>
      <c r="D505" s="190">
        <f t="shared" ca="1" si="55"/>
        <v>2.8275462660224893E-2</v>
      </c>
      <c r="E505" s="190">
        <f t="shared" ca="1" si="56"/>
        <v>2.2044422391574439E-3</v>
      </c>
      <c r="F505" s="189" t="b">
        <f t="shared" ca="1" si="57"/>
        <v>1</v>
      </c>
      <c r="G505" s="188">
        <f ca="1">IF(F505,IFERROR(((('Data Schema'!$C$3*(1+B505)^1)*((1-$I$4-$I$5+E505)*(1-$I$10)+$I$6-$I$11)-('Data Schema'!$C$3*(1+B505)^1-'Data Schema'!$C$3)*$I$12)/(1+C505)^1+(('Data Schema'!$C$3*(1+B505)^2)*((1-$I$4-$I$5+E505)*(1-$I$10)+$I$6-$I$11)-('Data Schema'!$C$3*(1+B505)^2-'Data Schema'!$C$3*(1+B505)^1)*$I$12)/(1+C505)^2+(('Data Schema'!$C$3*(1+B505)^3)*((1-$I$4-$I$5+E505)*(1-$I$10)+$I$6-$I$11)-('Data Schema'!$C$3*(1+B505)^3-'Data Schema'!$C$3*(1+B505)^2)*$I$12)/(1+C505)^3+(('Data Schema'!$C$3*(1+B505)^4)*((1-$I$4-$I$5+E505)*(1-$I$10)+$I$6-$I$11)-('Data Schema'!$C$3*(1+B505)^4-'Data Schema'!$C$3*(1+B505)^3)*$I$12)/(1+C505)^4+(('Data Schema'!$C$3*(1+B505)^5)*((1-$I$4-$I$5+E505)*(1-$I$10)+$I$6-$I$11)-('Data Schema'!$C$3*(1+B505)^5-'Data Schema'!$C$3*(1+B505)^4)*$I$12)/(1+C505)^5+((('Data Schema'!$C$3*(1+B505)^5)*((1-$I$4-$I$5+E505)*(1-$I$10)+$I$6-$I$11)-('Data Schema'!$C$3*(1+B505)^5-'Data Schema'!$C$3*(1+B505)^4)*$I$12)*(1+D505)/(C505-D505))/(1+C505)^5-'Data Schema'!$C$31+'Data Schema'!$C$21)/'Data Schema'!$B$17,0),"INVALID")</f>
        <v>131.24813787466078</v>
      </c>
      <c r="H505" s="189" t="b">
        <f t="shared" ca="1" si="58"/>
        <v>1</v>
      </c>
      <c r="I505" s="188">
        <f t="shared" ca="1" si="59"/>
        <v>131.24813787466078</v>
      </c>
      <c r="J505" s="349">
        <f t="shared" ca="1" si="52"/>
        <v>131.24813787466078</v>
      </c>
    </row>
    <row r="506" spans="1:10">
      <c r="A506" s="185">
        <v>327</v>
      </c>
      <c r="B506" s="190">
        <f t="shared" ca="1" si="53"/>
        <v>8.1283822945573181E-2</v>
      </c>
      <c r="C506" s="190">
        <f t="shared" ca="1" si="54"/>
        <v>5.8737145317329063E-2</v>
      </c>
      <c r="D506" s="190">
        <f t="shared" ca="1" si="55"/>
        <v>2.5242517605045256E-2</v>
      </c>
      <c r="E506" s="190">
        <f t="shared" ca="1" si="56"/>
        <v>-9.794034613082701E-3</v>
      </c>
      <c r="F506" s="189" t="b">
        <f t="shared" ca="1" si="57"/>
        <v>1</v>
      </c>
      <c r="G506" s="188">
        <f ca="1">IF(F506,IFERROR(((('Data Schema'!$C$3*(1+B506)^1)*((1-$I$4-$I$5+E506)*(1-$I$10)+$I$6-$I$11)-('Data Schema'!$C$3*(1+B506)^1-'Data Schema'!$C$3)*$I$12)/(1+C506)^1+(('Data Schema'!$C$3*(1+B506)^2)*((1-$I$4-$I$5+E506)*(1-$I$10)+$I$6-$I$11)-('Data Schema'!$C$3*(1+B506)^2-'Data Schema'!$C$3*(1+B506)^1)*$I$12)/(1+C506)^2+(('Data Schema'!$C$3*(1+B506)^3)*((1-$I$4-$I$5+E506)*(1-$I$10)+$I$6-$I$11)-('Data Schema'!$C$3*(1+B506)^3-'Data Schema'!$C$3*(1+B506)^2)*$I$12)/(1+C506)^3+(('Data Schema'!$C$3*(1+B506)^4)*((1-$I$4-$I$5+E506)*(1-$I$10)+$I$6-$I$11)-('Data Schema'!$C$3*(1+B506)^4-'Data Schema'!$C$3*(1+B506)^3)*$I$12)/(1+C506)^4+(('Data Schema'!$C$3*(1+B506)^5)*((1-$I$4-$I$5+E506)*(1-$I$10)+$I$6-$I$11)-('Data Schema'!$C$3*(1+B506)^5-'Data Schema'!$C$3*(1+B506)^4)*$I$12)/(1+C506)^5+((('Data Schema'!$C$3*(1+B506)^5)*((1-$I$4-$I$5+E506)*(1-$I$10)+$I$6-$I$11)-('Data Schema'!$C$3*(1+B506)^5-'Data Schema'!$C$3*(1+B506)^4)*$I$12)*(1+D506)/(C506-D506))/(1+C506)^5-'Data Schema'!$C$31+'Data Schema'!$C$21)/'Data Schema'!$B$17,0),"INVALID")</f>
        <v>57.326417581283032</v>
      </c>
      <c r="H506" s="189" t="b">
        <f t="shared" ca="1" si="58"/>
        <v>1</v>
      </c>
      <c r="I506" s="188">
        <f t="shared" ca="1" si="59"/>
        <v>57.326417581283032</v>
      </c>
      <c r="J506" s="349">
        <f t="shared" ca="1" si="52"/>
        <v>57.326417581283032</v>
      </c>
    </row>
    <row r="507" spans="1:10">
      <c r="A507" s="184">
        <v>328</v>
      </c>
      <c r="B507" s="190">
        <f t="shared" ca="1" si="53"/>
        <v>0.11309276437705389</v>
      </c>
      <c r="C507" s="190">
        <f t="shared" ca="1" si="54"/>
        <v>4.5775413017238004E-2</v>
      </c>
      <c r="D507" s="190">
        <f t="shared" ca="1" si="55"/>
        <v>2.6303694432281262E-2</v>
      </c>
      <c r="E507" s="190">
        <f t="shared" ca="1" si="56"/>
        <v>1.7013157252710197E-2</v>
      </c>
      <c r="F507" s="189" t="b">
        <f t="shared" ca="1" si="57"/>
        <v>1</v>
      </c>
      <c r="G507" s="188">
        <f ca="1">IF(F507,IFERROR(((('Data Schema'!$C$3*(1+B507)^1)*((1-$I$4-$I$5+E507)*(1-$I$10)+$I$6-$I$11)-('Data Schema'!$C$3*(1+B507)^1-'Data Schema'!$C$3)*$I$12)/(1+C507)^1+(('Data Schema'!$C$3*(1+B507)^2)*((1-$I$4-$I$5+E507)*(1-$I$10)+$I$6-$I$11)-('Data Schema'!$C$3*(1+B507)^2-'Data Schema'!$C$3*(1+B507)^1)*$I$12)/(1+C507)^2+(('Data Schema'!$C$3*(1+B507)^3)*((1-$I$4-$I$5+E507)*(1-$I$10)+$I$6-$I$11)-('Data Schema'!$C$3*(1+B507)^3-'Data Schema'!$C$3*(1+B507)^2)*$I$12)/(1+C507)^3+(('Data Schema'!$C$3*(1+B507)^4)*((1-$I$4-$I$5+E507)*(1-$I$10)+$I$6-$I$11)-('Data Schema'!$C$3*(1+B507)^4-'Data Schema'!$C$3*(1+B507)^3)*$I$12)/(1+C507)^4+(('Data Schema'!$C$3*(1+B507)^5)*((1-$I$4-$I$5+E507)*(1-$I$10)+$I$6-$I$11)-('Data Schema'!$C$3*(1+B507)^5-'Data Schema'!$C$3*(1+B507)^4)*$I$12)/(1+C507)^5+((('Data Schema'!$C$3*(1+B507)^5)*((1-$I$4-$I$5+E507)*(1-$I$10)+$I$6-$I$11)-('Data Schema'!$C$3*(1+B507)^5-'Data Schema'!$C$3*(1+B507)^4)*$I$12)*(1+D507)/(C507-D507))/(1+C507)^5-'Data Schema'!$C$31+'Data Schema'!$C$21)/'Data Schema'!$B$17,0),"INVALID")</f>
        <v>256.50129312567714</v>
      </c>
      <c r="H507" s="189" t="b">
        <f t="shared" ca="1" si="58"/>
        <v>1</v>
      </c>
      <c r="I507" s="188">
        <f t="shared" ca="1" si="59"/>
        <v>256.50129312567714</v>
      </c>
      <c r="J507" s="349" t="str">
        <f t="shared" ca="1" si="52"/>
        <v/>
      </c>
    </row>
    <row r="508" spans="1:10">
      <c r="A508" s="185">
        <v>329</v>
      </c>
      <c r="B508" s="190">
        <f t="shared" ca="1" si="53"/>
        <v>9.2434805288407473E-2</v>
      </c>
      <c r="C508" s="190">
        <f t="shared" ca="1" si="54"/>
        <v>5.3223707830768824E-2</v>
      </c>
      <c r="D508" s="190">
        <f t="shared" ca="1" si="55"/>
        <v>1.893851089820927E-2</v>
      </c>
      <c r="E508" s="190">
        <f t="shared" ca="1" si="56"/>
        <v>-9.5496494653537142E-3</v>
      </c>
      <c r="F508" s="189" t="b">
        <f t="shared" ca="1" si="57"/>
        <v>1</v>
      </c>
      <c r="G508" s="188">
        <f ca="1">IF(F508,IFERROR(((('Data Schema'!$C$3*(1+B508)^1)*((1-$I$4-$I$5+E508)*(1-$I$10)+$I$6-$I$11)-('Data Schema'!$C$3*(1+B508)^1-'Data Schema'!$C$3)*$I$12)/(1+C508)^1+(('Data Schema'!$C$3*(1+B508)^2)*((1-$I$4-$I$5+E508)*(1-$I$10)+$I$6-$I$11)-('Data Schema'!$C$3*(1+B508)^2-'Data Schema'!$C$3*(1+B508)^1)*$I$12)/(1+C508)^2+(('Data Schema'!$C$3*(1+B508)^3)*((1-$I$4-$I$5+E508)*(1-$I$10)+$I$6-$I$11)-('Data Schema'!$C$3*(1+B508)^3-'Data Schema'!$C$3*(1+B508)^2)*$I$12)/(1+C508)^3+(('Data Schema'!$C$3*(1+B508)^4)*((1-$I$4-$I$5+E508)*(1-$I$10)+$I$6-$I$11)-('Data Schema'!$C$3*(1+B508)^4-'Data Schema'!$C$3*(1+B508)^3)*$I$12)/(1+C508)^4+(('Data Schema'!$C$3*(1+B508)^5)*((1-$I$4-$I$5+E508)*(1-$I$10)+$I$6-$I$11)-('Data Schema'!$C$3*(1+B508)^5-'Data Schema'!$C$3*(1+B508)^4)*$I$12)/(1+C508)^5+((('Data Schema'!$C$3*(1+B508)^5)*((1-$I$4-$I$5+E508)*(1-$I$10)+$I$6-$I$11)-('Data Schema'!$C$3*(1+B508)^5-'Data Schema'!$C$3*(1+B508)^4)*$I$12)*(1+D508)/(C508-D508))/(1+C508)^5-'Data Schema'!$C$31+'Data Schema'!$C$21)/'Data Schema'!$B$17,0),"INVALID")</f>
        <v>60.459081686023168</v>
      </c>
      <c r="H508" s="189" t="b">
        <f t="shared" ca="1" si="58"/>
        <v>1</v>
      </c>
      <c r="I508" s="188">
        <f t="shared" ca="1" si="59"/>
        <v>60.459081686023168</v>
      </c>
      <c r="J508" s="349">
        <f t="shared" ca="1" si="52"/>
        <v>60.459081686023168</v>
      </c>
    </row>
    <row r="509" spans="1:10">
      <c r="A509" s="184">
        <v>330</v>
      </c>
      <c r="B509" s="190">
        <f t="shared" ca="1" si="53"/>
        <v>0.10471090309035896</v>
      </c>
      <c r="C509" s="190">
        <f t="shared" ca="1" si="54"/>
        <v>7.4185051906917543E-2</v>
      </c>
      <c r="D509" s="190">
        <f t="shared" ca="1" si="55"/>
        <v>2.9974514170226424E-2</v>
      </c>
      <c r="E509" s="190">
        <f t="shared" ca="1" si="56"/>
        <v>-1.8489699766105335E-3</v>
      </c>
      <c r="F509" s="189" t="b">
        <f t="shared" ca="1" si="57"/>
        <v>1</v>
      </c>
      <c r="G509" s="188">
        <f ca="1">IF(F509,IFERROR(((('Data Schema'!$C$3*(1+B509)^1)*((1-$I$4-$I$5+E509)*(1-$I$10)+$I$6-$I$11)-('Data Schema'!$C$3*(1+B509)^1-'Data Schema'!$C$3)*$I$12)/(1+C509)^1+(('Data Schema'!$C$3*(1+B509)^2)*((1-$I$4-$I$5+E509)*(1-$I$10)+$I$6-$I$11)-('Data Schema'!$C$3*(1+B509)^2-'Data Schema'!$C$3*(1+B509)^1)*$I$12)/(1+C509)^2+(('Data Schema'!$C$3*(1+B509)^3)*((1-$I$4-$I$5+E509)*(1-$I$10)+$I$6-$I$11)-('Data Schema'!$C$3*(1+B509)^3-'Data Schema'!$C$3*(1+B509)^2)*$I$12)/(1+C509)^3+(('Data Schema'!$C$3*(1+B509)^4)*((1-$I$4-$I$5+E509)*(1-$I$10)+$I$6-$I$11)-('Data Schema'!$C$3*(1+B509)^4-'Data Schema'!$C$3*(1+B509)^3)*$I$12)/(1+C509)^4+(('Data Schema'!$C$3*(1+B509)^5)*((1-$I$4-$I$5+E509)*(1-$I$10)+$I$6-$I$11)-('Data Schema'!$C$3*(1+B509)^5-'Data Schema'!$C$3*(1+B509)^4)*$I$12)/(1+C509)^5+((('Data Schema'!$C$3*(1+B509)^5)*((1-$I$4-$I$5+E509)*(1-$I$10)+$I$6-$I$11)-('Data Schema'!$C$3*(1+B509)^5-'Data Schema'!$C$3*(1+B509)^4)*$I$12)*(1+D509)/(C509-D509))/(1+C509)^5-'Data Schema'!$C$31+'Data Schema'!$C$21)/'Data Schema'!$B$17,0),"INVALID")</f>
        <v>61.675968357065912</v>
      </c>
      <c r="H509" s="189" t="b">
        <f t="shared" ca="1" si="58"/>
        <v>1</v>
      </c>
      <c r="I509" s="188">
        <f t="shared" ca="1" si="59"/>
        <v>61.675968357065912</v>
      </c>
      <c r="J509" s="349">
        <f t="shared" ca="1" si="52"/>
        <v>61.675968357065912</v>
      </c>
    </row>
    <row r="510" spans="1:10">
      <c r="A510" s="185">
        <v>331</v>
      </c>
      <c r="B510" s="190">
        <f t="shared" ca="1" si="53"/>
        <v>0.1059186434192789</v>
      </c>
      <c r="C510" s="190">
        <f t="shared" ca="1" si="54"/>
        <v>7.2172048169557843E-2</v>
      </c>
      <c r="D510" s="190">
        <f t="shared" ca="1" si="55"/>
        <v>2.9427534488359587E-2</v>
      </c>
      <c r="E510" s="190">
        <f t="shared" ca="1" si="56"/>
        <v>-2.1686285883199999E-2</v>
      </c>
      <c r="F510" s="189" t="b">
        <f t="shared" ca="1" si="57"/>
        <v>1</v>
      </c>
      <c r="G510" s="188">
        <f ca="1">IF(F510,IFERROR(((('Data Schema'!$C$3*(1+B510)^1)*((1-$I$4-$I$5+E510)*(1-$I$10)+$I$6-$I$11)-('Data Schema'!$C$3*(1+B510)^1-'Data Schema'!$C$3)*$I$12)/(1+C510)^1+(('Data Schema'!$C$3*(1+B510)^2)*((1-$I$4-$I$5+E510)*(1-$I$10)+$I$6-$I$11)-('Data Schema'!$C$3*(1+B510)^2-'Data Schema'!$C$3*(1+B510)^1)*$I$12)/(1+C510)^2+(('Data Schema'!$C$3*(1+B510)^3)*((1-$I$4-$I$5+E510)*(1-$I$10)+$I$6-$I$11)-('Data Schema'!$C$3*(1+B510)^3-'Data Schema'!$C$3*(1+B510)^2)*$I$12)/(1+C510)^3+(('Data Schema'!$C$3*(1+B510)^4)*((1-$I$4-$I$5+E510)*(1-$I$10)+$I$6-$I$11)-('Data Schema'!$C$3*(1+B510)^4-'Data Schema'!$C$3*(1+B510)^3)*$I$12)/(1+C510)^4+(('Data Schema'!$C$3*(1+B510)^5)*((1-$I$4-$I$5+E510)*(1-$I$10)+$I$6-$I$11)-('Data Schema'!$C$3*(1+B510)^5-'Data Schema'!$C$3*(1+B510)^4)*$I$12)/(1+C510)^5+((('Data Schema'!$C$3*(1+B510)^5)*((1-$I$4-$I$5+E510)*(1-$I$10)+$I$6-$I$11)-('Data Schema'!$C$3*(1+B510)^5-'Data Schema'!$C$3*(1+B510)^4)*$I$12)*(1+D510)/(C510-D510))/(1+C510)^5-'Data Schema'!$C$31+'Data Schema'!$C$21)/'Data Schema'!$B$17,0),"INVALID")</f>
        <v>20.075120303322791</v>
      </c>
      <c r="H510" s="189" t="b">
        <f t="shared" ca="1" si="58"/>
        <v>1</v>
      </c>
      <c r="I510" s="188">
        <f t="shared" ca="1" si="59"/>
        <v>20.075120303322791</v>
      </c>
      <c r="J510" s="349" t="str">
        <f t="shared" ca="1" si="52"/>
        <v/>
      </c>
    </row>
    <row r="511" spans="1:10">
      <c r="A511" s="184">
        <v>332</v>
      </c>
      <c r="B511" s="190">
        <f t="shared" ca="1" si="53"/>
        <v>0.10046005392238606</v>
      </c>
      <c r="C511" s="190">
        <f t="shared" ca="1" si="54"/>
        <v>5.4120905974884531E-2</v>
      </c>
      <c r="D511" s="190">
        <f t="shared" ca="1" si="55"/>
        <v>3.0306084695652113E-2</v>
      </c>
      <c r="E511" s="190">
        <f t="shared" ca="1" si="56"/>
        <v>1.9337990261565189E-2</v>
      </c>
      <c r="F511" s="189" t="b">
        <f t="shared" ca="1" si="57"/>
        <v>1</v>
      </c>
      <c r="G511" s="188">
        <f ca="1">IF(F511,IFERROR(((('Data Schema'!$C$3*(1+B511)^1)*((1-$I$4-$I$5+E511)*(1-$I$10)+$I$6-$I$11)-('Data Schema'!$C$3*(1+B511)^1-'Data Schema'!$C$3)*$I$12)/(1+C511)^1+(('Data Schema'!$C$3*(1+B511)^2)*((1-$I$4-$I$5+E511)*(1-$I$10)+$I$6-$I$11)-('Data Schema'!$C$3*(1+B511)^2-'Data Schema'!$C$3*(1+B511)^1)*$I$12)/(1+C511)^2+(('Data Schema'!$C$3*(1+B511)^3)*((1-$I$4-$I$5+E511)*(1-$I$10)+$I$6-$I$11)-('Data Schema'!$C$3*(1+B511)^3-'Data Schema'!$C$3*(1+B511)^2)*$I$12)/(1+C511)^3+(('Data Schema'!$C$3*(1+B511)^4)*((1-$I$4-$I$5+E511)*(1-$I$10)+$I$6-$I$11)-('Data Schema'!$C$3*(1+B511)^4-'Data Schema'!$C$3*(1+B511)^3)*$I$12)/(1+C511)^4+(('Data Schema'!$C$3*(1+B511)^5)*((1-$I$4-$I$5+E511)*(1-$I$10)+$I$6-$I$11)-('Data Schema'!$C$3*(1+B511)^5-'Data Schema'!$C$3*(1+B511)^4)*$I$12)/(1+C511)^5+((('Data Schema'!$C$3*(1+B511)^5)*((1-$I$4-$I$5+E511)*(1-$I$10)+$I$6-$I$11)-('Data Schema'!$C$3*(1+B511)^5-'Data Schema'!$C$3*(1+B511)^4)*$I$12)*(1+D511)/(C511-D511))/(1+C511)^5-'Data Schema'!$C$31+'Data Schema'!$C$21)/'Data Schema'!$B$17,0),"INVALID")</f>
        <v>203.62649583976722</v>
      </c>
      <c r="H511" s="189" t="b">
        <f t="shared" ca="1" si="58"/>
        <v>1</v>
      </c>
      <c r="I511" s="188">
        <f t="shared" ca="1" si="59"/>
        <v>203.62649583976722</v>
      </c>
      <c r="J511" s="349">
        <f t="shared" ca="1" si="52"/>
        <v>203.62649583976722</v>
      </c>
    </row>
    <row r="512" spans="1:10">
      <c r="A512" s="185">
        <v>333</v>
      </c>
      <c r="B512" s="190">
        <f t="shared" ca="1" si="53"/>
        <v>0.11206873627517636</v>
      </c>
      <c r="C512" s="190">
        <f t="shared" ca="1" si="54"/>
        <v>4.9370223173068585E-2</v>
      </c>
      <c r="D512" s="190">
        <f t="shared" ca="1" si="55"/>
        <v>2.0907844160400237E-2</v>
      </c>
      <c r="E512" s="190">
        <f t="shared" ca="1" si="56"/>
        <v>1.4490320013434334E-2</v>
      </c>
      <c r="F512" s="189" t="b">
        <f t="shared" ca="1" si="57"/>
        <v>1</v>
      </c>
      <c r="G512" s="188">
        <f ca="1">IF(F512,IFERROR(((('Data Schema'!$C$3*(1+B512)^1)*((1-$I$4-$I$5+E512)*(1-$I$10)+$I$6-$I$11)-('Data Schema'!$C$3*(1+B512)^1-'Data Schema'!$C$3)*$I$12)/(1+C512)^1+(('Data Schema'!$C$3*(1+B512)^2)*((1-$I$4-$I$5+E512)*(1-$I$10)+$I$6-$I$11)-('Data Schema'!$C$3*(1+B512)^2-'Data Schema'!$C$3*(1+B512)^1)*$I$12)/(1+C512)^2+(('Data Schema'!$C$3*(1+B512)^3)*((1-$I$4-$I$5+E512)*(1-$I$10)+$I$6-$I$11)-('Data Schema'!$C$3*(1+B512)^3-'Data Schema'!$C$3*(1+B512)^2)*$I$12)/(1+C512)^3+(('Data Schema'!$C$3*(1+B512)^4)*((1-$I$4-$I$5+E512)*(1-$I$10)+$I$6-$I$11)-('Data Schema'!$C$3*(1+B512)^4-'Data Schema'!$C$3*(1+B512)^3)*$I$12)/(1+C512)^4+(('Data Schema'!$C$3*(1+B512)^5)*((1-$I$4-$I$5+E512)*(1-$I$10)+$I$6-$I$11)-('Data Schema'!$C$3*(1+B512)^5-'Data Schema'!$C$3*(1+B512)^4)*$I$12)/(1+C512)^5+((('Data Schema'!$C$3*(1+B512)^5)*((1-$I$4-$I$5+E512)*(1-$I$10)+$I$6-$I$11)-('Data Schema'!$C$3*(1+B512)^5-'Data Schema'!$C$3*(1+B512)^4)*$I$12)*(1+D512)/(C512-D512))/(1+C512)^5-'Data Schema'!$C$31+'Data Schema'!$C$21)/'Data Schema'!$B$17,0),"INVALID")</f>
        <v>166.01279743149797</v>
      </c>
      <c r="H512" s="189" t="b">
        <f t="shared" ca="1" si="58"/>
        <v>1</v>
      </c>
      <c r="I512" s="188">
        <f t="shared" ca="1" si="59"/>
        <v>166.01279743149797</v>
      </c>
      <c r="J512" s="349">
        <f t="shared" ca="1" si="52"/>
        <v>166.01279743149797</v>
      </c>
    </row>
    <row r="513" spans="1:10">
      <c r="A513" s="184">
        <v>334</v>
      </c>
      <c r="B513" s="190">
        <f t="shared" ca="1" si="53"/>
        <v>7.4881905179662492E-2</v>
      </c>
      <c r="C513" s="190">
        <f t="shared" ca="1" si="54"/>
        <v>6.0554030194058486E-2</v>
      </c>
      <c r="D513" s="190">
        <f t="shared" ca="1" si="55"/>
        <v>3.2073394890872228E-2</v>
      </c>
      <c r="E513" s="190">
        <f t="shared" ca="1" si="56"/>
        <v>1.8956836062426086E-2</v>
      </c>
      <c r="F513" s="189" t="b">
        <f t="shared" ca="1" si="57"/>
        <v>1</v>
      </c>
      <c r="G513" s="188">
        <f ca="1">IF(F513,IFERROR(((('Data Schema'!$C$3*(1+B513)^1)*((1-$I$4-$I$5+E513)*(1-$I$10)+$I$6-$I$11)-('Data Schema'!$C$3*(1+B513)^1-'Data Schema'!$C$3)*$I$12)/(1+C513)^1+(('Data Schema'!$C$3*(1+B513)^2)*((1-$I$4-$I$5+E513)*(1-$I$10)+$I$6-$I$11)-('Data Schema'!$C$3*(1+B513)^2-'Data Schema'!$C$3*(1+B513)^1)*$I$12)/(1+C513)^2+(('Data Schema'!$C$3*(1+B513)^3)*((1-$I$4-$I$5+E513)*(1-$I$10)+$I$6-$I$11)-('Data Schema'!$C$3*(1+B513)^3-'Data Schema'!$C$3*(1+B513)^2)*$I$12)/(1+C513)^3+(('Data Schema'!$C$3*(1+B513)^4)*((1-$I$4-$I$5+E513)*(1-$I$10)+$I$6-$I$11)-('Data Schema'!$C$3*(1+B513)^4-'Data Schema'!$C$3*(1+B513)^3)*$I$12)/(1+C513)^4+(('Data Schema'!$C$3*(1+B513)^5)*((1-$I$4-$I$5+E513)*(1-$I$10)+$I$6-$I$11)-('Data Schema'!$C$3*(1+B513)^5-'Data Schema'!$C$3*(1+B513)^4)*$I$12)/(1+C513)^5+((('Data Schema'!$C$3*(1+B513)^5)*((1-$I$4-$I$5+E513)*(1-$I$10)+$I$6-$I$11)-('Data Schema'!$C$3*(1+B513)^5-'Data Schema'!$C$3*(1+B513)^4)*$I$12)*(1+D513)/(C513-D513))/(1+C513)^5-'Data Schema'!$C$31+'Data Schema'!$C$21)/'Data Schema'!$B$17,0),"INVALID")</f>
        <v>149.5832694607405</v>
      </c>
      <c r="H513" s="189" t="b">
        <f t="shared" ca="1" si="58"/>
        <v>1</v>
      </c>
      <c r="I513" s="188">
        <f t="shared" ca="1" si="59"/>
        <v>149.5832694607405</v>
      </c>
      <c r="J513" s="349">
        <f t="shared" ca="1" si="52"/>
        <v>149.5832694607405</v>
      </c>
    </row>
    <row r="514" spans="1:10">
      <c r="A514" s="185">
        <v>335</v>
      </c>
      <c r="B514" s="190">
        <f t="shared" ca="1" si="53"/>
        <v>6.8302222358115949E-2</v>
      </c>
      <c r="C514" s="190">
        <f t="shared" ca="1" si="54"/>
        <v>6.1203002510212573E-2</v>
      </c>
      <c r="D514" s="190">
        <f t="shared" ca="1" si="55"/>
        <v>2.4865825328998756E-2</v>
      </c>
      <c r="E514" s="190">
        <f t="shared" ca="1" si="56"/>
        <v>4.5899342385700773E-3</v>
      </c>
      <c r="F514" s="189" t="b">
        <f t="shared" ca="1" si="57"/>
        <v>1</v>
      </c>
      <c r="G514" s="188">
        <f ca="1">IF(F514,IFERROR(((('Data Schema'!$C$3*(1+B514)^1)*((1-$I$4-$I$5+E514)*(1-$I$10)+$I$6-$I$11)-('Data Schema'!$C$3*(1+B514)^1-'Data Schema'!$C$3)*$I$12)/(1+C514)^1+(('Data Schema'!$C$3*(1+B514)^2)*((1-$I$4-$I$5+E514)*(1-$I$10)+$I$6-$I$11)-('Data Schema'!$C$3*(1+B514)^2-'Data Schema'!$C$3*(1+B514)^1)*$I$12)/(1+C514)^2+(('Data Schema'!$C$3*(1+B514)^3)*((1-$I$4-$I$5+E514)*(1-$I$10)+$I$6-$I$11)-('Data Schema'!$C$3*(1+B514)^3-'Data Schema'!$C$3*(1+B514)^2)*$I$12)/(1+C514)^3+(('Data Schema'!$C$3*(1+B514)^4)*((1-$I$4-$I$5+E514)*(1-$I$10)+$I$6-$I$11)-('Data Schema'!$C$3*(1+B514)^4-'Data Schema'!$C$3*(1+B514)^3)*$I$12)/(1+C514)^4+(('Data Schema'!$C$3*(1+B514)^5)*((1-$I$4-$I$5+E514)*(1-$I$10)+$I$6-$I$11)-('Data Schema'!$C$3*(1+B514)^5-'Data Schema'!$C$3*(1+B514)^4)*$I$12)/(1+C514)^5+((('Data Schema'!$C$3*(1+B514)^5)*((1-$I$4-$I$5+E514)*(1-$I$10)+$I$6-$I$11)-('Data Schema'!$C$3*(1+B514)^5-'Data Schema'!$C$3*(1+B514)^4)*$I$12)*(1+D514)/(C514-D514))/(1+C514)^5-'Data Schema'!$C$31+'Data Schema'!$C$21)/'Data Schema'!$B$17,0),"INVALID")</f>
        <v>82.564502183593603</v>
      </c>
      <c r="H514" s="189" t="b">
        <f t="shared" ca="1" si="58"/>
        <v>1</v>
      </c>
      <c r="I514" s="188">
        <f t="shared" ca="1" si="59"/>
        <v>82.564502183593603</v>
      </c>
      <c r="J514" s="349">
        <f t="shared" ca="1" si="52"/>
        <v>82.564502183593603</v>
      </c>
    </row>
    <row r="515" spans="1:10">
      <c r="A515" s="184">
        <v>336</v>
      </c>
      <c r="B515" s="190">
        <f t="shared" ca="1" si="53"/>
        <v>5.4457660294432296E-2</v>
      </c>
      <c r="C515" s="190">
        <f t="shared" ca="1" si="54"/>
        <v>6.3120865930831979E-2</v>
      </c>
      <c r="D515" s="190">
        <f t="shared" ca="1" si="55"/>
        <v>2.710615431700816E-2</v>
      </c>
      <c r="E515" s="190">
        <f t="shared" ca="1" si="56"/>
        <v>-2.2081106713780171E-3</v>
      </c>
      <c r="F515" s="189" t="b">
        <f t="shared" ca="1" si="57"/>
        <v>1</v>
      </c>
      <c r="G515" s="188">
        <f ca="1">IF(F515,IFERROR(((('Data Schema'!$C$3*(1+B515)^1)*((1-$I$4-$I$5+E515)*(1-$I$10)+$I$6-$I$11)-('Data Schema'!$C$3*(1+B515)^1-'Data Schema'!$C$3)*$I$12)/(1+C515)^1+(('Data Schema'!$C$3*(1+B515)^2)*((1-$I$4-$I$5+E515)*(1-$I$10)+$I$6-$I$11)-('Data Schema'!$C$3*(1+B515)^2-'Data Schema'!$C$3*(1+B515)^1)*$I$12)/(1+C515)^2+(('Data Schema'!$C$3*(1+B515)^3)*((1-$I$4-$I$5+E515)*(1-$I$10)+$I$6-$I$11)-('Data Schema'!$C$3*(1+B515)^3-'Data Schema'!$C$3*(1+B515)^2)*$I$12)/(1+C515)^3+(('Data Schema'!$C$3*(1+B515)^4)*((1-$I$4-$I$5+E515)*(1-$I$10)+$I$6-$I$11)-('Data Schema'!$C$3*(1+B515)^4-'Data Schema'!$C$3*(1+B515)^3)*$I$12)/(1+C515)^4+(('Data Schema'!$C$3*(1+B515)^5)*((1-$I$4-$I$5+E515)*(1-$I$10)+$I$6-$I$11)-('Data Schema'!$C$3*(1+B515)^5-'Data Schema'!$C$3*(1+B515)^4)*$I$12)/(1+C515)^5+((('Data Schema'!$C$3*(1+B515)^5)*((1-$I$4-$I$5+E515)*(1-$I$10)+$I$6-$I$11)-('Data Schema'!$C$3*(1+B515)^5-'Data Schema'!$C$3*(1+B515)^4)*$I$12)*(1+D515)/(C515-D515))/(1+C515)^5-'Data Schema'!$C$31+'Data Schema'!$C$21)/'Data Schema'!$B$17,0),"INVALID")</f>
        <v>63.401895048846271</v>
      </c>
      <c r="H515" s="189" t="b">
        <f t="shared" ca="1" si="58"/>
        <v>1</v>
      </c>
      <c r="I515" s="188">
        <f t="shared" ca="1" si="59"/>
        <v>63.401895048846271</v>
      </c>
      <c r="J515" s="349">
        <f t="shared" ca="1" si="52"/>
        <v>63.401895048846271</v>
      </c>
    </row>
    <row r="516" spans="1:10">
      <c r="A516" s="185">
        <v>337</v>
      </c>
      <c r="B516" s="190">
        <f t="shared" ca="1" si="53"/>
        <v>0.11163115541350184</v>
      </c>
      <c r="C516" s="190">
        <f t="shared" ca="1" si="54"/>
        <v>8.3491412647271113E-2</v>
      </c>
      <c r="D516" s="190">
        <f t="shared" ca="1" si="55"/>
        <v>2.0769748262775209E-2</v>
      </c>
      <c r="E516" s="190">
        <f t="shared" ca="1" si="56"/>
        <v>1.2872903451833484E-3</v>
      </c>
      <c r="F516" s="189" t="b">
        <f t="shared" ca="1" si="57"/>
        <v>1</v>
      </c>
      <c r="G516" s="188">
        <f ca="1">IF(F516,IFERROR(((('Data Schema'!$C$3*(1+B516)^1)*((1-$I$4-$I$5+E516)*(1-$I$10)+$I$6-$I$11)-('Data Schema'!$C$3*(1+B516)^1-'Data Schema'!$C$3)*$I$12)/(1+C516)^1+(('Data Schema'!$C$3*(1+B516)^2)*((1-$I$4-$I$5+E516)*(1-$I$10)+$I$6-$I$11)-('Data Schema'!$C$3*(1+B516)^2-'Data Schema'!$C$3*(1+B516)^1)*$I$12)/(1+C516)^2+(('Data Schema'!$C$3*(1+B516)^3)*((1-$I$4-$I$5+E516)*(1-$I$10)+$I$6-$I$11)-('Data Schema'!$C$3*(1+B516)^3-'Data Schema'!$C$3*(1+B516)^2)*$I$12)/(1+C516)^3+(('Data Schema'!$C$3*(1+B516)^4)*((1-$I$4-$I$5+E516)*(1-$I$10)+$I$6-$I$11)-('Data Schema'!$C$3*(1+B516)^4-'Data Schema'!$C$3*(1+B516)^3)*$I$12)/(1+C516)^4+(('Data Schema'!$C$3*(1+B516)^5)*((1-$I$4-$I$5+E516)*(1-$I$10)+$I$6-$I$11)-('Data Schema'!$C$3*(1+B516)^5-'Data Schema'!$C$3*(1+B516)^4)*$I$12)/(1+C516)^5+((('Data Schema'!$C$3*(1+B516)^5)*((1-$I$4-$I$5+E516)*(1-$I$10)+$I$6-$I$11)-('Data Schema'!$C$3*(1+B516)^5-'Data Schema'!$C$3*(1+B516)^4)*$I$12)*(1+D516)/(C516-D516))/(1+C516)^5-'Data Schema'!$C$31+'Data Schema'!$C$21)/'Data Schema'!$B$17,0),"INVALID")</f>
        <v>48.665465599520985</v>
      </c>
      <c r="H516" s="189" t="b">
        <f t="shared" ca="1" si="58"/>
        <v>1</v>
      </c>
      <c r="I516" s="188">
        <f t="shared" ca="1" si="59"/>
        <v>48.665465599520985</v>
      </c>
      <c r="J516" s="349">
        <f t="shared" ca="1" si="52"/>
        <v>48.665465599520985</v>
      </c>
    </row>
    <row r="517" spans="1:10">
      <c r="A517" s="184">
        <v>338</v>
      </c>
      <c r="B517" s="190">
        <f t="shared" ca="1" si="53"/>
        <v>9.5668027481661255E-2</v>
      </c>
      <c r="C517" s="190">
        <f t="shared" ca="1" si="54"/>
        <v>4.4267504016227172E-2</v>
      </c>
      <c r="D517" s="190">
        <f t="shared" ca="1" si="55"/>
        <v>2.8717491573760655E-2</v>
      </c>
      <c r="E517" s="190">
        <f t="shared" ca="1" si="56"/>
        <v>2.604321411419834E-2</v>
      </c>
      <c r="F517" s="189" t="b">
        <f t="shared" ca="1" si="57"/>
        <v>1</v>
      </c>
      <c r="G517" s="188">
        <f ca="1">IF(F517,IFERROR(((('Data Schema'!$C$3*(1+B517)^1)*((1-$I$4-$I$5+E517)*(1-$I$10)+$I$6-$I$11)-('Data Schema'!$C$3*(1+B517)^1-'Data Schema'!$C$3)*$I$12)/(1+C517)^1+(('Data Schema'!$C$3*(1+B517)^2)*((1-$I$4-$I$5+E517)*(1-$I$10)+$I$6-$I$11)-('Data Schema'!$C$3*(1+B517)^2-'Data Schema'!$C$3*(1+B517)^1)*$I$12)/(1+C517)^2+(('Data Schema'!$C$3*(1+B517)^3)*((1-$I$4-$I$5+E517)*(1-$I$10)+$I$6-$I$11)-('Data Schema'!$C$3*(1+B517)^3-'Data Schema'!$C$3*(1+B517)^2)*$I$12)/(1+C517)^3+(('Data Schema'!$C$3*(1+B517)^4)*((1-$I$4-$I$5+E517)*(1-$I$10)+$I$6-$I$11)-('Data Schema'!$C$3*(1+B517)^4-'Data Schema'!$C$3*(1+B517)^3)*$I$12)/(1+C517)^4+(('Data Schema'!$C$3*(1+B517)^5)*((1-$I$4-$I$5+E517)*(1-$I$10)+$I$6-$I$11)-('Data Schema'!$C$3*(1+B517)^5-'Data Schema'!$C$3*(1+B517)^4)*$I$12)/(1+C517)^5+((('Data Schema'!$C$3*(1+B517)^5)*((1-$I$4-$I$5+E517)*(1-$I$10)+$I$6-$I$11)-('Data Schema'!$C$3*(1+B517)^5-'Data Schema'!$C$3*(1+B517)^4)*$I$12)*(1+D517)/(C517-D517))/(1+C517)^5-'Data Schema'!$C$31+'Data Schema'!$C$21)/'Data Schema'!$B$17,0),"INVALID")</f>
        <v>352.94672815236152</v>
      </c>
      <c r="H517" s="189" t="b">
        <f t="shared" ca="1" si="58"/>
        <v>1</v>
      </c>
      <c r="I517" s="188">
        <f t="shared" ca="1" si="59"/>
        <v>352.94672815236152</v>
      </c>
      <c r="J517" s="349" t="str">
        <f t="shared" ca="1" si="52"/>
        <v/>
      </c>
    </row>
    <row r="518" spans="1:10">
      <c r="A518" s="185">
        <v>339</v>
      </c>
      <c r="B518" s="190">
        <f t="shared" ca="1" si="53"/>
        <v>0.10774391143494497</v>
      </c>
      <c r="C518" s="190">
        <f t="shared" ca="1" si="54"/>
        <v>7.3730989854350892E-2</v>
      </c>
      <c r="D518" s="190">
        <f t="shared" ca="1" si="55"/>
        <v>2.4548369398267864E-2</v>
      </c>
      <c r="E518" s="190">
        <f t="shared" ca="1" si="56"/>
        <v>-1.7401166300164181E-2</v>
      </c>
      <c r="F518" s="189" t="b">
        <f t="shared" ca="1" si="57"/>
        <v>1</v>
      </c>
      <c r="G518" s="188">
        <f ca="1">IF(F518,IFERROR(((('Data Schema'!$C$3*(1+B518)^1)*((1-$I$4-$I$5+E518)*(1-$I$10)+$I$6-$I$11)-('Data Schema'!$C$3*(1+B518)^1-'Data Schema'!$C$3)*$I$12)/(1+C518)^1+(('Data Schema'!$C$3*(1+B518)^2)*((1-$I$4-$I$5+E518)*(1-$I$10)+$I$6-$I$11)-('Data Schema'!$C$3*(1+B518)^2-'Data Schema'!$C$3*(1+B518)^1)*$I$12)/(1+C518)^2+(('Data Schema'!$C$3*(1+B518)^3)*((1-$I$4-$I$5+E518)*(1-$I$10)+$I$6-$I$11)-('Data Schema'!$C$3*(1+B518)^3-'Data Schema'!$C$3*(1+B518)^2)*$I$12)/(1+C518)^3+(('Data Schema'!$C$3*(1+B518)^4)*((1-$I$4-$I$5+E518)*(1-$I$10)+$I$6-$I$11)-('Data Schema'!$C$3*(1+B518)^4-'Data Schema'!$C$3*(1+B518)^3)*$I$12)/(1+C518)^4+(('Data Schema'!$C$3*(1+B518)^5)*((1-$I$4-$I$5+E518)*(1-$I$10)+$I$6-$I$11)-('Data Schema'!$C$3*(1+B518)^5-'Data Schema'!$C$3*(1+B518)^4)*$I$12)/(1+C518)^5+((('Data Schema'!$C$3*(1+B518)^5)*((1-$I$4-$I$5+E518)*(1-$I$10)+$I$6-$I$11)-('Data Schema'!$C$3*(1+B518)^5-'Data Schema'!$C$3*(1+B518)^4)*$I$12)*(1+D518)/(C518-D518))/(1+C518)^5-'Data Schema'!$C$31+'Data Schema'!$C$21)/'Data Schema'!$B$17,0),"INVALID")</f>
        <v>25.482977912864769</v>
      </c>
      <c r="H518" s="189" t="b">
        <f t="shared" ca="1" si="58"/>
        <v>1</v>
      </c>
      <c r="I518" s="188">
        <f t="shared" ca="1" si="59"/>
        <v>25.482977912864769</v>
      </c>
      <c r="J518" s="349">
        <f t="shared" ca="1" si="52"/>
        <v>25.482977912864769</v>
      </c>
    </row>
    <row r="519" spans="1:10">
      <c r="A519" s="184">
        <v>340</v>
      </c>
      <c r="B519" s="190">
        <f t="shared" ca="1" si="53"/>
        <v>8.2513351987047984E-2</v>
      </c>
      <c r="C519" s="190">
        <f t="shared" ca="1" si="54"/>
        <v>4.6015157395878102E-2</v>
      </c>
      <c r="D519" s="190">
        <f t="shared" ca="1" si="55"/>
        <v>1.5539201869374278E-2</v>
      </c>
      <c r="E519" s="190">
        <f t="shared" ca="1" si="56"/>
        <v>7.3622772160896897E-4</v>
      </c>
      <c r="F519" s="189" t="b">
        <f t="shared" ca="1" si="57"/>
        <v>1</v>
      </c>
      <c r="G519" s="188">
        <f ca="1">IF(F519,IFERROR(((('Data Schema'!$C$3*(1+B519)^1)*((1-$I$4-$I$5+E519)*(1-$I$10)+$I$6-$I$11)-('Data Schema'!$C$3*(1+B519)^1-'Data Schema'!$C$3)*$I$12)/(1+C519)^1+(('Data Schema'!$C$3*(1+B519)^2)*((1-$I$4-$I$5+E519)*(1-$I$10)+$I$6-$I$11)-('Data Schema'!$C$3*(1+B519)^2-'Data Schema'!$C$3*(1+B519)^1)*$I$12)/(1+C519)^2+(('Data Schema'!$C$3*(1+B519)^3)*((1-$I$4-$I$5+E519)*(1-$I$10)+$I$6-$I$11)-('Data Schema'!$C$3*(1+B519)^3-'Data Schema'!$C$3*(1+B519)^2)*$I$12)/(1+C519)^3+(('Data Schema'!$C$3*(1+B519)^4)*((1-$I$4-$I$5+E519)*(1-$I$10)+$I$6-$I$11)-('Data Schema'!$C$3*(1+B519)^4-'Data Schema'!$C$3*(1+B519)^3)*$I$12)/(1+C519)^4+(('Data Schema'!$C$3*(1+B519)^5)*((1-$I$4-$I$5+E519)*(1-$I$10)+$I$6-$I$11)-('Data Schema'!$C$3*(1+B519)^5-'Data Schema'!$C$3*(1+B519)^4)*$I$12)/(1+C519)^5+((('Data Schema'!$C$3*(1+B519)^5)*((1-$I$4-$I$5+E519)*(1-$I$10)+$I$6-$I$11)-('Data Schema'!$C$3*(1+B519)^5-'Data Schema'!$C$3*(1+B519)^4)*$I$12)*(1+D519)/(C519-D519))/(1+C519)^5-'Data Schema'!$C$31+'Data Schema'!$C$21)/'Data Schema'!$B$17,0),"INVALID")</f>
        <v>98.342878951192418</v>
      </c>
      <c r="H519" s="189" t="b">
        <f t="shared" ca="1" si="58"/>
        <v>1</v>
      </c>
      <c r="I519" s="188">
        <f t="shared" ca="1" si="59"/>
        <v>98.342878951192418</v>
      </c>
      <c r="J519" s="349">
        <f t="shared" ca="1" si="52"/>
        <v>98.342878951192418</v>
      </c>
    </row>
    <row r="520" spans="1:10">
      <c r="A520" s="185">
        <v>341</v>
      </c>
      <c r="B520" s="190">
        <f t="shared" ca="1" si="53"/>
        <v>0.11968710231771011</v>
      </c>
      <c r="C520" s="190">
        <f t="shared" ca="1" si="54"/>
        <v>6.4984172973490351E-2</v>
      </c>
      <c r="D520" s="190">
        <f t="shared" ca="1" si="55"/>
        <v>2.1122263209718942E-2</v>
      </c>
      <c r="E520" s="190">
        <f t="shared" ca="1" si="56"/>
        <v>-2.0849943539430975E-2</v>
      </c>
      <c r="F520" s="189" t="b">
        <f t="shared" ca="1" si="57"/>
        <v>1</v>
      </c>
      <c r="G520" s="188">
        <f ca="1">IF(F520,IFERROR(((('Data Schema'!$C$3*(1+B520)^1)*((1-$I$4-$I$5+E520)*(1-$I$10)+$I$6-$I$11)-('Data Schema'!$C$3*(1+B520)^1-'Data Schema'!$C$3)*$I$12)/(1+C520)^1+(('Data Schema'!$C$3*(1+B520)^2)*((1-$I$4-$I$5+E520)*(1-$I$10)+$I$6-$I$11)-('Data Schema'!$C$3*(1+B520)^2-'Data Schema'!$C$3*(1+B520)^1)*$I$12)/(1+C520)^2+(('Data Schema'!$C$3*(1+B520)^3)*((1-$I$4-$I$5+E520)*(1-$I$10)+$I$6-$I$11)-('Data Schema'!$C$3*(1+B520)^3-'Data Schema'!$C$3*(1+B520)^2)*$I$12)/(1+C520)^3+(('Data Schema'!$C$3*(1+B520)^4)*((1-$I$4-$I$5+E520)*(1-$I$10)+$I$6-$I$11)-('Data Schema'!$C$3*(1+B520)^4-'Data Schema'!$C$3*(1+B520)^3)*$I$12)/(1+C520)^4+(('Data Schema'!$C$3*(1+B520)^5)*((1-$I$4-$I$5+E520)*(1-$I$10)+$I$6-$I$11)-('Data Schema'!$C$3*(1+B520)^5-'Data Schema'!$C$3*(1+B520)^4)*$I$12)/(1+C520)^5+((('Data Schema'!$C$3*(1+B520)^5)*((1-$I$4-$I$5+E520)*(1-$I$10)+$I$6-$I$11)-('Data Schema'!$C$3*(1+B520)^5-'Data Schema'!$C$3*(1+B520)^4)*$I$12)*(1+D520)/(C520-D520))/(1+C520)^5-'Data Schema'!$C$31+'Data Schema'!$C$21)/'Data Schema'!$B$17,0),"INVALID")</f>
        <v>23.070037767178999</v>
      </c>
      <c r="H520" s="189" t="b">
        <f t="shared" ca="1" si="58"/>
        <v>1</v>
      </c>
      <c r="I520" s="188">
        <f t="shared" ca="1" si="59"/>
        <v>23.070037767178999</v>
      </c>
      <c r="J520" s="349" t="str">
        <f t="shared" ca="1" si="52"/>
        <v/>
      </c>
    </row>
    <row r="521" spans="1:10">
      <c r="A521" s="184">
        <v>342</v>
      </c>
      <c r="B521" s="190">
        <f t="shared" ca="1" si="53"/>
        <v>0.1079823131357362</v>
      </c>
      <c r="C521" s="190">
        <f t="shared" ca="1" si="54"/>
        <v>3.9368999794153245E-2</v>
      </c>
      <c r="D521" s="190">
        <f t="shared" ca="1" si="55"/>
        <v>2.617112834745813E-2</v>
      </c>
      <c r="E521" s="190">
        <f t="shared" ca="1" si="56"/>
        <v>-2.3771775979238647E-2</v>
      </c>
      <c r="F521" s="189" t="b">
        <f t="shared" ca="1" si="57"/>
        <v>0</v>
      </c>
      <c r="G521" s="188" t="str">
        <f ca="1">IF(F521,IFERROR(((('Data Schema'!$C$3*(1+B521)^1)*((1-$I$4-$I$5+E521)*(1-$I$10)+$I$6-$I$11)-('Data Schema'!$C$3*(1+B521)^1-'Data Schema'!$C$3)*$I$12)/(1+C521)^1+(('Data Schema'!$C$3*(1+B521)^2)*((1-$I$4-$I$5+E521)*(1-$I$10)+$I$6-$I$11)-('Data Schema'!$C$3*(1+B521)^2-'Data Schema'!$C$3*(1+B521)^1)*$I$12)/(1+C521)^2+(('Data Schema'!$C$3*(1+B521)^3)*((1-$I$4-$I$5+E521)*(1-$I$10)+$I$6-$I$11)-('Data Schema'!$C$3*(1+B521)^3-'Data Schema'!$C$3*(1+B521)^2)*$I$12)/(1+C521)^3+(('Data Schema'!$C$3*(1+B521)^4)*((1-$I$4-$I$5+E521)*(1-$I$10)+$I$6-$I$11)-('Data Schema'!$C$3*(1+B521)^4-'Data Schema'!$C$3*(1+B521)^3)*$I$12)/(1+C521)^4+(('Data Schema'!$C$3*(1+B521)^5)*((1-$I$4-$I$5+E521)*(1-$I$10)+$I$6-$I$11)-('Data Schema'!$C$3*(1+B521)^5-'Data Schema'!$C$3*(1+B521)^4)*$I$12)/(1+C521)^5+((('Data Schema'!$C$3*(1+B521)^5)*((1-$I$4-$I$5+E521)*(1-$I$10)+$I$6-$I$11)-('Data Schema'!$C$3*(1+B521)^5-'Data Schema'!$C$3*(1+B521)^4)*$I$12)*(1+D521)/(C521-D521))/(1+C521)^5-'Data Schema'!$C$31+'Data Schema'!$C$21)/'Data Schema'!$B$17,0),"INVALID")</f>
        <v>INVALID</v>
      </c>
      <c r="H521" s="189" t="b">
        <f t="shared" ca="1" si="58"/>
        <v>0</v>
      </c>
      <c r="I521" s="188" t="str">
        <f t="shared" ca="1" si="59"/>
        <v/>
      </c>
      <c r="J521" s="349" t="str">
        <f t="shared" ca="1" si="52"/>
        <v/>
      </c>
    </row>
    <row r="522" spans="1:10">
      <c r="A522" s="185">
        <v>343</v>
      </c>
      <c r="B522" s="190">
        <f t="shared" ca="1" si="53"/>
        <v>0.10203860921497324</v>
      </c>
      <c r="C522" s="190">
        <f t="shared" ca="1" si="54"/>
        <v>6.8855600371377848E-2</v>
      </c>
      <c r="D522" s="190">
        <f t="shared" ca="1" si="55"/>
        <v>2.7760924219261365E-2</v>
      </c>
      <c r="E522" s="190">
        <f t="shared" ca="1" si="56"/>
        <v>2.5224070084446902E-2</v>
      </c>
      <c r="F522" s="189" t="b">
        <f t="shared" ca="1" si="57"/>
        <v>1</v>
      </c>
      <c r="G522" s="188">
        <f ca="1">IF(F522,IFERROR(((('Data Schema'!$C$3*(1+B522)^1)*((1-$I$4-$I$5+E522)*(1-$I$10)+$I$6-$I$11)-('Data Schema'!$C$3*(1+B522)^1-'Data Schema'!$C$3)*$I$12)/(1+C522)^1+(('Data Schema'!$C$3*(1+B522)^2)*((1-$I$4-$I$5+E522)*(1-$I$10)+$I$6-$I$11)-('Data Schema'!$C$3*(1+B522)^2-'Data Schema'!$C$3*(1+B522)^1)*$I$12)/(1+C522)^2+(('Data Schema'!$C$3*(1+B522)^3)*((1-$I$4-$I$5+E522)*(1-$I$10)+$I$6-$I$11)-('Data Schema'!$C$3*(1+B522)^3-'Data Schema'!$C$3*(1+B522)^2)*$I$12)/(1+C522)^3+(('Data Schema'!$C$3*(1+B522)^4)*((1-$I$4-$I$5+E522)*(1-$I$10)+$I$6-$I$11)-('Data Schema'!$C$3*(1+B522)^4-'Data Schema'!$C$3*(1+B522)^3)*$I$12)/(1+C522)^4+(('Data Schema'!$C$3*(1+B522)^5)*((1-$I$4-$I$5+E522)*(1-$I$10)+$I$6-$I$11)-('Data Schema'!$C$3*(1+B522)^5-'Data Schema'!$C$3*(1+B522)^4)*$I$12)/(1+C522)^5+((('Data Schema'!$C$3*(1+B522)^5)*((1-$I$4-$I$5+E522)*(1-$I$10)+$I$6-$I$11)-('Data Schema'!$C$3*(1+B522)^5-'Data Schema'!$C$3*(1+B522)^4)*$I$12)*(1+D522)/(C522-D522))/(1+C522)^5-'Data Schema'!$C$31+'Data Schema'!$C$21)/'Data Schema'!$B$17,0),"INVALID")</f>
        <v>129.39044758806739</v>
      </c>
      <c r="H522" s="189" t="b">
        <f t="shared" ca="1" si="58"/>
        <v>1</v>
      </c>
      <c r="I522" s="188">
        <f t="shared" ca="1" si="59"/>
        <v>129.39044758806739</v>
      </c>
      <c r="J522" s="349">
        <f t="shared" ca="1" si="52"/>
        <v>129.39044758806739</v>
      </c>
    </row>
    <row r="523" spans="1:10">
      <c r="A523" s="184">
        <v>344</v>
      </c>
      <c r="B523" s="190">
        <f t="shared" ca="1" si="53"/>
        <v>0.13567435910182965</v>
      </c>
      <c r="C523" s="190">
        <f t="shared" ca="1" si="54"/>
        <v>8.5450778293124682E-2</v>
      </c>
      <c r="D523" s="190">
        <f t="shared" ca="1" si="55"/>
        <v>1.4143498841754691E-2</v>
      </c>
      <c r="E523" s="190">
        <f t="shared" ca="1" si="56"/>
        <v>-8.6125780227623485E-3</v>
      </c>
      <c r="F523" s="189" t="b">
        <f t="shared" ca="1" si="57"/>
        <v>1</v>
      </c>
      <c r="G523" s="188">
        <f ca="1">IF(F523,IFERROR(((('Data Schema'!$C$3*(1+B523)^1)*((1-$I$4-$I$5+E523)*(1-$I$10)+$I$6-$I$11)-('Data Schema'!$C$3*(1+B523)^1-'Data Schema'!$C$3)*$I$12)/(1+C523)^1+(('Data Schema'!$C$3*(1+B523)^2)*((1-$I$4-$I$5+E523)*(1-$I$10)+$I$6-$I$11)-('Data Schema'!$C$3*(1+B523)^2-'Data Schema'!$C$3*(1+B523)^1)*$I$12)/(1+C523)^2+(('Data Schema'!$C$3*(1+B523)^3)*((1-$I$4-$I$5+E523)*(1-$I$10)+$I$6-$I$11)-('Data Schema'!$C$3*(1+B523)^3-'Data Schema'!$C$3*(1+B523)^2)*$I$12)/(1+C523)^3+(('Data Schema'!$C$3*(1+B523)^4)*((1-$I$4-$I$5+E523)*(1-$I$10)+$I$6-$I$11)-('Data Schema'!$C$3*(1+B523)^4-'Data Schema'!$C$3*(1+B523)^3)*$I$12)/(1+C523)^4+(('Data Schema'!$C$3*(1+B523)^5)*((1-$I$4-$I$5+E523)*(1-$I$10)+$I$6-$I$11)-('Data Schema'!$C$3*(1+B523)^5-'Data Schema'!$C$3*(1+B523)^4)*$I$12)/(1+C523)^5+((('Data Schema'!$C$3*(1+B523)^5)*((1-$I$4-$I$5+E523)*(1-$I$10)+$I$6-$I$11)-('Data Schema'!$C$3*(1+B523)^5-'Data Schema'!$C$3*(1+B523)^4)*$I$12)*(1+D523)/(C523-D523))/(1+C523)^5-'Data Schema'!$C$31+'Data Schema'!$C$21)/'Data Schema'!$B$17,0),"INVALID")</f>
        <v>31.530730660872138</v>
      </c>
      <c r="H523" s="189" t="b">
        <f t="shared" ca="1" si="58"/>
        <v>1</v>
      </c>
      <c r="I523" s="188">
        <f t="shared" ca="1" si="59"/>
        <v>31.530730660872138</v>
      </c>
      <c r="J523" s="349">
        <f t="shared" ca="1" si="52"/>
        <v>31.530730660872138</v>
      </c>
    </row>
    <row r="524" spans="1:10">
      <c r="A524" s="185">
        <v>345</v>
      </c>
      <c r="B524" s="190">
        <f t="shared" ca="1" si="53"/>
        <v>9.9843413191583144E-2</v>
      </c>
      <c r="C524" s="190">
        <f t="shared" ca="1" si="54"/>
        <v>3.9543761522673609E-2</v>
      </c>
      <c r="D524" s="190">
        <f t="shared" ca="1" si="55"/>
        <v>2.8856412391150169E-2</v>
      </c>
      <c r="E524" s="190">
        <f t="shared" ca="1" si="56"/>
        <v>-1.3186331806755052E-3</v>
      </c>
      <c r="F524" s="189" t="b">
        <f t="shared" ca="1" si="57"/>
        <v>0</v>
      </c>
      <c r="G524" s="188" t="str">
        <f ca="1">IF(F524,IFERROR(((('Data Schema'!$C$3*(1+B524)^1)*((1-$I$4-$I$5+E524)*(1-$I$10)+$I$6-$I$11)-('Data Schema'!$C$3*(1+B524)^1-'Data Schema'!$C$3)*$I$12)/(1+C524)^1+(('Data Schema'!$C$3*(1+B524)^2)*((1-$I$4-$I$5+E524)*(1-$I$10)+$I$6-$I$11)-('Data Schema'!$C$3*(1+B524)^2-'Data Schema'!$C$3*(1+B524)^1)*$I$12)/(1+C524)^2+(('Data Schema'!$C$3*(1+B524)^3)*((1-$I$4-$I$5+E524)*(1-$I$10)+$I$6-$I$11)-('Data Schema'!$C$3*(1+B524)^3-'Data Schema'!$C$3*(1+B524)^2)*$I$12)/(1+C524)^3+(('Data Schema'!$C$3*(1+B524)^4)*((1-$I$4-$I$5+E524)*(1-$I$10)+$I$6-$I$11)-('Data Schema'!$C$3*(1+B524)^4-'Data Schema'!$C$3*(1+B524)^3)*$I$12)/(1+C524)^4+(('Data Schema'!$C$3*(1+B524)^5)*((1-$I$4-$I$5+E524)*(1-$I$10)+$I$6-$I$11)-('Data Schema'!$C$3*(1+B524)^5-'Data Schema'!$C$3*(1+B524)^4)*$I$12)/(1+C524)^5+((('Data Schema'!$C$3*(1+B524)^5)*((1-$I$4-$I$5+E524)*(1-$I$10)+$I$6-$I$11)-('Data Schema'!$C$3*(1+B524)^5-'Data Schema'!$C$3*(1+B524)^4)*$I$12)*(1+D524)/(C524-D524))/(1+C524)^5-'Data Schema'!$C$31+'Data Schema'!$C$21)/'Data Schema'!$B$17,0),"INVALID")</f>
        <v>INVALID</v>
      </c>
      <c r="H524" s="189" t="b">
        <f t="shared" ca="1" si="58"/>
        <v>0</v>
      </c>
      <c r="I524" s="188" t="str">
        <f t="shared" ca="1" si="59"/>
        <v/>
      </c>
      <c r="J524" s="349" t="str">
        <f t="shared" ca="1" si="52"/>
        <v/>
      </c>
    </row>
    <row r="525" spans="1:10">
      <c r="A525" s="184">
        <v>346</v>
      </c>
      <c r="B525" s="190">
        <f t="shared" ca="1" si="53"/>
        <v>8.3822100949455219E-2</v>
      </c>
      <c r="C525" s="190">
        <f t="shared" ca="1" si="54"/>
        <v>6.1332995042589565E-2</v>
      </c>
      <c r="D525" s="190">
        <f t="shared" ca="1" si="55"/>
        <v>3.0474409732038171E-2</v>
      </c>
      <c r="E525" s="190">
        <f t="shared" ca="1" si="56"/>
        <v>-2.7973381041609308E-2</v>
      </c>
      <c r="F525" s="189" t="b">
        <f t="shared" ca="1" si="57"/>
        <v>1</v>
      </c>
      <c r="G525" s="188">
        <f ca="1">IF(F525,IFERROR(((('Data Schema'!$C$3*(1+B525)^1)*((1-$I$4-$I$5+E525)*(1-$I$10)+$I$6-$I$11)-('Data Schema'!$C$3*(1+B525)^1-'Data Schema'!$C$3)*$I$12)/(1+C525)^1+(('Data Schema'!$C$3*(1+B525)^2)*((1-$I$4-$I$5+E525)*(1-$I$10)+$I$6-$I$11)-('Data Schema'!$C$3*(1+B525)^2-'Data Schema'!$C$3*(1+B525)^1)*$I$12)/(1+C525)^2+(('Data Schema'!$C$3*(1+B525)^3)*((1-$I$4-$I$5+E525)*(1-$I$10)+$I$6-$I$11)-('Data Schema'!$C$3*(1+B525)^3-'Data Schema'!$C$3*(1+B525)^2)*$I$12)/(1+C525)^3+(('Data Schema'!$C$3*(1+B525)^4)*((1-$I$4-$I$5+E525)*(1-$I$10)+$I$6-$I$11)-('Data Schema'!$C$3*(1+B525)^4-'Data Schema'!$C$3*(1+B525)^3)*$I$12)/(1+C525)^4+(('Data Schema'!$C$3*(1+B525)^5)*((1-$I$4-$I$5+E525)*(1-$I$10)+$I$6-$I$11)-('Data Schema'!$C$3*(1+B525)^5-'Data Schema'!$C$3*(1+B525)^4)*$I$12)/(1+C525)^5+((('Data Schema'!$C$3*(1+B525)^5)*((1-$I$4-$I$5+E525)*(1-$I$10)+$I$6-$I$11)-('Data Schema'!$C$3*(1+B525)^5-'Data Schema'!$C$3*(1+B525)^4)*$I$12)*(1+D525)/(C525-D525))/(1+C525)^5-'Data Schema'!$C$31+'Data Schema'!$C$21)/'Data Schema'!$B$17,0),"INVALID")</f>
        <v>10.78168900534174</v>
      </c>
      <c r="H525" s="189" t="b">
        <f t="shared" ca="1" si="58"/>
        <v>0</v>
      </c>
      <c r="I525" s="188" t="str">
        <f t="shared" ca="1" si="59"/>
        <v/>
      </c>
      <c r="J525" s="349" t="str">
        <f t="shared" ca="1" si="52"/>
        <v/>
      </c>
    </row>
    <row r="526" spans="1:10">
      <c r="A526" s="185">
        <v>347</v>
      </c>
      <c r="B526" s="190">
        <f t="shared" ca="1" si="53"/>
        <v>0.10041867365005722</v>
      </c>
      <c r="C526" s="190">
        <f t="shared" ca="1" si="54"/>
        <v>7.9569104919885891E-2</v>
      </c>
      <c r="D526" s="190">
        <f t="shared" ca="1" si="55"/>
        <v>3.1713827765651466E-2</v>
      </c>
      <c r="E526" s="190">
        <f t="shared" ca="1" si="56"/>
        <v>-8.225389687177221E-3</v>
      </c>
      <c r="F526" s="189" t="b">
        <f t="shared" ca="1" si="57"/>
        <v>1</v>
      </c>
      <c r="G526" s="188">
        <f ca="1">IF(F526,IFERROR(((('Data Schema'!$C$3*(1+B526)^1)*((1-$I$4-$I$5+E526)*(1-$I$10)+$I$6-$I$11)-('Data Schema'!$C$3*(1+B526)^1-'Data Schema'!$C$3)*$I$12)/(1+C526)^1+(('Data Schema'!$C$3*(1+B526)^2)*((1-$I$4-$I$5+E526)*(1-$I$10)+$I$6-$I$11)-('Data Schema'!$C$3*(1+B526)^2-'Data Schema'!$C$3*(1+B526)^1)*$I$12)/(1+C526)^2+(('Data Schema'!$C$3*(1+B526)^3)*((1-$I$4-$I$5+E526)*(1-$I$10)+$I$6-$I$11)-('Data Schema'!$C$3*(1+B526)^3-'Data Schema'!$C$3*(1+B526)^2)*$I$12)/(1+C526)^3+(('Data Schema'!$C$3*(1+B526)^4)*((1-$I$4-$I$5+E526)*(1-$I$10)+$I$6-$I$11)-('Data Schema'!$C$3*(1+B526)^4-'Data Schema'!$C$3*(1+B526)^3)*$I$12)/(1+C526)^4+(('Data Schema'!$C$3*(1+B526)^5)*((1-$I$4-$I$5+E526)*(1-$I$10)+$I$6-$I$11)-('Data Schema'!$C$3*(1+B526)^5-'Data Schema'!$C$3*(1+B526)^4)*$I$12)/(1+C526)^5+((('Data Schema'!$C$3*(1+B526)^5)*((1-$I$4-$I$5+E526)*(1-$I$10)+$I$6-$I$11)-('Data Schema'!$C$3*(1+B526)^5-'Data Schema'!$C$3*(1+B526)^4)*$I$12)*(1+D526)/(C526-D526))/(1+C526)^5-'Data Schema'!$C$31+'Data Schema'!$C$21)/'Data Schema'!$B$17,0),"INVALID")</f>
        <v>42.651787983194218</v>
      </c>
      <c r="H526" s="189" t="b">
        <f t="shared" ca="1" si="58"/>
        <v>1</v>
      </c>
      <c r="I526" s="188">
        <f t="shared" ca="1" si="59"/>
        <v>42.651787983194218</v>
      </c>
      <c r="J526" s="349">
        <f t="shared" ca="1" si="52"/>
        <v>42.651787983194218</v>
      </c>
    </row>
    <row r="527" spans="1:10">
      <c r="A527" s="184">
        <v>348</v>
      </c>
      <c r="B527" s="190">
        <f t="shared" ca="1" si="53"/>
        <v>9.8923651744217786E-2</v>
      </c>
      <c r="C527" s="190">
        <f t="shared" ca="1" si="54"/>
        <v>5.5870356423609019E-2</v>
      </c>
      <c r="D527" s="190">
        <f t="shared" ca="1" si="55"/>
        <v>2.544706798434954E-2</v>
      </c>
      <c r="E527" s="190">
        <f t="shared" ca="1" si="56"/>
        <v>-8.3913697052924018E-3</v>
      </c>
      <c r="F527" s="189" t="b">
        <f t="shared" ca="1" si="57"/>
        <v>1</v>
      </c>
      <c r="G527" s="188">
        <f ca="1">IF(F527,IFERROR(((('Data Schema'!$C$3*(1+B527)^1)*((1-$I$4-$I$5+E527)*(1-$I$10)+$I$6-$I$11)-('Data Schema'!$C$3*(1+B527)^1-'Data Schema'!$C$3)*$I$12)/(1+C527)^1+(('Data Schema'!$C$3*(1+B527)^2)*((1-$I$4-$I$5+E527)*(1-$I$10)+$I$6-$I$11)-('Data Schema'!$C$3*(1+B527)^2-'Data Schema'!$C$3*(1+B527)^1)*$I$12)/(1+C527)^2+(('Data Schema'!$C$3*(1+B527)^3)*((1-$I$4-$I$5+E527)*(1-$I$10)+$I$6-$I$11)-('Data Schema'!$C$3*(1+B527)^3-'Data Schema'!$C$3*(1+B527)^2)*$I$12)/(1+C527)^3+(('Data Schema'!$C$3*(1+B527)^4)*((1-$I$4-$I$5+E527)*(1-$I$10)+$I$6-$I$11)-('Data Schema'!$C$3*(1+B527)^4-'Data Schema'!$C$3*(1+B527)^3)*$I$12)/(1+C527)^4+(('Data Schema'!$C$3*(1+B527)^5)*((1-$I$4-$I$5+E527)*(1-$I$10)+$I$6-$I$11)-('Data Schema'!$C$3*(1+B527)^5-'Data Schema'!$C$3*(1+B527)^4)*$I$12)/(1+C527)^5+((('Data Schema'!$C$3*(1+B527)^5)*((1-$I$4-$I$5+E527)*(1-$I$10)+$I$6-$I$11)-('Data Schema'!$C$3*(1+B527)^5-'Data Schema'!$C$3*(1+B527)^4)*$I$12)*(1+D527)/(C527-D527))/(1+C527)^5-'Data Schema'!$C$31+'Data Schema'!$C$21)/'Data Schema'!$B$17,0),"INVALID")</f>
        <v>72.68617042639211</v>
      </c>
      <c r="H527" s="189" t="b">
        <f t="shared" ca="1" si="58"/>
        <v>1</v>
      </c>
      <c r="I527" s="188">
        <f t="shared" ca="1" si="59"/>
        <v>72.68617042639211</v>
      </c>
      <c r="J527" s="349">
        <f t="shared" ca="1" si="52"/>
        <v>72.68617042639211</v>
      </c>
    </row>
    <row r="528" spans="1:10">
      <c r="A528" s="185">
        <v>349</v>
      </c>
      <c r="B528" s="190">
        <f t="shared" ca="1" si="53"/>
        <v>0.10377158580380547</v>
      </c>
      <c r="C528" s="190">
        <f t="shared" ca="1" si="54"/>
        <v>8.5805440307142697E-2</v>
      </c>
      <c r="D528" s="190">
        <f t="shared" ca="1" si="55"/>
        <v>2.9395598973278633E-2</v>
      </c>
      <c r="E528" s="190">
        <f t="shared" ca="1" si="56"/>
        <v>-6.0877236299286382E-2</v>
      </c>
      <c r="F528" s="189" t="b">
        <f t="shared" ca="1" si="57"/>
        <v>1</v>
      </c>
      <c r="G528" s="188">
        <f ca="1">IF(F528,IFERROR(((('Data Schema'!$C$3*(1+B528)^1)*((1-$I$4-$I$5+E528)*(1-$I$10)+$I$6-$I$11)-('Data Schema'!$C$3*(1+B528)^1-'Data Schema'!$C$3)*$I$12)/(1+C528)^1+(('Data Schema'!$C$3*(1+B528)^2)*((1-$I$4-$I$5+E528)*(1-$I$10)+$I$6-$I$11)-('Data Schema'!$C$3*(1+B528)^2-'Data Schema'!$C$3*(1+B528)^1)*$I$12)/(1+C528)^2+(('Data Schema'!$C$3*(1+B528)^3)*((1-$I$4-$I$5+E528)*(1-$I$10)+$I$6-$I$11)-('Data Schema'!$C$3*(1+B528)^3-'Data Schema'!$C$3*(1+B528)^2)*$I$12)/(1+C528)^3+(('Data Schema'!$C$3*(1+B528)^4)*((1-$I$4-$I$5+E528)*(1-$I$10)+$I$6-$I$11)-('Data Schema'!$C$3*(1+B528)^4-'Data Schema'!$C$3*(1+B528)^3)*$I$12)/(1+C528)^4+(('Data Schema'!$C$3*(1+B528)^5)*((1-$I$4-$I$5+E528)*(1-$I$10)+$I$6-$I$11)-('Data Schema'!$C$3*(1+B528)^5-'Data Schema'!$C$3*(1+B528)^4)*$I$12)/(1+C528)^5+((('Data Schema'!$C$3*(1+B528)^5)*((1-$I$4-$I$5+E528)*(1-$I$10)+$I$6-$I$11)-('Data Schema'!$C$3*(1+B528)^5-'Data Schema'!$C$3*(1+B528)^4)*$I$12)*(1+D528)/(C528-D528))/(1+C528)^5-'Data Schema'!$C$31+'Data Schema'!$C$21)/'Data Schema'!$B$17,0),"INVALID")</f>
        <v>-52.230967753833632</v>
      </c>
      <c r="H528" s="189" t="b">
        <f t="shared" ca="1" si="58"/>
        <v>0</v>
      </c>
      <c r="I528" s="188" t="str">
        <f t="shared" ca="1" si="59"/>
        <v/>
      </c>
      <c r="J528" s="349" t="str">
        <f t="shared" ca="1" si="52"/>
        <v/>
      </c>
    </row>
    <row r="529" spans="1:10">
      <c r="A529" s="184">
        <v>350</v>
      </c>
      <c r="B529" s="190">
        <f t="shared" ca="1" si="53"/>
        <v>9.5535797522861635E-2</v>
      </c>
      <c r="C529" s="190">
        <f t="shared" ca="1" si="54"/>
        <v>7.4203423789050427E-2</v>
      </c>
      <c r="D529" s="190">
        <f t="shared" ca="1" si="55"/>
        <v>3.2534704680047183E-2</v>
      </c>
      <c r="E529" s="190">
        <f t="shared" ca="1" si="56"/>
        <v>-1.589028369748707E-2</v>
      </c>
      <c r="F529" s="189" t="b">
        <f t="shared" ca="1" si="57"/>
        <v>1</v>
      </c>
      <c r="G529" s="188">
        <f ca="1">IF(F529,IFERROR(((('Data Schema'!$C$3*(1+B529)^1)*((1-$I$4-$I$5+E529)*(1-$I$10)+$I$6-$I$11)-('Data Schema'!$C$3*(1+B529)^1-'Data Schema'!$C$3)*$I$12)/(1+C529)^1+(('Data Schema'!$C$3*(1+B529)^2)*((1-$I$4-$I$5+E529)*(1-$I$10)+$I$6-$I$11)-('Data Schema'!$C$3*(1+B529)^2-'Data Schema'!$C$3*(1+B529)^1)*$I$12)/(1+C529)^2+(('Data Schema'!$C$3*(1+B529)^3)*((1-$I$4-$I$5+E529)*(1-$I$10)+$I$6-$I$11)-('Data Schema'!$C$3*(1+B529)^3-'Data Schema'!$C$3*(1+B529)^2)*$I$12)/(1+C529)^3+(('Data Schema'!$C$3*(1+B529)^4)*((1-$I$4-$I$5+E529)*(1-$I$10)+$I$6-$I$11)-('Data Schema'!$C$3*(1+B529)^4-'Data Schema'!$C$3*(1+B529)^3)*$I$12)/(1+C529)^4+(('Data Schema'!$C$3*(1+B529)^5)*((1-$I$4-$I$5+E529)*(1-$I$10)+$I$6-$I$11)-('Data Schema'!$C$3*(1+B529)^5-'Data Schema'!$C$3*(1+B529)^4)*$I$12)/(1+C529)^5+((('Data Schema'!$C$3*(1+B529)^5)*((1-$I$4-$I$5+E529)*(1-$I$10)+$I$6-$I$11)-('Data Schema'!$C$3*(1+B529)^5-'Data Schema'!$C$3*(1+B529)^4)*$I$12)*(1+D529)/(C529-D529))/(1+C529)^5-'Data Schema'!$C$31+'Data Schema'!$C$21)/'Data Schema'!$B$17,0),"INVALID")</f>
        <v>32.409354563793855</v>
      </c>
      <c r="H529" s="189" t="b">
        <f t="shared" ca="1" si="58"/>
        <v>1</v>
      </c>
      <c r="I529" s="188">
        <f t="shared" ca="1" si="59"/>
        <v>32.409354563793855</v>
      </c>
      <c r="J529" s="349">
        <f t="shared" ca="1" si="52"/>
        <v>32.409354563793855</v>
      </c>
    </row>
    <row r="530" spans="1:10">
      <c r="A530" s="185">
        <v>351</v>
      </c>
      <c r="B530" s="190">
        <f t="shared" ca="1" si="53"/>
        <v>0.11443676463786297</v>
      </c>
      <c r="C530" s="190">
        <f t="shared" ca="1" si="54"/>
        <v>5.9813064747397351E-2</v>
      </c>
      <c r="D530" s="190">
        <f t="shared" ca="1" si="55"/>
        <v>2.0472706191434001E-2</v>
      </c>
      <c r="E530" s="190">
        <f t="shared" ca="1" si="56"/>
        <v>-3.732417047116246E-2</v>
      </c>
      <c r="F530" s="189" t="b">
        <f t="shared" ca="1" si="57"/>
        <v>1</v>
      </c>
      <c r="G530" s="188">
        <f ca="1">IF(F530,IFERROR(((('Data Schema'!$C$3*(1+B530)^1)*((1-$I$4-$I$5+E530)*(1-$I$10)+$I$6-$I$11)-('Data Schema'!$C$3*(1+B530)^1-'Data Schema'!$C$3)*$I$12)/(1+C530)^1+(('Data Schema'!$C$3*(1+B530)^2)*((1-$I$4-$I$5+E530)*(1-$I$10)+$I$6-$I$11)-('Data Schema'!$C$3*(1+B530)^2-'Data Schema'!$C$3*(1+B530)^1)*$I$12)/(1+C530)^2+(('Data Schema'!$C$3*(1+B530)^3)*((1-$I$4-$I$5+E530)*(1-$I$10)+$I$6-$I$11)-('Data Schema'!$C$3*(1+B530)^3-'Data Schema'!$C$3*(1+B530)^2)*$I$12)/(1+C530)^3+(('Data Schema'!$C$3*(1+B530)^4)*((1-$I$4-$I$5+E530)*(1-$I$10)+$I$6-$I$11)-('Data Schema'!$C$3*(1+B530)^4-'Data Schema'!$C$3*(1+B530)^3)*$I$12)/(1+C530)^4+(('Data Schema'!$C$3*(1+B530)^5)*((1-$I$4-$I$5+E530)*(1-$I$10)+$I$6-$I$11)-('Data Schema'!$C$3*(1+B530)^5-'Data Schema'!$C$3*(1+B530)^4)*$I$12)/(1+C530)^5+((('Data Schema'!$C$3*(1+B530)^5)*((1-$I$4-$I$5+E530)*(1-$I$10)+$I$6-$I$11)-('Data Schema'!$C$3*(1+B530)^5-'Data Schema'!$C$3*(1+B530)^4)*$I$12)*(1+D530)/(C530-D530))/(1+C530)^5-'Data Schema'!$C$31+'Data Schema'!$C$21)/'Data Schema'!$B$17,0),"INVALID")</f>
        <v>-16.768013046157368</v>
      </c>
      <c r="H530" s="189" t="b">
        <f t="shared" ca="1" si="58"/>
        <v>0</v>
      </c>
      <c r="I530" s="188" t="str">
        <f t="shared" ca="1" si="59"/>
        <v/>
      </c>
      <c r="J530" s="349" t="str">
        <f t="shared" ca="1" si="52"/>
        <v/>
      </c>
    </row>
    <row r="531" spans="1:10">
      <c r="A531" s="184">
        <v>352</v>
      </c>
      <c r="B531" s="190">
        <f t="shared" ca="1" si="53"/>
        <v>0.11105544811115017</v>
      </c>
      <c r="C531" s="190">
        <f t="shared" ca="1" si="54"/>
        <v>4.7709925611904513E-2</v>
      </c>
      <c r="D531" s="190">
        <f t="shared" ca="1" si="55"/>
        <v>2.4210483519517777E-2</v>
      </c>
      <c r="E531" s="190">
        <f t="shared" ca="1" si="56"/>
        <v>3.12271661851636E-2</v>
      </c>
      <c r="F531" s="189" t="b">
        <f t="shared" ca="1" si="57"/>
        <v>1</v>
      </c>
      <c r="G531" s="188">
        <f ca="1">IF(F531,IFERROR(((('Data Schema'!$C$3*(1+B531)^1)*((1-$I$4-$I$5+E531)*(1-$I$10)+$I$6-$I$11)-('Data Schema'!$C$3*(1+B531)^1-'Data Schema'!$C$3)*$I$12)/(1+C531)^1+(('Data Schema'!$C$3*(1+B531)^2)*((1-$I$4-$I$5+E531)*(1-$I$10)+$I$6-$I$11)-('Data Schema'!$C$3*(1+B531)^2-'Data Schema'!$C$3*(1+B531)^1)*$I$12)/(1+C531)^2+(('Data Schema'!$C$3*(1+B531)^3)*((1-$I$4-$I$5+E531)*(1-$I$10)+$I$6-$I$11)-('Data Schema'!$C$3*(1+B531)^3-'Data Schema'!$C$3*(1+B531)^2)*$I$12)/(1+C531)^3+(('Data Schema'!$C$3*(1+B531)^4)*((1-$I$4-$I$5+E531)*(1-$I$10)+$I$6-$I$11)-('Data Schema'!$C$3*(1+B531)^4-'Data Schema'!$C$3*(1+B531)^3)*$I$12)/(1+C531)^4+(('Data Schema'!$C$3*(1+B531)^5)*((1-$I$4-$I$5+E531)*(1-$I$10)+$I$6-$I$11)-('Data Schema'!$C$3*(1+B531)^5-'Data Schema'!$C$3*(1+B531)^4)*$I$12)/(1+C531)^5+((('Data Schema'!$C$3*(1+B531)^5)*((1-$I$4-$I$5+E531)*(1-$I$10)+$I$6-$I$11)-('Data Schema'!$C$3*(1+B531)^5-'Data Schema'!$C$3*(1+B531)^4)*$I$12)*(1+D531)/(C531-D531))/(1+C531)^5-'Data Schema'!$C$31+'Data Schema'!$C$21)/'Data Schema'!$B$17,0),"INVALID")</f>
        <v>271.78354326522998</v>
      </c>
      <c r="H531" s="189" t="b">
        <f t="shared" ca="1" si="58"/>
        <v>1</v>
      </c>
      <c r="I531" s="188">
        <f t="shared" ca="1" si="59"/>
        <v>271.78354326522998</v>
      </c>
      <c r="J531" s="349" t="str">
        <f t="shared" ca="1" si="52"/>
        <v/>
      </c>
    </row>
    <row r="532" spans="1:10">
      <c r="A532" s="185">
        <v>353</v>
      </c>
      <c r="B532" s="190">
        <f t="shared" ca="1" si="53"/>
        <v>0.12410229835928324</v>
      </c>
      <c r="C532" s="190">
        <f t="shared" ca="1" si="54"/>
        <v>5.8982153149528802E-2</v>
      </c>
      <c r="D532" s="190">
        <f t="shared" ca="1" si="55"/>
        <v>1.9999978719188953E-2</v>
      </c>
      <c r="E532" s="190">
        <f t="shared" ca="1" si="56"/>
        <v>3.3060074818791307E-2</v>
      </c>
      <c r="F532" s="189" t="b">
        <f t="shared" ca="1" si="57"/>
        <v>1</v>
      </c>
      <c r="G532" s="188">
        <f ca="1">IF(F532,IFERROR(((('Data Schema'!$C$3*(1+B532)^1)*((1-$I$4-$I$5+E532)*(1-$I$10)+$I$6-$I$11)-('Data Schema'!$C$3*(1+B532)^1-'Data Schema'!$C$3)*$I$12)/(1+C532)^1+(('Data Schema'!$C$3*(1+B532)^2)*((1-$I$4-$I$5+E532)*(1-$I$10)+$I$6-$I$11)-('Data Schema'!$C$3*(1+B532)^2-'Data Schema'!$C$3*(1+B532)^1)*$I$12)/(1+C532)^2+(('Data Schema'!$C$3*(1+B532)^3)*((1-$I$4-$I$5+E532)*(1-$I$10)+$I$6-$I$11)-('Data Schema'!$C$3*(1+B532)^3-'Data Schema'!$C$3*(1+B532)^2)*$I$12)/(1+C532)^3+(('Data Schema'!$C$3*(1+B532)^4)*((1-$I$4-$I$5+E532)*(1-$I$10)+$I$6-$I$11)-('Data Schema'!$C$3*(1+B532)^4-'Data Schema'!$C$3*(1+B532)^3)*$I$12)/(1+C532)^4+(('Data Schema'!$C$3*(1+B532)^5)*((1-$I$4-$I$5+E532)*(1-$I$10)+$I$6-$I$11)-('Data Schema'!$C$3*(1+B532)^5-'Data Schema'!$C$3*(1+B532)^4)*$I$12)/(1+C532)^5+((('Data Schema'!$C$3*(1+B532)^5)*((1-$I$4-$I$5+E532)*(1-$I$10)+$I$6-$I$11)-('Data Schema'!$C$3*(1+B532)^5-'Data Schema'!$C$3*(1+B532)^4)*$I$12)*(1+D532)/(C532-D532))/(1+C532)^5-'Data Schema'!$C$31+'Data Schema'!$C$21)/'Data Schema'!$B$17,0),"INVALID")</f>
        <v>175.79877178166672</v>
      </c>
      <c r="H532" s="189" t="b">
        <f t="shared" ca="1" si="58"/>
        <v>1</v>
      </c>
      <c r="I532" s="188">
        <f t="shared" ca="1" si="59"/>
        <v>175.79877178166672</v>
      </c>
      <c r="J532" s="349">
        <f t="shared" ca="1" si="52"/>
        <v>175.79877178166672</v>
      </c>
    </row>
    <row r="533" spans="1:10">
      <c r="A533" s="184">
        <v>354</v>
      </c>
      <c r="B533" s="190">
        <f t="shared" ca="1" si="53"/>
        <v>0.10851235786990426</v>
      </c>
      <c r="C533" s="190">
        <f t="shared" ca="1" si="54"/>
        <v>7.4920307537950578E-2</v>
      </c>
      <c r="D533" s="190">
        <f t="shared" ca="1" si="55"/>
        <v>1.9291154826386887E-2</v>
      </c>
      <c r="E533" s="190">
        <f t="shared" ca="1" si="56"/>
        <v>3.6029917402033229E-3</v>
      </c>
      <c r="F533" s="189" t="b">
        <f t="shared" ca="1" si="57"/>
        <v>1</v>
      </c>
      <c r="G533" s="188">
        <f ca="1">IF(F533,IFERROR(((('Data Schema'!$C$3*(1+B533)^1)*((1-$I$4-$I$5+E533)*(1-$I$10)+$I$6-$I$11)-('Data Schema'!$C$3*(1+B533)^1-'Data Schema'!$C$3)*$I$12)/(1+C533)^1+(('Data Schema'!$C$3*(1+B533)^2)*((1-$I$4-$I$5+E533)*(1-$I$10)+$I$6-$I$11)-('Data Schema'!$C$3*(1+B533)^2-'Data Schema'!$C$3*(1+B533)^1)*$I$12)/(1+C533)^2+(('Data Schema'!$C$3*(1+B533)^3)*((1-$I$4-$I$5+E533)*(1-$I$10)+$I$6-$I$11)-('Data Schema'!$C$3*(1+B533)^3-'Data Schema'!$C$3*(1+B533)^2)*$I$12)/(1+C533)^3+(('Data Schema'!$C$3*(1+B533)^4)*((1-$I$4-$I$5+E533)*(1-$I$10)+$I$6-$I$11)-('Data Schema'!$C$3*(1+B533)^4-'Data Schema'!$C$3*(1+B533)^3)*$I$12)/(1+C533)^4+(('Data Schema'!$C$3*(1+B533)^5)*((1-$I$4-$I$5+E533)*(1-$I$10)+$I$6-$I$11)-('Data Schema'!$C$3*(1+B533)^5-'Data Schema'!$C$3*(1+B533)^4)*$I$12)/(1+C533)^5+((('Data Schema'!$C$3*(1+B533)^5)*((1-$I$4-$I$5+E533)*(1-$I$10)+$I$6-$I$11)-('Data Schema'!$C$3*(1+B533)^5-'Data Schema'!$C$3*(1+B533)^4)*$I$12)*(1+D533)/(C533-D533))/(1+C533)^5-'Data Schema'!$C$31+'Data Schema'!$C$21)/'Data Schema'!$B$17,0),"INVALID")</f>
        <v>59.819093693010544</v>
      </c>
      <c r="H533" s="189" t="b">
        <f t="shared" ca="1" si="58"/>
        <v>1</v>
      </c>
      <c r="I533" s="188">
        <f t="shared" ca="1" si="59"/>
        <v>59.819093693010544</v>
      </c>
      <c r="J533" s="349">
        <f t="shared" ca="1" si="52"/>
        <v>59.819093693010544</v>
      </c>
    </row>
    <row r="534" spans="1:10">
      <c r="A534" s="185">
        <v>355</v>
      </c>
      <c r="B534" s="190">
        <f t="shared" ca="1" si="53"/>
        <v>0.13435102022010914</v>
      </c>
      <c r="C534" s="190">
        <f t="shared" ca="1" si="54"/>
        <v>5.7725939861614492E-2</v>
      </c>
      <c r="D534" s="190">
        <f t="shared" ca="1" si="55"/>
        <v>2.7254118233363545E-2</v>
      </c>
      <c r="E534" s="190">
        <f t="shared" ca="1" si="56"/>
        <v>-4.3486180856150171E-3</v>
      </c>
      <c r="F534" s="189" t="b">
        <f t="shared" ca="1" si="57"/>
        <v>1</v>
      </c>
      <c r="G534" s="188">
        <f ca="1">IF(F534,IFERROR(((('Data Schema'!$C$3*(1+B534)^1)*((1-$I$4-$I$5+E534)*(1-$I$10)+$I$6-$I$11)-('Data Schema'!$C$3*(1+B534)^1-'Data Schema'!$C$3)*$I$12)/(1+C534)^1+(('Data Schema'!$C$3*(1+B534)^2)*((1-$I$4-$I$5+E534)*(1-$I$10)+$I$6-$I$11)-('Data Schema'!$C$3*(1+B534)^2-'Data Schema'!$C$3*(1+B534)^1)*$I$12)/(1+C534)^2+(('Data Schema'!$C$3*(1+B534)^3)*((1-$I$4-$I$5+E534)*(1-$I$10)+$I$6-$I$11)-('Data Schema'!$C$3*(1+B534)^3-'Data Schema'!$C$3*(1+B534)^2)*$I$12)/(1+C534)^3+(('Data Schema'!$C$3*(1+B534)^4)*((1-$I$4-$I$5+E534)*(1-$I$10)+$I$6-$I$11)-('Data Schema'!$C$3*(1+B534)^4-'Data Schema'!$C$3*(1+B534)^3)*$I$12)/(1+C534)^4+(('Data Schema'!$C$3*(1+B534)^5)*((1-$I$4-$I$5+E534)*(1-$I$10)+$I$6-$I$11)-('Data Schema'!$C$3*(1+B534)^5-'Data Schema'!$C$3*(1+B534)^4)*$I$12)/(1+C534)^5+((('Data Schema'!$C$3*(1+B534)^5)*((1-$I$4-$I$5+E534)*(1-$I$10)+$I$6-$I$11)-('Data Schema'!$C$3*(1+B534)^5-'Data Schema'!$C$3*(1+B534)^4)*$I$12)*(1+D534)/(C534-D534))/(1+C534)^5-'Data Schema'!$C$31+'Data Schema'!$C$21)/'Data Schema'!$B$17,0),"INVALID")</f>
        <v>96.804574512141826</v>
      </c>
      <c r="H534" s="189" t="b">
        <f t="shared" ca="1" si="58"/>
        <v>1</v>
      </c>
      <c r="I534" s="188">
        <f t="shared" ca="1" si="59"/>
        <v>96.804574512141826</v>
      </c>
      <c r="J534" s="349">
        <f t="shared" ca="1" si="52"/>
        <v>96.804574512141826</v>
      </c>
    </row>
    <row r="535" spans="1:10">
      <c r="A535" s="184">
        <v>356</v>
      </c>
      <c r="B535" s="190">
        <f t="shared" ca="1" si="53"/>
        <v>0.11836331579128456</v>
      </c>
      <c r="C535" s="190">
        <f t="shared" ca="1" si="54"/>
        <v>5.7190420347725562E-2</v>
      </c>
      <c r="D535" s="190">
        <f t="shared" ca="1" si="55"/>
        <v>1.6598199633681102E-2</v>
      </c>
      <c r="E535" s="190">
        <f t="shared" ca="1" si="56"/>
        <v>-2.0189590715346057E-2</v>
      </c>
      <c r="F535" s="189" t="b">
        <f t="shared" ca="1" si="57"/>
        <v>1</v>
      </c>
      <c r="G535" s="188">
        <f ca="1">IF(F535,IFERROR(((('Data Schema'!$C$3*(1+B535)^1)*((1-$I$4-$I$5+E535)*(1-$I$10)+$I$6-$I$11)-('Data Schema'!$C$3*(1+B535)^1-'Data Schema'!$C$3)*$I$12)/(1+C535)^1+(('Data Schema'!$C$3*(1+B535)^2)*((1-$I$4-$I$5+E535)*(1-$I$10)+$I$6-$I$11)-('Data Schema'!$C$3*(1+B535)^2-'Data Schema'!$C$3*(1+B535)^1)*$I$12)/(1+C535)^2+(('Data Schema'!$C$3*(1+B535)^3)*((1-$I$4-$I$5+E535)*(1-$I$10)+$I$6-$I$11)-('Data Schema'!$C$3*(1+B535)^3-'Data Schema'!$C$3*(1+B535)^2)*$I$12)/(1+C535)^3+(('Data Schema'!$C$3*(1+B535)^4)*((1-$I$4-$I$5+E535)*(1-$I$10)+$I$6-$I$11)-('Data Schema'!$C$3*(1+B535)^4-'Data Schema'!$C$3*(1+B535)^3)*$I$12)/(1+C535)^4+(('Data Schema'!$C$3*(1+B535)^5)*((1-$I$4-$I$5+E535)*(1-$I$10)+$I$6-$I$11)-('Data Schema'!$C$3*(1+B535)^5-'Data Schema'!$C$3*(1+B535)^4)*$I$12)/(1+C535)^5+((('Data Schema'!$C$3*(1+B535)^5)*((1-$I$4-$I$5+E535)*(1-$I$10)+$I$6-$I$11)-('Data Schema'!$C$3*(1+B535)^5-'Data Schema'!$C$3*(1+B535)^4)*$I$12)*(1+D535)/(C535-D535))/(1+C535)^5-'Data Schema'!$C$31+'Data Schema'!$C$21)/'Data Schema'!$B$17,0),"INVALID")</f>
        <v>27.717020292175526</v>
      </c>
      <c r="H535" s="189" t="b">
        <f t="shared" ca="1" si="58"/>
        <v>1</v>
      </c>
      <c r="I535" s="188">
        <f t="shared" ca="1" si="59"/>
        <v>27.717020292175526</v>
      </c>
      <c r="J535" s="349">
        <f t="shared" ca="1" si="52"/>
        <v>27.717020292175526</v>
      </c>
    </row>
    <row r="536" spans="1:10">
      <c r="A536" s="185">
        <v>357</v>
      </c>
      <c r="B536" s="190">
        <f t="shared" ca="1" si="53"/>
        <v>0.14440152795904837</v>
      </c>
      <c r="C536" s="190">
        <f t="shared" ca="1" si="54"/>
        <v>6.618867397336739E-2</v>
      </c>
      <c r="D536" s="190">
        <f t="shared" ca="1" si="55"/>
        <v>1.3764252735052206E-2</v>
      </c>
      <c r="E536" s="190">
        <f t="shared" ca="1" si="56"/>
        <v>2.0068041905593258E-2</v>
      </c>
      <c r="F536" s="189" t="b">
        <f t="shared" ca="1" si="57"/>
        <v>1</v>
      </c>
      <c r="G536" s="188">
        <f ca="1">IF(F536,IFERROR(((('Data Schema'!$C$3*(1+B536)^1)*((1-$I$4-$I$5+E536)*(1-$I$10)+$I$6-$I$11)-('Data Schema'!$C$3*(1+B536)^1-'Data Schema'!$C$3)*$I$12)/(1+C536)^1+(('Data Schema'!$C$3*(1+B536)^2)*((1-$I$4-$I$5+E536)*(1-$I$10)+$I$6-$I$11)-('Data Schema'!$C$3*(1+B536)^2-'Data Schema'!$C$3*(1+B536)^1)*$I$12)/(1+C536)^2+(('Data Schema'!$C$3*(1+B536)^3)*((1-$I$4-$I$5+E536)*(1-$I$10)+$I$6-$I$11)-('Data Schema'!$C$3*(1+B536)^3-'Data Schema'!$C$3*(1+B536)^2)*$I$12)/(1+C536)^3+(('Data Schema'!$C$3*(1+B536)^4)*((1-$I$4-$I$5+E536)*(1-$I$10)+$I$6-$I$11)-('Data Schema'!$C$3*(1+B536)^4-'Data Schema'!$C$3*(1+B536)^3)*$I$12)/(1+C536)^4+(('Data Schema'!$C$3*(1+B536)^5)*((1-$I$4-$I$5+E536)*(1-$I$10)+$I$6-$I$11)-('Data Schema'!$C$3*(1+B536)^5-'Data Schema'!$C$3*(1+B536)^4)*$I$12)/(1+C536)^5+((('Data Schema'!$C$3*(1+B536)^5)*((1-$I$4-$I$5+E536)*(1-$I$10)+$I$6-$I$11)-('Data Schema'!$C$3*(1+B536)^5-'Data Schema'!$C$3*(1+B536)^4)*$I$12)*(1+D536)/(C536-D536))/(1+C536)^5-'Data Schema'!$C$31+'Data Schema'!$C$21)/'Data Schema'!$B$17,0),"INVALID")</f>
        <v>112.37229274664833</v>
      </c>
      <c r="H536" s="189" t="b">
        <f t="shared" ca="1" si="58"/>
        <v>1</v>
      </c>
      <c r="I536" s="188">
        <f t="shared" ca="1" si="59"/>
        <v>112.37229274664833</v>
      </c>
      <c r="J536" s="349">
        <f t="shared" ca="1" si="52"/>
        <v>112.37229274664833</v>
      </c>
    </row>
    <row r="537" spans="1:10">
      <c r="A537" s="184">
        <v>358</v>
      </c>
      <c r="B537" s="190">
        <f t="shared" ca="1" si="53"/>
        <v>0.10263069392568644</v>
      </c>
      <c r="C537" s="190">
        <f t="shared" ca="1" si="54"/>
        <v>6.7008860135902099E-2</v>
      </c>
      <c r="D537" s="190">
        <f t="shared" ca="1" si="55"/>
        <v>1.6991014196114942E-2</v>
      </c>
      <c r="E537" s="190">
        <f t="shared" ca="1" si="56"/>
        <v>4.0593697775433604E-2</v>
      </c>
      <c r="F537" s="189" t="b">
        <f t="shared" ca="1" si="57"/>
        <v>1</v>
      </c>
      <c r="G537" s="188">
        <f ca="1">IF(F537,IFERROR(((('Data Schema'!$C$3*(1+B537)^1)*((1-$I$4-$I$5+E537)*(1-$I$10)+$I$6-$I$11)-('Data Schema'!$C$3*(1+B537)^1-'Data Schema'!$C$3)*$I$12)/(1+C537)^1+(('Data Schema'!$C$3*(1+B537)^2)*((1-$I$4-$I$5+E537)*(1-$I$10)+$I$6-$I$11)-('Data Schema'!$C$3*(1+B537)^2-'Data Schema'!$C$3*(1+B537)^1)*$I$12)/(1+C537)^2+(('Data Schema'!$C$3*(1+B537)^3)*((1-$I$4-$I$5+E537)*(1-$I$10)+$I$6-$I$11)-('Data Schema'!$C$3*(1+B537)^3-'Data Schema'!$C$3*(1+B537)^2)*$I$12)/(1+C537)^3+(('Data Schema'!$C$3*(1+B537)^4)*((1-$I$4-$I$5+E537)*(1-$I$10)+$I$6-$I$11)-('Data Schema'!$C$3*(1+B537)^4-'Data Schema'!$C$3*(1+B537)^3)*$I$12)/(1+C537)^4+(('Data Schema'!$C$3*(1+B537)^5)*((1-$I$4-$I$5+E537)*(1-$I$10)+$I$6-$I$11)-('Data Schema'!$C$3*(1+B537)^5-'Data Schema'!$C$3*(1+B537)^4)*$I$12)/(1+C537)^5+((('Data Schema'!$C$3*(1+B537)^5)*((1-$I$4-$I$5+E537)*(1-$I$10)+$I$6-$I$11)-('Data Schema'!$C$3*(1+B537)^5-'Data Schema'!$C$3*(1+B537)^4)*$I$12)*(1+D537)/(C537-D537))/(1+C537)^5-'Data Schema'!$C$31+'Data Schema'!$C$21)/'Data Schema'!$B$17,0),"INVALID")</f>
        <v>139.32450503978109</v>
      </c>
      <c r="H537" s="189" t="b">
        <f t="shared" ca="1" si="58"/>
        <v>1</v>
      </c>
      <c r="I537" s="188">
        <f t="shared" ca="1" si="59"/>
        <v>139.32450503978109</v>
      </c>
      <c r="J537" s="349">
        <f t="shared" ca="1" si="52"/>
        <v>139.32450503978109</v>
      </c>
    </row>
    <row r="538" spans="1:10">
      <c r="A538" s="185">
        <v>359</v>
      </c>
      <c r="B538" s="190">
        <f t="shared" ca="1" si="53"/>
        <v>9.0744731204387419E-2</v>
      </c>
      <c r="C538" s="190">
        <f t="shared" ca="1" si="54"/>
        <v>6.3555542747211702E-2</v>
      </c>
      <c r="D538" s="190">
        <f t="shared" ca="1" si="55"/>
        <v>2.339704816325771E-2</v>
      </c>
      <c r="E538" s="190">
        <f t="shared" ca="1" si="56"/>
        <v>3.7050638047689169E-2</v>
      </c>
      <c r="F538" s="189" t="b">
        <f t="shared" ca="1" si="57"/>
        <v>1</v>
      </c>
      <c r="G538" s="188">
        <f ca="1">IF(F538,IFERROR(((('Data Schema'!$C$3*(1+B538)^1)*((1-$I$4-$I$5+E538)*(1-$I$10)+$I$6-$I$11)-('Data Schema'!$C$3*(1+B538)^1-'Data Schema'!$C$3)*$I$12)/(1+C538)^1+(('Data Schema'!$C$3*(1+B538)^2)*((1-$I$4-$I$5+E538)*(1-$I$10)+$I$6-$I$11)-('Data Schema'!$C$3*(1+B538)^2-'Data Schema'!$C$3*(1+B538)^1)*$I$12)/(1+C538)^2+(('Data Schema'!$C$3*(1+B538)^3)*((1-$I$4-$I$5+E538)*(1-$I$10)+$I$6-$I$11)-('Data Schema'!$C$3*(1+B538)^3-'Data Schema'!$C$3*(1+B538)^2)*$I$12)/(1+C538)^3+(('Data Schema'!$C$3*(1+B538)^4)*((1-$I$4-$I$5+E538)*(1-$I$10)+$I$6-$I$11)-('Data Schema'!$C$3*(1+B538)^4-'Data Schema'!$C$3*(1+B538)^3)*$I$12)/(1+C538)^4+(('Data Schema'!$C$3*(1+B538)^5)*((1-$I$4-$I$5+E538)*(1-$I$10)+$I$6-$I$11)-('Data Schema'!$C$3*(1+B538)^5-'Data Schema'!$C$3*(1+B538)^4)*$I$12)/(1+C538)^5+((('Data Schema'!$C$3*(1+B538)^5)*((1-$I$4-$I$5+E538)*(1-$I$10)+$I$6-$I$11)-('Data Schema'!$C$3*(1+B538)^5-'Data Schema'!$C$3*(1+B538)^4)*$I$12)*(1+D538)/(C538-D538))/(1+C538)^5-'Data Schema'!$C$31+'Data Schema'!$C$21)/'Data Schema'!$B$17,0),"INVALID")</f>
        <v>155.76969706176109</v>
      </c>
      <c r="H538" s="189" t="b">
        <f t="shared" ca="1" si="58"/>
        <v>1</v>
      </c>
      <c r="I538" s="188">
        <f t="shared" ca="1" si="59"/>
        <v>155.76969706176109</v>
      </c>
      <c r="J538" s="349">
        <f t="shared" ca="1" si="52"/>
        <v>155.76969706176109</v>
      </c>
    </row>
    <row r="539" spans="1:10">
      <c r="A539" s="184">
        <v>360</v>
      </c>
      <c r="B539" s="190">
        <f t="shared" ca="1" si="53"/>
        <v>0.11500592725885658</v>
      </c>
      <c r="C539" s="190">
        <f t="shared" ca="1" si="54"/>
        <v>6.5953496834798134E-2</v>
      </c>
      <c r="D539" s="190">
        <f t="shared" ca="1" si="55"/>
        <v>1.8753103583026384E-2</v>
      </c>
      <c r="E539" s="190">
        <f t="shared" ca="1" si="56"/>
        <v>-1.4274240562198115E-2</v>
      </c>
      <c r="F539" s="189" t="b">
        <f t="shared" ca="1" si="57"/>
        <v>1</v>
      </c>
      <c r="G539" s="188">
        <f ca="1">IF(F539,IFERROR(((('Data Schema'!$C$3*(1+B539)^1)*((1-$I$4-$I$5+E539)*(1-$I$10)+$I$6-$I$11)-('Data Schema'!$C$3*(1+B539)^1-'Data Schema'!$C$3)*$I$12)/(1+C539)^1+(('Data Schema'!$C$3*(1+B539)^2)*((1-$I$4-$I$5+E539)*(1-$I$10)+$I$6-$I$11)-('Data Schema'!$C$3*(1+B539)^2-'Data Schema'!$C$3*(1+B539)^1)*$I$12)/(1+C539)^2+(('Data Schema'!$C$3*(1+B539)^3)*((1-$I$4-$I$5+E539)*(1-$I$10)+$I$6-$I$11)-('Data Schema'!$C$3*(1+B539)^3-'Data Schema'!$C$3*(1+B539)^2)*$I$12)/(1+C539)^3+(('Data Schema'!$C$3*(1+B539)^4)*((1-$I$4-$I$5+E539)*(1-$I$10)+$I$6-$I$11)-('Data Schema'!$C$3*(1+B539)^4-'Data Schema'!$C$3*(1+B539)^3)*$I$12)/(1+C539)^4+(('Data Schema'!$C$3*(1+B539)^5)*((1-$I$4-$I$5+E539)*(1-$I$10)+$I$6-$I$11)-('Data Schema'!$C$3*(1+B539)^5-'Data Schema'!$C$3*(1+B539)^4)*$I$12)/(1+C539)^5+((('Data Schema'!$C$3*(1+B539)^5)*((1-$I$4-$I$5+E539)*(1-$I$10)+$I$6-$I$11)-('Data Schema'!$C$3*(1+B539)^5-'Data Schema'!$C$3*(1+B539)^4)*$I$12)*(1+D539)/(C539-D539))/(1+C539)^5-'Data Schema'!$C$31+'Data Schema'!$C$21)/'Data Schema'!$B$17,0),"INVALID")</f>
        <v>35.152012449513165</v>
      </c>
      <c r="H539" s="189" t="b">
        <f t="shared" ca="1" si="58"/>
        <v>1</v>
      </c>
      <c r="I539" s="188">
        <f t="shared" ca="1" si="59"/>
        <v>35.152012449513165</v>
      </c>
      <c r="J539" s="349">
        <f t="shared" ca="1" si="52"/>
        <v>35.152012449513165</v>
      </c>
    </row>
    <row r="540" spans="1:10">
      <c r="A540" s="185">
        <v>361</v>
      </c>
      <c r="B540" s="190">
        <f t="shared" ca="1" si="53"/>
        <v>0.11649846007446681</v>
      </c>
      <c r="C540" s="190">
        <f t="shared" ca="1" si="54"/>
        <v>6.5208566856405206E-2</v>
      </c>
      <c r="D540" s="190">
        <f t="shared" ca="1" si="55"/>
        <v>2.1422730696276399E-2</v>
      </c>
      <c r="E540" s="190">
        <f t="shared" ca="1" si="56"/>
        <v>1.9165670300448759E-2</v>
      </c>
      <c r="F540" s="189" t="b">
        <f t="shared" ca="1" si="57"/>
        <v>1</v>
      </c>
      <c r="G540" s="188">
        <f ca="1">IF(F540,IFERROR(((('Data Schema'!$C$3*(1+B540)^1)*((1-$I$4-$I$5+E540)*(1-$I$10)+$I$6-$I$11)-('Data Schema'!$C$3*(1+B540)^1-'Data Schema'!$C$3)*$I$12)/(1+C540)^1+(('Data Schema'!$C$3*(1+B540)^2)*((1-$I$4-$I$5+E540)*(1-$I$10)+$I$6-$I$11)-('Data Schema'!$C$3*(1+B540)^2-'Data Schema'!$C$3*(1+B540)^1)*$I$12)/(1+C540)^2+(('Data Schema'!$C$3*(1+B540)^3)*((1-$I$4-$I$5+E540)*(1-$I$10)+$I$6-$I$11)-('Data Schema'!$C$3*(1+B540)^3-'Data Schema'!$C$3*(1+B540)^2)*$I$12)/(1+C540)^3+(('Data Schema'!$C$3*(1+B540)^4)*((1-$I$4-$I$5+E540)*(1-$I$10)+$I$6-$I$11)-('Data Schema'!$C$3*(1+B540)^4-'Data Schema'!$C$3*(1+B540)^3)*$I$12)/(1+C540)^4+(('Data Schema'!$C$3*(1+B540)^5)*((1-$I$4-$I$5+E540)*(1-$I$10)+$I$6-$I$11)-('Data Schema'!$C$3*(1+B540)^5-'Data Schema'!$C$3*(1+B540)^4)*$I$12)/(1+C540)^5+((('Data Schema'!$C$3*(1+B540)^5)*((1-$I$4-$I$5+E540)*(1-$I$10)+$I$6-$I$11)-('Data Schema'!$C$3*(1+B540)^5-'Data Schema'!$C$3*(1+B540)^4)*$I$12)*(1+D540)/(C540-D540))/(1+C540)^5-'Data Schema'!$C$31+'Data Schema'!$C$21)/'Data Schema'!$B$17,0),"INVALID")</f>
        <v>116.98529501766241</v>
      </c>
      <c r="H540" s="189" t="b">
        <f t="shared" ca="1" si="58"/>
        <v>1</v>
      </c>
      <c r="I540" s="188">
        <f t="shared" ca="1" si="59"/>
        <v>116.98529501766241</v>
      </c>
      <c r="J540" s="349">
        <f t="shared" ca="1" si="52"/>
        <v>116.98529501766241</v>
      </c>
    </row>
    <row r="541" spans="1:10">
      <c r="A541" s="184">
        <v>362</v>
      </c>
      <c r="B541" s="190">
        <f t="shared" ca="1" si="53"/>
        <v>0.10113724494343769</v>
      </c>
      <c r="C541" s="190">
        <f t="shared" ca="1" si="54"/>
        <v>5.5542818163490694E-2</v>
      </c>
      <c r="D541" s="190">
        <f t="shared" ca="1" si="55"/>
        <v>2.2730843793836379E-2</v>
      </c>
      <c r="E541" s="190">
        <f t="shared" ca="1" si="56"/>
        <v>-1.6118098770284899E-2</v>
      </c>
      <c r="F541" s="189" t="b">
        <f t="shared" ca="1" si="57"/>
        <v>1</v>
      </c>
      <c r="G541" s="188">
        <f ca="1">IF(F541,IFERROR(((('Data Schema'!$C$3*(1+B541)^1)*((1-$I$4-$I$5+E541)*(1-$I$10)+$I$6-$I$11)-('Data Schema'!$C$3*(1+B541)^1-'Data Schema'!$C$3)*$I$12)/(1+C541)^1+(('Data Schema'!$C$3*(1+B541)^2)*((1-$I$4-$I$5+E541)*(1-$I$10)+$I$6-$I$11)-('Data Schema'!$C$3*(1+B541)^2-'Data Schema'!$C$3*(1+B541)^1)*$I$12)/(1+C541)^2+(('Data Schema'!$C$3*(1+B541)^3)*((1-$I$4-$I$5+E541)*(1-$I$10)+$I$6-$I$11)-('Data Schema'!$C$3*(1+B541)^3-'Data Schema'!$C$3*(1+B541)^2)*$I$12)/(1+C541)^3+(('Data Schema'!$C$3*(1+B541)^4)*((1-$I$4-$I$5+E541)*(1-$I$10)+$I$6-$I$11)-('Data Schema'!$C$3*(1+B541)^4-'Data Schema'!$C$3*(1+B541)^3)*$I$12)/(1+C541)^4+(('Data Schema'!$C$3*(1+B541)^5)*((1-$I$4-$I$5+E541)*(1-$I$10)+$I$6-$I$11)-('Data Schema'!$C$3*(1+B541)^5-'Data Schema'!$C$3*(1+B541)^4)*$I$12)/(1+C541)^5+((('Data Schema'!$C$3*(1+B541)^5)*((1-$I$4-$I$5+E541)*(1-$I$10)+$I$6-$I$11)-('Data Schema'!$C$3*(1+B541)^5-'Data Schema'!$C$3*(1+B541)^4)*$I$12)*(1+D541)/(C541-D541))/(1+C541)^5-'Data Schema'!$C$31+'Data Schema'!$C$21)/'Data Schema'!$B$17,0),"INVALID")</f>
        <v>45.324829608107365</v>
      </c>
      <c r="H541" s="189" t="b">
        <f t="shared" ca="1" si="58"/>
        <v>1</v>
      </c>
      <c r="I541" s="188">
        <f t="shared" ca="1" si="59"/>
        <v>45.324829608107365</v>
      </c>
      <c r="J541" s="349">
        <f t="shared" ca="1" si="52"/>
        <v>45.324829608107365</v>
      </c>
    </row>
    <row r="542" spans="1:10">
      <c r="A542" s="185">
        <v>363</v>
      </c>
      <c r="B542" s="190">
        <f t="shared" ca="1" si="53"/>
        <v>7.0526306599502889E-2</v>
      </c>
      <c r="C542" s="190">
        <f t="shared" ca="1" si="54"/>
        <v>5.4408599898381566E-2</v>
      </c>
      <c r="D542" s="190">
        <f t="shared" ca="1" si="55"/>
        <v>2.0986233075777107E-2</v>
      </c>
      <c r="E542" s="190">
        <f t="shared" ca="1" si="56"/>
        <v>-3.0312250708820223E-3</v>
      </c>
      <c r="F542" s="189" t="b">
        <f t="shared" ca="1" si="57"/>
        <v>1</v>
      </c>
      <c r="G542" s="188">
        <f ca="1">IF(F542,IFERROR(((('Data Schema'!$C$3*(1+B542)^1)*((1-$I$4-$I$5+E542)*(1-$I$10)+$I$6-$I$11)-('Data Schema'!$C$3*(1+B542)^1-'Data Schema'!$C$3)*$I$12)/(1+C542)^1+(('Data Schema'!$C$3*(1+B542)^2)*((1-$I$4-$I$5+E542)*(1-$I$10)+$I$6-$I$11)-('Data Schema'!$C$3*(1+B542)^2-'Data Schema'!$C$3*(1+B542)^1)*$I$12)/(1+C542)^2+(('Data Schema'!$C$3*(1+B542)^3)*((1-$I$4-$I$5+E542)*(1-$I$10)+$I$6-$I$11)-('Data Schema'!$C$3*(1+B542)^3-'Data Schema'!$C$3*(1+B542)^2)*$I$12)/(1+C542)^3+(('Data Schema'!$C$3*(1+B542)^4)*((1-$I$4-$I$5+E542)*(1-$I$10)+$I$6-$I$11)-('Data Schema'!$C$3*(1+B542)^4-'Data Schema'!$C$3*(1+B542)^3)*$I$12)/(1+C542)^4+(('Data Schema'!$C$3*(1+B542)^5)*((1-$I$4-$I$5+E542)*(1-$I$10)+$I$6-$I$11)-('Data Schema'!$C$3*(1+B542)^5-'Data Schema'!$C$3*(1+B542)^4)*$I$12)/(1+C542)^5+((('Data Schema'!$C$3*(1+B542)^5)*((1-$I$4-$I$5+E542)*(1-$I$10)+$I$6-$I$11)-('Data Schema'!$C$3*(1+B542)^5-'Data Schema'!$C$3*(1+B542)^4)*$I$12)*(1+D542)/(C542-D542))/(1+C542)^5-'Data Schema'!$C$31+'Data Schema'!$C$21)/'Data Schema'!$B$17,0),"INVALID")</f>
        <v>73.29700081832793</v>
      </c>
      <c r="H542" s="189" t="b">
        <f t="shared" ca="1" si="58"/>
        <v>1</v>
      </c>
      <c r="I542" s="188">
        <f t="shared" ca="1" si="59"/>
        <v>73.29700081832793</v>
      </c>
      <c r="J542" s="349">
        <f t="shared" ca="1" si="52"/>
        <v>73.29700081832793</v>
      </c>
    </row>
    <row r="543" spans="1:10">
      <c r="A543" s="184">
        <v>364</v>
      </c>
      <c r="B543" s="190">
        <f t="shared" ca="1" si="53"/>
        <v>9.7510646259612074E-2</v>
      </c>
      <c r="C543" s="190">
        <f t="shared" ca="1" si="54"/>
        <v>5.7080729086726671E-2</v>
      </c>
      <c r="D543" s="190">
        <f t="shared" ca="1" si="55"/>
        <v>2.9399486084637445E-2</v>
      </c>
      <c r="E543" s="190">
        <f t="shared" ca="1" si="56"/>
        <v>-1.809414673230101E-2</v>
      </c>
      <c r="F543" s="189" t="b">
        <f t="shared" ca="1" si="57"/>
        <v>1</v>
      </c>
      <c r="G543" s="188">
        <f ca="1">IF(F543,IFERROR(((('Data Schema'!$C$3*(1+B543)^1)*((1-$I$4-$I$5+E543)*(1-$I$10)+$I$6-$I$11)-('Data Schema'!$C$3*(1+B543)^1-'Data Schema'!$C$3)*$I$12)/(1+C543)^1+(('Data Schema'!$C$3*(1+B543)^2)*((1-$I$4-$I$5+E543)*(1-$I$10)+$I$6-$I$11)-('Data Schema'!$C$3*(1+B543)^2-'Data Schema'!$C$3*(1+B543)^1)*$I$12)/(1+C543)^2+(('Data Schema'!$C$3*(1+B543)^3)*((1-$I$4-$I$5+E543)*(1-$I$10)+$I$6-$I$11)-('Data Schema'!$C$3*(1+B543)^3-'Data Schema'!$C$3*(1+B543)^2)*$I$12)/(1+C543)^3+(('Data Schema'!$C$3*(1+B543)^4)*((1-$I$4-$I$5+E543)*(1-$I$10)+$I$6-$I$11)-('Data Schema'!$C$3*(1+B543)^4-'Data Schema'!$C$3*(1+B543)^3)*$I$12)/(1+C543)^4+(('Data Schema'!$C$3*(1+B543)^5)*((1-$I$4-$I$5+E543)*(1-$I$10)+$I$6-$I$11)-('Data Schema'!$C$3*(1+B543)^5-'Data Schema'!$C$3*(1+B543)^4)*$I$12)/(1+C543)^5+((('Data Schema'!$C$3*(1+B543)^5)*((1-$I$4-$I$5+E543)*(1-$I$10)+$I$6-$I$11)-('Data Schema'!$C$3*(1+B543)^5-'Data Schema'!$C$3*(1+B543)^4)*$I$12)*(1+D543)/(C543-D543))/(1+C543)^5-'Data Schema'!$C$31+'Data Schema'!$C$21)/'Data Schema'!$B$17,0),"INVALID")</f>
        <v>46.375606077366953</v>
      </c>
      <c r="H543" s="189" t="b">
        <f t="shared" ca="1" si="58"/>
        <v>1</v>
      </c>
      <c r="I543" s="188">
        <f t="shared" ca="1" si="59"/>
        <v>46.375606077366953</v>
      </c>
      <c r="J543" s="349">
        <f t="shared" ca="1" si="52"/>
        <v>46.375606077366953</v>
      </c>
    </row>
    <row r="544" spans="1:10">
      <c r="A544" s="185">
        <v>365</v>
      </c>
      <c r="B544" s="190">
        <f t="shared" ca="1" si="53"/>
        <v>9.1180558203811796E-2</v>
      </c>
      <c r="C544" s="190">
        <f t="shared" ca="1" si="54"/>
        <v>5.8196950484895003E-2</v>
      </c>
      <c r="D544" s="190">
        <f t="shared" ca="1" si="55"/>
        <v>3.3214424365276121E-2</v>
      </c>
      <c r="E544" s="190">
        <f t="shared" ca="1" si="56"/>
        <v>-9.2271206358654646E-3</v>
      </c>
      <c r="F544" s="189" t="b">
        <f t="shared" ca="1" si="57"/>
        <v>1</v>
      </c>
      <c r="G544" s="188">
        <f ca="1">IF(F544,IFERROR(((('Data Schema'!$C$3*(1+B544)^1)*((1-$I$4-$I$5+E544)*(1-$I$10)+$I$6-$I$11)-('Data Schema'!$C$3*(1+B544)^1-'Data Schema'!$C$3)*$I$12)/(1+C544)^1+(('Data Schema'!$C$3*(1+B544)^2)*((1-$I$4-$I$5+E544)*(1-$I$10)+$I$6-$I$11)-('Data Schema'!$C$3*(1+B544)^2-'Data Schema'!$C$3*(1+B544)^1)*$I$12)/(1+C544)^2+(('Data Schema'!$C$3*(1+B544)^3)*((1-$I$4-$I$5+E544)*(1-$I$10)+$I$6-$I$11)-('Data Schema'!$C$3*(1+B544)^3-'Data Schema'!$C$3*(1+B544)^2)*$I$12)/(1+C544)^3+(('Data Schema'!$C$3*(1+B544)^4)*((1-$I$4-$I$5+E544)*(1-$I$10)+$I$6-$I$11)-('Data Schema'!$C$3*(1+B544)^4-'Data Schema'!$C$3*(1+B544)^3)*$I$12)/(1+C544)^4+(('Data Schema'!$C$3*(1+B544)^5)*((1-$I$4-$I$5+E544)*(1-$I$10)+$I$6-$I$11)-('Data Schema'!$C$3*(1+B544)^5-'Data Schema'!$C$3*(1+B544)^4)*$I$12)/(1+C544)^5+((('Data Schema'!$C$3*(1+B544)^5)*((1-$I$4-$I$5+E544)*(1-$I$10)+$I$6-$I$11)-('Data Schema'!$C$3*(1+B544)^5-'Data Schema'!$C$3*(1+B544)^4)*$I$12)*(1+D544)/(C544-D544))/(1+C544)^5-'Data Schema'!$C$31+'Data Schema'!$C$21)/'Data Schema'!$B$17,0),"INVALID")</f>
        <v>82.056454800150348</v>
      </c>
      <c r="H544" s="189" t="b">
        <f t="shared" ca="1" si="58"/>
        <v>1</v>
      </c>
      <c r="I544" s="188">
        <f t="shared" ca="1" si="59"/>
        <v>82.056454800150348</v>
      </c>
      <c r="J544" s="349">
        <f t="shared" ca="1" si="52"/>
        <v>82.056454800150348</v>
      </c>
    </row>
    <row r="545" spans="1:10">
      <c r="A545" s="184">
        <v>366</v>
      </c>
      <c r="B545" s="190">
        <f t="shared" ca="1" si="53"/>
        <v>0.11689245816942344</v>
      </c>
      <c r="C545" s="190">
        <f t="shared" ca="1" si="54"/>
        <v>4.1909378963264035E-2</v>
      </c>
      <c r="D545" s="190">
        <f t="shared" ca="1" si="55"/>
        <v>2.5430309144534664E-2</v>
      </c>
      <c r="E545" s="190">
        <f t="shared" ca="1" si="56"/>
        <v>2.9329470129202499E-3</v>
      </c>
      <c r="F545" s="189" t="b">
        <f t="shared" ca="1" si="57"/>
        <v>1</v>
      </c>
      <c r="G545" s="188">
        <f ca="1">IF(F545,IFERROR(((('Data Schema'!$C$3*(1+B545)^1)*((1-$I$4-$I$5+E545)*(1-$I$10)+$I$6-$I$11)-('Data Schema'!$C$3*(1+B545)^1-'Data Schema'!$C$3)*$I$12)/(1+C545)^1+(('Data Schema'!$C$3*(1+B545)^2)*((1-$I$4-$I$5+E545)*(1-$I$10)+$I$6-$I$11)-('Data Schema'!$C$3*(1+B545)^2-'Data Schema'!$C$3*(1+B545)^1)*$I$12)/(1+C545)^2+(('Data Schema'!$C$3*(1+B545)^3)*((1-$I$4-$I$5+E545)*(1-$I$10)+$I$6-$I$11)-('Data Schema'!$C$3*(1+B545)^3-'Data Schema'!$C$3*(1+B545)^2)*$I$12)/(1+C545)^3+(('Data Schema'!$C$3*(1+B545)^4)*((1-$I$4-$I$5+E545)*(1-$I$10)+$I$6-$I$11)-('Data Schema'!$C$3*(1+B545)^4-'Data Schema'!$C$3*(1+B545)^3)*$I$12)/(1+C545)^4+(('Data Schema'!$C$3*(1+B545)^5)*((1-$I$4-$I$5+E545)*(1-$I$10)+$I$6-$I$11)-('Data Schema'!$C$3*(1+B545)^5-'Data Schema'!$C$3*(1+B545)^4)*$I$12)/(1+C545)^5+((('Data Schema'!$C$3*(1+B545)^5)*((1-$I$4-$I$5+E545)*(1-$I$10)+$I$6-$I$11)-('Data Schema'!$C$3*(1+B545)^5-'Data Schema'!$C$3*(1+B545)^4)*$I$12)*(1+D545)/(C545-D545))/(1+C545)^5-'Data Schema'!$C$31+'Data Schema'!$C$21)/'Data Schema'!$B$17,0),"INVALID")</f>
        <v>222.23868456972136</v>
      </c>
      <c r="H545" s="189" t="b">
        <f t="shared" ca="1" si="58"/>
        <v>1</v>
      </c>
      <c r="I545" s="188">
        <f t="shared" ca="1" si="59"/>
        <v>222.23868456972136</v>
      </c>
      <c r="J545" s="349">
        <f t="shared" ca="1" si="52"/>
        <v>222.23868456972136</v>
      </c>
    </row>
    <row r="546" spans="1:10">
      <c r="A546" s="185">
        <v>367</v>
      </c>
      <c r="B546" s="190">
        <f t="shared" ca="1" si="53"/>
        <v>0.10406459804283161</v>
      </c>
      <c r="C546" s="190">
        <f t="shared" ca="1" si="54"/>
        <v>5.4065278933112762E-2</v>
      </c>
      <c r="D546" s="190">
        <f t="shared" ca="1" si="55"/>
        <v>2.7313892994795225E-2</v>
      </c>
      <c r="E546" s="190">
        <f t="shared" ca="1" si="56"/>
        <v>-1.6909131486260207E-2</v>
      </c>
      <c r="F546" s="189" t="b">
        <f t="shared" ca="1" si="57"/>
        <v>1</v>
      </c>
      <c r="G546" s="188">
        <f ca="1">IF(F546,IFERROR(((('Data Schema'!$C$3*(1+B546)^1)*((1-$I$4-$I$5+E546)*(1-$I$10)+$I$6-$I$11)-('Data Schema'!$C$3*(1+B546)^1-'Data Schema'!$C$3)*$I$12)/(1+C546)^1+(('Data Schema'!$C$3*(1+B546)^2)*((1-$I$4-$I$5+E546)*(1-$I$10)+$I$6-$I$11)-('Data Schema'!$C$3*(1+B546)^2-'Data Schema'!$C$3*(1+B546)^1)*$I$12)/(1+C546)^2+(('Data Schema'!$C$3*(1+B546)^3)*((1-$I$4-$I$5+E546)*(1-$I$10)+$I$6-$I$11)-('Data Schema'!$C$3*(1+B546)^3-'Data Schema'!$C$3*(1+B546)^2)*$I$12)/(1+C546)^3+(('Data Schema'!$C$3*(1+B546)^4)*((1-$I$4-$I$5+E546)*(1-$I$10)+$I$6-$I$11)-('Data Schema'!$C$3*(1+B546)^4-'Data Schema'!$C$3*(1+B546)^3)*$I$12)/(1+C546)^4+(('Data Schema'!$C$3*(1+B546)^5)*((1-$I$4-$I$5+E546)*(1-$I$10)+$I$6-$I$11)-('Data Schema'!$C$3*(1+B546)^5-'Data Schema'!$C$3*(1+B546)^4)*$I$12)/(1+C546)^5+((('Data Schema'!$C$3*(1+B546)^5)*((1-$I$4-$I$5+E546)*(1-$I$10)+$I$6-$I$11)-('Data Schema'!$C$3*(1+B546)^5-'Data Schema'!$C$3*(1+B546)^4)*$I$12)*(1+D546)/(C546-D546))/(1+C546)^5-'Data Schema'!$C$31+'Data Schema'!$C$21)/'Data Schema'!$B$17,0),"INVALID")</f>
        <v>54.056831123546985</v>
      </c>
      <c r="H546" s="189" t="b">
        <f t="shared" ca="1" si="58"/>
        <v>1</v>
      </c>
      <c r="I546" s="188">
        <f t="shared" ca="1" si="59"/>
        <v>54.056831123546985</v>
      </c>
      <c r="J546" s="349">
        <f t="shared" ca="1" si="52"/>
        <v>54.056831123546985</v>
      </c>
    </row>
    <row r="547" spans="1:10">
      <c r="A547" s="184">
        <v>368</v>
      </c>
      <c r="B547" s="190">
        <f t="shared" ca="1" si="53"/>
        <v>0.1086316072314738</v>
      </c>
      <c r="C547" s="190">
        <f t="shared" ca="1" si="54"/>
        <v>6.9630829481299436E-2</v>
      </c>
      <c r="D547" s="190">
        <f t="shared" ca="1" si="55"/>
        <v>2.245520120726837E-2</v>
      </c>
      <c r="E547" s="190">
        <f t="shared" ca="1" si="56"/>
        <v>-1.2110803171753153E-2</v>
      </c>
      <c r="F547" s="189" t="b">
        <f t="shared" ca="1" si="57"/>
        <v>1</v>
      </c>
      <c r="G547" s="188">
        <f ca="1">IF(F547,IFERROR(((('Data Schema'!$C$3*(1+B547)^1)*((1-$I$4-$I$5+E547)*(1-$I$10)+$I$6-$I$11)-('Data Schema'!$C$3*(1+B547)^1-'Data Schema'!$C$3)*$I$12)/(1+C547)^1+(('Data Schema'!$C$3*(1+B547)^2)*((1-$I$4-$I$5+E547)*(1-$I$10)+$I$6-$I$11)-('Data Schema'!$C$3*(1+B547)^2-'Data Schema'!$C$3*(1+B547)^1)*$I$12)/(1+C547)^2+(('Data Schema'!$C$3*(1+B547)^3)*((1-$I$4-$I$5+E547)*(1-$I$10)+$I$6-$I$11)-('Data Schema'!$C$3*(1+B547)^3-'Data Schema'!$C$3*(1+B547)^2)*$I$12)/(1+C547)^3+(('Data Schema'!$C$3*(1+B547)^4)*((1-$I$4-$I$5+E547)*(1-$I$10)+$I$6-$I$11)-('Data Schema'!$C$3*(1+B547)^4-'Data Schema'!$C$3*(1+B547)^3)*$I$12)/(1+C547)^4+(('Data Schema'!$C$3*(1+B547)^5)*((1-$I$4-$I$5+E547)*(1-$I$10)+$I$6-$I$11)-('Data Schema'!$C$3*(1+B547)^5-'Data Schema'!$C$3*(1+B547)^4)*$I$12)/(1+C547)^5+((('Data Schema'!$C$3*(1+B547)^5)*((1-$I$4-$I$5+E547)*(1-$I$10)+$I$6-$I$11)-('Data Schema'!$C$3*(1+B547)^5-'Data Schema'!$C$3*(1+B547)^4)*$I$12)*(1+D547)/(C547-D547))/(1+C547)^5-'Data Schema'!$C$31+'Data Schema'!$C$21)/'Data Schema'!$B$17,0),"INVALID")</f>
        <v>38.356228283715772</v>
      </c>
      <c r="H547" s="189" t="b">
        <f t="shared" ca="1" si="58"/>
        <v>1</v>
      </c>
      <c r="I547" s="188">
        <f t="shared" ca="1" si="59"/>
        <v>38.356228283715772</v>
      </c>
      <c r="J547" s="349">
        <f t="shared" ca="1" si="52"/>
        <v>38.356228283715772</v>
      </c>
    </row>
    <row r="548" spans="1:10">
      <c r="A548" s="185">
        <v>369</v>
      </c>
      <c r="B548" s="190">
        <f t="shared" ca="1" si="53"/>
        <v>0.14139752785812004</v>
      </c>
      <c r="C548" s="190">
        <f t="shared" ca="1" si="54"/>
        <v>4.2297021455114776E-2</v>
      </c>
      <c r="D548" s="190">
        <f t="shared" ca="1" si="55"/>
        <v>2.6469639254008814E-2</v>
      </c>
      <c r="E548" s="190">
        <f t="shared" ca="1" si="56"/>
        <v>-1.1034172123132005E-2</v>
      </c>
      <c r="F548" s="189" t="b">
        <f t="shared" ca="1" si="57"/>
        <v>1</v>
      </c>
      <c r="G548" s="188">
        <f ca="1">IF(F548,IFERROR(((('Data Schema'!$C$3*(1+B548)^1)*((1-$I$4-$I$5+E548)*(1-$I$10)+$I$6-$I$11)-('Data Schema'!$C$3*(1+B548)^1-'Data Schema'!$C$3)*$I$12)/(1+C548)^1+(('Data Schema'!$C$3*(1+B548)^2)*((1-$I$4-$I$5+E548)*(1-$I$10)+$I$6-$I$11)-('Data Schema'!$C$3*(1+B548)^2-'Data Schema'!$C$3*(1+B548)^1)*$I$12)/(1+C548)^2+(('Data Schema'!$C$3*(1+B548)^3)*((1-$I$4-$I$5+E548)*(1-$I$10)+$I$6-$I$11)-('Data Schema'!$C$3*(1+B548)^3-'Data Schema'!$C$3*(1+B548)^2)*$I$12)/(1+C548)^3+(('Data Schema'!$C$3*(1+B548)^4)*((1-$I$4-$I$5+E548)*(1-$I$10)+$I$6-$I$11)-('Data Schema'!$C$3*(1+B548)^4-'Data Schema'!$C$3*(1+B548)^3)*$I$12)/(1+C548)^4+(('Data Schema'!$C$3*(1+B548)^5)*((1-$I$4-$I$5+E548)*(1-$I$10)+$I$6-$I$11)-('Data Schema'!$C$3*(1+B548)^5-'Data Schema'!$C$3*(1+B548)^4)*$I$12)/(1+C548)^5+((('Data Schema'!$C$3*(1+B548)^5)*((1-$I$4-$I$5+E548)*(1-$I$10)+$I$6-$I$11)-('Data Schema'!$C$3*(1+B548)^5-'Data Schema'!$C$3*(1+B548)^4)*$I$12)*(1+D548)/(C548-D548))/(1+C548)^5-'Data Schema'!$C$31+'Data Schema'!$C$21)/'Data Schema'!$B$17,0),"INVALID")</f>
        <v>152.46773816378916</v>
      </c>
      <c r="H548" s="189" t="b">
        <f t="shared" ca="1" si="58"/>
        <v>1</v>
      </c>
      <c r="I548" s="188">
        <f t="shared" ca="1" si="59"/>
        <v>152.46773816378916</v>
      </c>
      <c r="J548" s="349">
        <f t="shared" ca="1" si="52"/>
        <v>152.46773816378916</v>
      </c>
    </row>
    <row r="549" spans="1:10">
      <c r="A549" s="184">
        <v>370</v>
      </c>
      <c r="B549" s="190">
        <f t="shared" ca="1" si="53"/>
        <v>0.11003260444503943</v>
      </c>
      <c r="C549" s="190">
        <f t="shared" ca="1" si="54"/>
        <v>5.8415036525870434E-2</v>
      </c>
      <c r="D549" s="190">
        <f t="shared" ca="1" si="55"/>
        <v>3.2600082115349233E-2</v>
      </c>
      <c r="E549" s="190">
        <f t="shared" ca="1" si="56"/>
        <v>-1.1894528733805396E-2</v>
      </c>
      <c r="F549" s="189" t="b">
        <f t="shared" ca="1" si="57"/>
        <v>1</v>
      </c>
      <c r="G549" s="188">
        <f ca="1">IF(F549,IFERROR(((('Data Schema'!$C$3*(1+B549)^1)*((1-$I$4-$I$5+E549)*(1-$I$10)+$I$6-$I$11)-('Data Schema'!$C$3*(1+B549)^1-'Data Schema'!$C$3)*$I$12)/(1+C549)^1+(('Data Schema'!$C$3*(1+B549)^2)*((1-$I$4-$I$5+E549)*(1-$I$10)+$I$6-$I$11)-('Data Schema'!$C$3*(1+B549)^2-'Data Schema'!$C$3*(1+B549)^1)*$I$12)/(1+C549)^2+(('Data Schema'!$C$3*(1+B549)^3)*((1-$I$4-$I$5+E549)*(1-$I$10)+$I$6-$I$11)-('Data Schema'!$C$3*(1+B549)^3-'Data Schema'!$C$3*(1+B549)^2)*$I$12)/(1+C549)^3+(('Data Schema'!$C$3*(1+B549)^4)*((1-$I$4-$I$5+E549)*(1-$I$10)+$I$6-$I$11)-('Data Schema'!$C$3*(1+B549)^4-'Data Schema'!$C$3*(1+B549)^3)*$I$12)/(1+C549)^4+(('Data Schema'!$C$3*(1+B549)^5)*((1-$I$4-$I$5+E549)*(1-$I$10)+$I$6-$I$11)-('Data Schema'!$C$3*(1+B549)^5-'Data Schema'!$C$3*(1+B549)^4)*$I$12)/(1+C549)^5+((('Data Schema'!$C$3*(1+B549)^5)*((1-$I$4-$I$5+E549)*(1-$I$10)+$I$6-$I$11)-('Data Schema'!$C$3*(1+B549)^5-'Data Schema'!$C$3*(1+B549)^4)*$I$12)*(1+D549)/(C549-D549))/(1+C549)^5-'Data Schema'!$C$31+'Data Schema'!$C$21)/'Data Schema'!$B$17,0),"INVALID")</f>
        <v>75.129475344327986</v>
      </c>
      <c r="H549" s="189" t="b">
        <f t="shared" ca="1" si="58"/>
        <v>1</v>
      </c>
      <c r="I549" s="188">
        <f t="shared" ca="1" si="59"/>
        <v>75.129475344327986</v>
      </c>
      <c r="J549" s="349">
        <f t="shared" ca="1" si="52"/>
        <v>75.129475344327986</v>
      </c>
    </row>
    <row r="550" spans="1:10">
      <c r="A550" s="185">
        <v>371</v>
      </c>
      <c r="B550" s="190">
        <f t="shared" ca="1" si="53"/>
        <v>9.0956620891800649E-2</v>
      </c>
      <c r="C550" s="190">
        <f t="shared" ca="1" si="54"/>
        <v>4.7578981719635538E-2</v>
      </c>
      <c r="D550" s="190">
        <f t="shared" ca="1" si="55"/>
        <v>2.6448290136403943E-2</v>
      </c>
      <c r="E550" s="190">
        <f t="shared" ca="1" si="56"/>
        <v>-3.0525179080792566E-3</v>
      </c>
      <c r="F550" s="189" t="b">
        <f t="shared" ca="1" si="57"/>
        <v>1</v>
      </c>
      <c r="G550" s="188">
        <f ca="1">IF(F550,IFERROR(((('Data Schema'!$C$3*(1+B550)^1)*((1-$I$4-$I$5+E550)*(1-$I$10)+$I$6-$I$11)-('Data Schema'!$C$3*(1+B550)^1-'Data Schema'!$C$3)*$I$12)/(1+C550)^1+(('Data Schema'!$C$3*(1+B550)^2)*((1-$I$4-$I$5+E550)*(1-$I$10)+$I$6-$I$11)-('Data Schema'!$C$3*(1+B550)^2-'Data Schema'!$C$3*(1+B550)^1)*$I$12)/(1+C550)^2+(('Data Schema'!$C$3*(1+B550)^3)*((1-$I$4-$I$5+E550)*(1-$I$10)+$I$6-$I$11)-('Data Schema'!$C$3*(1+B550)^3-'Data Schema'!$C$3*(1+B550)^2)*$I$12)/(1+C550)^3+(('Data Schema'!$C$3*(1+B550)^4)*((1-$I$4-$I$5+E550)*(1-$I$10)+$I$6-$I$11)-('Data Schema'!$C$3*(1+B550)^4-'Data Schema'!$C$3*(1+B550)^3)*$I$12)/(1+C550)^4+(('Data Schema'!$C$3*(1+B550)^5)*((1-$I$4-$I$5+E550)*(1-$I$10)+$I$6-$I$11)-('Data Schema'!$C$3*(1+B550)^5-'Data Schema'!$C$3*(1+B550)^4)*$I$12)/(1+C550)^5+((('Data Schema'!$C$3*(1+B550)^5)*((1-$I$4-$I$5+E550)*(1-$I$10)+$I$6-$I$11)-('Data Schema'!$C$3*(1+B550)^5-'Data Schema'!$C$3*(1+B550)^4)*$I$12)*(1+D550)/(C550-D550))/(1+C550)^5-'Data Schema'!$C$31+'Data Schema'!$C$21)/'Data Schema'!$B$17,0),"INVALID")</f>
        <v>127.90099473457573</v>
      </c>
      <c r="H550" s="189" t="b">
        <f t="shared" ca="1" si="58"/>
        <v>1</v>
      </c>
      <c r="I550" s="188">
        <f t="shared" ca="1" si="59"/>
        <v>127.90099473457573</v>
      </c>
      <c r="J550" s="349">
        <f t="shared" ca="1" si="52"/>
        <v>127.90099473457573</v>
      </c>
    </row>
    <row r="551" spans="1:10">
      <c r="A551" s="184">
        <v>372</v>
      </c>
      <c r="B551" s="190">
        <f t="shared" ca="1" si="53"/>
        <v>8.8015402724685249E-2</v>
      </c>
      <c r="C551" s="190">
        <f t="shared" ca="1" si="54"/>
        <v>6.3195892971613071E-2</v>
      </c>
      <c r="D551" s="190">
        <f t="shared" ca="1" si="55"/>
        <v>1.954053169477149E-2</v>
      </c>
      <c r="E551" s="190">
        <f t="shared" ca="1" si="56"/>
        <v>-4.7111518728431348E-3</v>
      </c>
      <c r="F551" s="189" t="b">
        <f t="shared" ca="1" si="57"/>
        <v>1</v>
      </c>
      <c r="G551" s="188">
        <f ca="1">IF(F551,IFERROR(((('Data Schema'!$C$3*(1+B551)^1)*((1-$I$4-$I$5+E551)*(1-$I$10)+$I$6-$I$11)-('Data Schema'!$C$3*(1+B551)^1-'Data Schema'!$C$3)*$I$12)/(1+C551)^1+(('Data Schema'!$C$3*(1+B551)^2)*((1-$I$4-$I$5+E551)*(1-$I$10)+$I$6-$I$11)-('Data Schema'!$C$3*(1+B551)^2-'Data Schema'!$C$3*(1+B551)^1)*$I$12)/(1+C551)^2+(('Data Schema'!$C$3*(1+B551)^3)*((1-$I$4-$I$5+E551)*(1-$I$10)+$I$6-$I$11)-('Data Schema'!$C$3*(1+B551)^3-'Data Schema'!$C$3*(1+B551)^2)*$I$12)/(1+C551)^3+(('Data Schema'!$C$3*(1+B551)^4)*((1-$I$4-$I$5+E551)*(1-$I$10)+$I$6-$I$11)-('Data Schema'!$C$3*(1+B551)^4-'Data Schema'!$C$3*(1+B551)^3)*$I$12)/(1+C551)^4+(('Data Schema'!$C$3*(1+B551)^5)*((1-$I$4-$I$5+E551)*(1-$I$10)+$I$6-$I$11)-('Data Schema'!$C$3*(1+B551)^5-'Data Schema'!$C$3*(1+B551)^4)*$I$12)/(1+C551)^5+((('Data Schema'!$C$3*(1+B551)^5)*((1-$I$4-$I$5+E551)*(1-$I$10)+$I$6-$I$11)-('Data Schema'!$C$3*(1+B551)^5-'Data Schema'!$C$3*(1+B551)^4)*$I$12)*(1+D551)/(C551-D551))/(1+C551)^5-'Data Schema'!$C$31+'Data Schema'!$C$21)/'Data Schema'!$B$17,0),"INVALID")</f>
        <v>54.999137677960356</v>
      </c>
      <c r="H551" s="189" t="b">
        <f t="shared" ca="1" si="58"/>
        <v>1</v>
      </c>
      <c r="I551" s="188">
        <f t="shared" ca="1" si="59"/>
        <v>54.999137677960356</v>
      </c>
      <c r="J551" s="349">
        <f t="shared" ca="1" si="52"/>
        <v>54.999137677960356</v>
      </c>
    </row>
    <row r="552" spans="1:10">
      <c r="A552" s="185">
        <v>373</v>
      </c>
      <c r="B552" s="190">
        <f t="shared" ca="1" si="53"/>
        <v>9.0335448606555416E-2</v>
      </c>
      <c r="C552" s="190">
        <f t="shared" ca="1" si="54"/>
        <v>6.8224275702567144E-2</v>
      </c>
      <c r="D552" s="190">
        <f t="shared" ca="1" si="55"/>
        <v>3.3714886766579327E-2</v>
      </c>
      <c r="E552" s="190">
        <f t="shared" ca="1" si="56"/>
        <v>-1.7127750701518643E-3</v>
      </c>
      <c r="F552" s="189" t="b">
        <f t="shared" ca="1" si="57"/>
        <v>1</v>
      </c>
      <c r="G552" s="188">
        <f ca="1">IF(F552,IFERROR(((('Data Schema'!$C$3*(1+B552)^1)*((1-$I$4-$I$5+E552)*(1-$I$10)+$I$6-$I$11)-('Data Schema'!$C$3*(1+B552)^1-'Data Schema'!$C$3)*$I$12)/(1+C552)^1+(('Data Schema'!$C$3*(1+B552)^2)*((1-$I$4-$I$5+E552)*(1-$I$10)+$I$6-$I$11)-('Data Schema'!$C$3*(1+B552)^2-'Data Schema'!$C$3*(1+B552)^1)*$I$12)/(1+C552)^2+(('Data Schema'!$C$3*(1+B552)^3)*((1-$I$4-$I$5+E552)*(1-$I$10)+$I$6-$I$11)-('Data Schema'!$C$3*(1+B552)^3-'Data Schema'!$C$3*(1+B552)^2)*$I$12)/(1+C552)^3+(('Data Schema'!$C$3*(1+B552)^4)*((1-$I$4-$I$5+E552)*(1-$I$10)+$I$6-$I$11)-('Data Schema'!$C$3*(1+B552)^4-'Data Schema'!$C$3*(1+B552)^3)*$I$12)/(1+C552)^4+(('Data Schema'!$C$3*(1+B552)^5)*((1-$I$4-$I$5+E552)*(1-$I$10)+$I$6-$I$11)-('Data Schema'!$C$3*(1+B552)^5-'Data Schema'!$C$3*(1+B552)^4)*$I$12)/(1+C552)^5+((('Data Schema'!$C$3*(1+B552)^5)*((1-$I$4-$I$5+E552)*(1-$I$10)+$I$6-$I$11)-('Data Schema'!$C$3*(1+B552)^5-'Data Schema'!$C$3*(1+B552)^4)*$I$12)*(1+D552)/(C552-D552))/(1+C552)^5-'Data Schema'!$C$31+'Data Schema'!$C$21)/'Data Schema'!$B$17,0),"INVALID")</f>
        <v>76.184022215841381</v>
      </c>
      <c r="H552" s="189" t="b">
        <f t="shared" ca="1" si="58"/>
        <v>1</v>
      </c>
      <c r="I552" s="188">
        <f t="shared" ca="1" si="59"/>
        <v>76.184022215841381</v>
      </c>
      <c r="J552" s="349">
        <f t="shared" ca="1" si="52"/>
        <v>76.184022215841381</v>
      </c>
    </row>
    <row r="553" spans="1:10">
      <c r="A553" s="184">
        <v>374</v>
      </c>
      <c r="B553" s="190">
        <f t="shared" ca="1" si="53"/>
        <v>0.11573411235880135</v>
      </c>
      <c r="C553" s="190">
        <f t="shared" ca="1" si="54"/>
        <v>6.9303380643337145E-2</v>
      </c>
      <c r="D553" s="190">
        <f t="shared" ca="1" si="55"/>
        <v>1.9072224502121281E-2</v>
      </c>
      <c r="E553" s="190">
        <f t="shared" ca="1" si="56"/>
        <v>1.8780890269949504E-3</v>
      </c>
      <c r="F553" s="189" t="b">
        <f t="shared" ca="1" si="57"/>
        <v>1</v>
      </c>
      <c r="G553" s="188">
        <f ca="1">IF(F553,IFERROR(((('Data Schema'!$C$3*(1+B553)^1)*((1-$I$4-$I$5+E553)*(1-$I$10)+$I$6-$I$11)-('Data Schema'!$C$3*(1+B553)^1-'Data Schema'!$C$3)*$I$12)/(1+C553)^1+(('Data Schema'!$C$3*(1+B553)^2)*((1-$I$4-$I$5+E553)*(1-$I$10)+$I$6-$I$11)-('Data Schema'!$C$3*(1+B553)^2-'Data Schema'!$C$3*(1+B553)^1)*$I$12)/(1+C553)^2+(('Data Schema'!$C$3*(1+B553)^3)*((1-$I$4-$I$5+E553)*(1-$I$10)+$I$6-$I$11)-('Data Schema'!$C$3*(1+B553)^3-'Data Schema'!$C$3*(1+B553)^2)*$I$12)/(1+C553)^3+(('Data Schema'!$C$3*(1+B553)^4)*((1-$I$4-$I$5+E553)*(1-$I$10)+$I$6-$I$11)-('Data Schema'!$C$3*(1+B553)^4-'Data Schema'!$C$3*(1+B553)^3)*$I$12)/(1+C553)^4+(('Data Schema'!$C$3*(1+B553)^5)*((1-$I$4-$I$5+E553)*(1-$I$10)+$I$6-$I$11)-('Data Schema'!$C$3*(1+B553)^5-'Data Schema'!$C$3*(1+B553)^4)*$I$12)/(1+C553)^5+((('Data Schema'!$C$3*(1+B553)^5)*((1-$I$4-$I$5+E553)*(1-$I$10)+$I$6-$I$11)-('Data Schema'!$C$3*(1+B553)^5-'Data Schema'!$C$3*(1+B553)^4)*$I$12)*(1+D553)/(C553-D553))/(1+C553)^5-'Data Schema'!$C$31+'Data Schema'!$C$21)/'Data Schema'!$B$17,0),"INVALID")</f>
        <v>65.721687434945665</v>
      </c>
      <c r="H553" s="189" t="b">
        <f t="shared" ca="1" si="58"/>
        <v>1</v>
      </c>
      <c r="I553" s="188">
        <f t="shared" ca="1" si="59"/>
        <v>65.721687434945665</v>
      </c>
      <c r="J553" s="349">
        <f t="shared" ca="1" si="52"/>
        <v>65.721687434945665</v>
      </c>
    </row>
    <row r="554" spans="1:10">
      <c r="A554" s="185">
        <v>375</v>
      </c>
      <c r="B554" s="190">
        <f t="shared" ca="1" si="53"/>
        <v>8.6254071468554891E-2</v>
      </c>
      <c r="C554" s="190">
        <f t="shared" ca="1" si="54"/>
        <v>4.5056605893228907E-2</v>
      </c>
      <c r="D554" s="190">
        <f t="shared" ca="1" si="55"/>
        <v>2.8960680851135935E-2</v>
      </c>
      <c r="E554" s="190">
        <f t="shared" ca="1" si="56"/>
        <v>-5.5571210269721831E-3</v>
      </c>
      <c r="F554" s="189" t="b">
        <f t="shared" ca="1" si="57"/>
        <v>1</v>
      </c>
      <c r="G554" s="188">
        <f ca="1">IF(F554,IFERROR(((('Data Schema'!$C$3*(1+B554)^1)*((1-$I$4-$I$5+E554)*(1-$I$10)+$I$6-$I$11)-('Data Schema'!$C$3*(1+B554)^1-'Data Schema'!$C$3)*$I$12)/(1+C554)^1+(('Data Schema'!$C$3*(1+B554)^2)*((1-$I$4-$I$5+E554)*(1-$I$10)+$I$6-$I$11)-('Data Schema'!$C$3*(1+B554)^2-'Data Schema'!$C$3*(1+B554)^1)*$I$12)/(1+C554)^2+(('Data Schema'!$C$3*(1+B554)^3)*((1-$I$4-$I$5+E554)*(1-$I$10)+$I$6-$I$11)-('Data Schema'!$C$3*(1+B554)^3-'Data Schema'!$C$3*(1+B554)^2)*$I$12)/(1+C554)^3+(('Data Schema'!$C$3*(1+B554)^4)*((1-$I$4-$I$5+E554)*(1-$I$10)+$I$6-$I$11)-('Data Schema'!$C$3*(1+B554)^4-'Data Schema'!$C$3*(1+B554)^3)*$I$12)/(1+C554)^4+(('Data Schema'!$C$3*(1+B554)^5)*((1-$I$4-$I$5+E554)*(1-$I$10)+$I$6-$I$11)-('Data Schema'!$C$3*(1+B554)^5-'Data Schema'!$C$3*(1+B554)^4)*$I$12)/(1+C554)^5+((('Data Schema'!$C$3*(1+B554)^5)*((1-$I$4-$I$5+E554)*(1-$I$10)+$I$6-$I$11)-('Data Schema'!$C$3*(1+B554)^5-'Data Schema'!$C$3*(1+B554)^4)*$I$12)*(1+D554)/(C554-D554))/(1+C554)^5-'Data Schema'!$C$31+'Data Schema'!$C$21)/'Data Schema'!$B$17,0),"INVALID")</f>
        <v>151.92449234591882</v>
      </c>
      <c r="H554" s="189" t="b">
        <f t="shared" ca="1" si="58"/>
        <v>1</v>
      </c>
      <c r="I554" s="188">
        <f t="shared" ca="1" si="59"/>
        <v>151.92449234591882</v>
      </c>
      <c r="J554" s="349">
        <f t="shared" ca="1" si="52"/>
        <v>151.92449234591882</v>
      </c>
    </row>
    <row r="555" spans="1:10">
      <c r="A555" s="184">
        <v>376</v>
      </c>
      <c r="B555" s="190">
        <f t="shared" ca="1" si="53"/>
        <v>0.10554946930099442</v>
      </c>
      <c r="C555" s="190">
        <f t="shared" ca="1" si="54"/>
        <v>4.8827090255326375E-2</v>
      </c>
      <c r="D555" s="190">
        <f t="shared" ca="1" si="55"/>
        <v>2.4547040484190517E-2</v>
      </c>
      <c r="E555" s="190">
        <f t="shared" ca="1" si="56"/>
        <v>4.3571943605887134E-2</v>
      </c>
      <c r="F555" s="189" t="b">
        <f t="shared" ca="1" si="57"/>
        <v>1</v>
      </c>
      <c r="G555" s="188">
        <f ca="1">IF(F555,IFERROR(((('Data Schema'!$C$3*(1+B555)^1)*((1-$I$4-$I$5+E555)*(1-$I$10)+$I$6-$I$11)-('Data Schema'!$C$3*(1+B555)^1-'Data Schema'!$C$3)*$I$12)/(1+C555)^1+(('Data Schema'!$C$3*(1+B555)^2)*((1-$I$4-$I$5+E555)*(1-$I$10)+$I$6-$I$11)-('Data Schema'!$C$3*(1+B555)^2-'Data Schema'!$C$3*(1+B555)^1)*$I$12)/(1+C555)^2+(('Data Schema'!$C$3*(1+B555)^3)*((1-$I$4-$I$5+E555)*(1-$I$10)+$I$6-$I$11)-('Data Schema'!$C$3*(1+B555)^3-'Data Schema'!$C$3*(1+B555)^2)*$I$12)/(1+C555)^3+(('Data Schema'!$C$3*(1+B555)^4)*((1-$I$4-$I$5+E555)*(1-$I$10)+$I$6-$I$11)-('Data Schema'!$C$3*(1+B555)^4-'Data Schema'!$C$3*(1+B555)^3)*$I$12)/(1+C555)^4+(('Data Schema'!$C$3*(1+B555)^5)*((1-$I$4-$I$5+E555)*(1-$I$10)+$I$6-$I$11)-('Data Schema'!$C$3*(1+B555)^5-'Data Schema'!$C$3*(1+B555)^4)*$I$12)/(1+C555)^5+((('Data Schema'!$C$3*(1+B555)^5)*((1-$I$4-$I$5+E555)*(1-$I$10)+$I$6-$I$11)-('Data Schema'!$C$3*(1+B555)^5-'Data Schema'!$C$3*(1+B555)^4)*$I$12)*(1+D555)/(C555-D555))/(1+C555)^5-'Data Schema'!$C$31+'Data Schema'!$C$21)/'Data Schema'!$B$17,0),"INVALID")</f>
        <v>306.48832060631565</v>
      </c>
      <c r="H555" s="189" t="b">
        <f t="shared" ca="1" si="58"/>
        <v>1</v>
      </c>
      <c r="I555" s="188">
        <f t="shared" ca="1" si="59"/>
        <v>306.48832060631565</v>
      </c>
      <c r="J555" s="349" t="str">
        <f t="shared" ca="1" si="52"/>
        <v/>
      </c>
    </row>
    <row r="556" spans="1:10">
      <c r="A556" s="185">
        <v>377</v>
      </c>
      <c r="B556" s="190">
        <f t="shared" ca="1" si="53"/>
        <v>9.2149691997933242E-2</v>
      </c>
      <c r="C556" s="190">
        <f t="shared" ca="1" si="54"/>
        <v>6.2118943349400019E-2</v>
      </c>
      <c r="D556" s="190">
        <f t="shared" ca="1" si="55"/>
        <v>2.5375890164272153E-2</v>
      </c>
      <c r="E556" s="190">
        <f t="shared" ca="1" si="56"/>
        <v>-5.9042765060071709E-2</v>
      </c>
      <c r="F556" s="189" t="b">
        <f t="shared" ca="1" si="57"/>
        <v>1</v>
      </c>
      <c r="G556" s="188">
        <f ca="1">IF(F556,IFERROR(((('Data Schema'!$C$3*(1+B556)^1)*((1-$I$4-$I$5+E556)*(1-$I$10)+$I$6-$I$11)-('Data Schema'!$C$3*(1+B556)^1-'Data Schema'!$C$3)*$I$12)/(1+C556)^1+(('Data Schema'!$C$3*(1+B556)^2)*((1-$I$4-$I$5+E556)*(1-$I$10)+$I$6-$I$11)-('Data Schema'!$C$3*(1+B556)^2-'Data Schema'!$C$3*(1+B556)^1)*$I$12)/(1+C556)^2+(('Data Schema'!$C$3*(1+B556)^3)*((1-$I$4-$I$5+E556)*(1-$I$10)+$I$6-$I$11)-('Data Schema'!$C$3*(1+B556)^3-'Data Schema'!$C$3*(1+B556)^2)*$I$12)/(1+C556)^3+(('Data Schema'!$C$3*(1+B556)^4)*((1-$I$4-$I$5+E556)*(1-$I$10)+$I$6-$I$11)-('Data Schema'!$C$3*(1+B556)^4-'Data Schema'!$C$3*(1+B556)^3)*$I$12)/(1+C556)^4+(('Data Schema'!$C$3*(1+B556)^5)*((1-$I$4-$I$5+E556)*(1-$I$10)+$I$6-$I$11)-('Data Schema'!$C$3*(1+B556)^5-'Data Schema'!$C$3*(1+B556)^4)*$I$12)/(1+C556)^5+((('Data Schema'!$C$3*(1+B556)^5)*((1-$I$4-$I$5+E556)*(1-$I$10)+$I$6-$I$11)-('Data Schema'!$C$3*(1+B556)^5-'Data Schema'!$C$3*(1+B556)^4)*$I$12)*(1+D556)/(C556-D556))/(1+C556)^5-'Data Schema'!$C$31+'Data Schema'!$C$21)/'Data Schema'!$B$17,0),"INVALID")</f>
        <v>-69.469969452449888</v>
      </c>
      <c r="H556" s="189" t="b">
        <f t="shared" ca="1" si="58"/>
        <v>0</v>
      </c>
      <c r="I556" s="188" t="str">
        <f t="shared" ca="1" si="59"/>
        <v/>
      </c>
      <c r="J556" s="349" t="str">
        <f t="shared" ca="1" si="52"/>
        <v/>
      </c>
    </row>
    <row r="557" spans="1:10">
      <c r="A557" s="184">
        <v>378</v>
      </c>
      <c r="B557" s="190">
        <f t="shared" ca="1" si="53"/>
        <v>0.10290624316996801</v>
      </c>
      <c r="C557" s="190">
        <f t="shared" ca="1" si="54"/>
        <v>5.1865295252135804E-2</v>
      </c>
      <c r="D557" s="190">
        <f t="shared" ca="1" si="55"/>
        <v>2.928946632715599E-2</v>
      </c>
      <c r="E557" s="190">
        <f t="shared" ca="1" si="56"/>
        <v>1.3913501502444621E-2</v>
      </c>
      <c r="F557" s="189" t="b">
        <f t="shared" ca="1" si="57"/>
        <v>1</v>
      </c>
      <c r="G557" s="188">
        <f ca="1">IF(F557,IFERROR(((('Data Schema'!$C$3*(1+B557)^1)*((1-$I$4-$I$5+E557)*(1-$I$10)+$I$6-$I$11)-('Data Schema'!$C$3*(1+B557)^1-'Data Schema'!$C$3)*$I$12)/(1+C557)^1+(('Data Schema'!$C$3*(1+B557)^2)*((1-$I$4-$I$5+E557)*(1-$I$10)+$I$6-$I$11)-('Data Schema'!$C$3*(1+B557)^2-'Data Schema'!$C$3*(1+B557)^1)*$I$12)/(1+C557)^2+(('Data Schema'!$C$3*(1+B557)^3)*((1-$I$4-$I$5+E557)*(1-$I$10)+$I$6-$I$11)-('Data Schema'!$C$3*(1+B557)^3-'Data Schema'!$C$3*(1+B557)^2)*$I$12)/(1+C557)^3+(('Data Schema'!$C$3*(1+B557)^4)*((1-$I$4-$I$5+E557)*(1-$I$10)+$I$6-$I$11)-('Data Schema'!$C$3*(1+B557)^4-'Data Schema'!$C$3*(1+B557)^3)*$I$12)/(1+C557)^4+(('Data Schema'!$C$3*(1+B557)^5)*((1-$I$4-$I$5+E557)*(1-$I$10)+$I$6-$I$11)-('Data Schema'!$C$3*(1+B557)^5-'Data Schema'!$C$3*(1+B557)^4)*$I$12)/(1+C557)^5+((('Data Schema'!$C$3*(1+B557)^5)*((1-$I$4-$I$5+E557)*(1-$I$10)+$I$6-$I$11)-('Data Schema'!$C$3*(1+B557)^5-'Data Schema'!$C$3*(1+B557)^4)*$I$12)*(1+D557)/(C557-D557))/(1+C557)^5-'Data Schema'!$C$31+'Data Schema'!$C$21)/'Data Schema'!$B$17,0),"INVALID")</f>
        <v>195.3634002222698</v>
      </c>
      <c r="H557" s="189" t="b">
        <f t="shared" ca="1" si="58"/>
        <v>1</v>
      </c>
      <c r="I557" s="188">
        <f t="shared" ca="1" si="59"/>
        <v>195.3634002222698</v>
      </c>
      <c r="J557" s="349">
        <f t="shared" ca="1" si="52"/>
        <v>195.3634002222698</v>
      </c>
    </row>
    <row r="558" spans="1:10">
      <c r="A558" s="185">
        <v>379</v>
      </c>
      <c r="B558" s="190">
        <f t="shared" ca="1" si="53"/>
        <v>9.4910299681230326E-2</v>
      </c>
      <c r="C558" s="190">
        <f t="shared" ca="1" si="54"/>
        <v>6.6277674213097298E-2</v>
      </c>
      <c r="D558" s="190">
        <f t="shared" ca="1" si="55"/>
        <v>2.6365361070490173E-2</v>
      </c>
      <c r="E558" s="190">
        <f t="shared" ca="1" si="56"/>
        <v>-9.8097848611876128E-3</v>
      </c>
      <c r="F558" s="189" t="b">
        <f t="shared" ca="1" si="57"/>
        <v>1</v>
      </c>
      <c r="G558" s="188">
        <f ca="1">IF(F558,IFERROR(((('Data Schema'!$C$3*(1+B558)^1)*((1-$I$4-$I$5+E558)*(1-$I$10)+$I$6-$I$11)-('Data Schema'!$C$3*(1+B558)^1-'Data Schema'!$C$3)*$I$12)/(1+C558)^1+(('Data Schema'!$C$3*(1+B558)^2)*((1-$I$4-$I$5+E558)*(1-$I$10)+$I$6-$I$11)-('Data Schema'!$C$3*(1+B558)^2-'Data Schema'!$C$3*(1+B558)^1)*$I$12)/(1+C558)^2+(('Data Schema'!$C$3*(1+B558)^3)*((1-$I$4-$I$5+E558)*(1-$I$10)+$I$6-$I$11)-('Data Schema'!$C$3*(1+B558)^3-'Data Schema'!$C$3*(1+B558)^2)*$I$12)/(1+C558)^3+(('Data Schema'!$C$3*(1+B558)^4)*((1-$I$4-$I$5+E558)*(1-$I$10)+$I$6-$I$11)-('Data Schema'!$C$3*(1+B558)^4-'Data Schema'!$C$3*(1+B558)^3)*$I$12)/(1+C558)^4+(('Data Schema'!$C$3*(1+B558)^5)*((1-$I$4-$I$5+E558)*(1-$I$10)+$I$6-$I$11)-('Data Schema'!$C$3*(1+B558)^5-'Data Schema'!$C$3*(1+B558)^4)*$I$12)/(1+C558)^5+((('Data Schema'!$C$3*(1+B558)^5)*((1-$I$4-$I$5+E558)*(1-$I$10)+$I$6-$I$11)-('Data Schema'!$C$3*(1+B558)^5-'Data Schema'!$C$3*(1+B558)^4)*$I$12)*(1+D558)/(C558-D558))/(1+C558)^5-'Data Schema'!$C$31+'Data Schema'!$C$21)/'Data Schema'!$B$17,0),"INVALID")</f>
        <v>49.114271039105219</v>
      </c>
      <c r="H558" s="189" t="b">
        <f t="shared" ca="1" si="58"/>
        <v>1</v>
      </c>
      <c r="I558" s="188">
        <f t="shared" ca="1" si="59"/>
        <v>49.114271039105219</v>
      </c>
      <c r="J558" s="349">
        <f t="shared" ca="1" si="52"/>
        <v>49.114271039105219</v>
      </c>
    </row>
    <row r="559" spans="1:10">
      <c r="A559" s="184">
        <v>380</v>
      </c>
      <c r="B559" s="190">
        <f t="shared" ca="1" si="53"/>
        <v>9.6240181721886919E-2</v>
      </c>
      <c r="C559" s="190">
        <f t="shared" ca="1" si="54"/>
        <v>6.4653148582197159E-2</v>
      </c>
      <c r="D559" s="190">
        <f t="shared" ca="1" si="55"/>
        <v>2.0983203380959235E-2</v>
      </c>
      <c r="E559" s="190">
        <f t="shared" ca="1" si="56"/>
        <v>-1.492734242813344E-2</v>
      </c>
      <c r="F559" s="189" t="b">
        <f t="shared" ca="1" si="57"/>
        <v>1</v>
      </c>
      <c r="G559" s="188">
        <f ca="1">IF(F559,IFERROR(((('Data Schema'!$C$3*(1+B559)^1)*((1-$I$4-$I$5+E559)*(1-$I$10)+$I$6-$I$11)-('Data Schema'!$C$3*(1+B559)^1-'Data Schema'!$C$3)*$I$12)/(1+C559)^1+(('Data Schema'!$C$3*(1+B559)^2)*((1-$I$4-$I$5+E559)*(1-$I$10)+$I$6-$I$11)-('Data Schema'!$C$3*(1+B559)^2-'Data Schema'!$C$3*(1+B559)^1)*$I$12)/(1+C559)^2+(('Data Schema'!$C$3*(1+B559)^3)*((1-$I$4-$I$5+E559)*(1-$I$10)+$I$6-$I$11)-('Data Schema'!$C$3*(1+B559)^3-'Data Schema'!$C$3*(1+B559)^2)*$I$12)/(1+C559)^3+(('Data Schema'!$C$3*(1+B559)^4)*((1-$I$4-$I$5+E559)*(1-$I$10)+$I$6-$I$11)-('Data Schema'!$C$3*(1+B559)^4-'Data Schema'!$C$3*(1+B559)^3)*$I$12)/(1+C559)^4+(('Data Schema'!$C$3*(1+B559)^5)*((1-$I$4-$I$5+E559)*(1-$I$10)+$I$6-$I$11)-('Data Schema'!$C$3*(1+B559)^5-'Data Schema'!$C$3*(1+B559)^4)*$I$12)/(1+C559)^5+((('Data Schema'!$C$3*(1+B559)^5)*((1-$I$4-$I$5+E559)*(1-$I$10)+$I$6-$I$11)-('Data Schema'!$C$3*(1+B559)^5-'Data Schema'!$C$3*(1+B559)^4)*$I$12)*(1+D559)/(C559-D559))/(1+C559)^5-'Data Schema'!$C$31+'Data Schema'!$C$21)/'Data Schema'!$B$17,0),"INVALID")</f>
        <v>34.315138823885221</v>
      </c>
      <c r="H559" s="189" t="b">
        <f t="shared" ca="1" si="58"/>
        <v>1</v>
      </c>
      <c r="I559" s="188">
        <f t="shared" ca="1" si="59"/>
        <v>34.315138823885221</v>
      </c>
      <c r="J559" s="349">
        <f t="shared" ca="1" si="52"/>
        <v>34.315138823885221</v>
      </c>
    </row>
    <row r="560" spans="1:10">
      <c r="A560" s="185">
        <v>381</v>
      </c>
      <c r="B560" s="190">
        <f t="shared" ca="1" si="53"/>
        <v>0.11043478659434769</v>
      </c>
      <c r="C560" s="190">
        <f t="shared" ca="1" si="54"/>
        <v>4.1837667916418408E-2</v>
      </c>
      <c r="D560" s="190">
        <f t="shared" ca="1" si="55"/>
        <v>3.4117385744574097E-2</v>
      </c>
      <c r="E560" s="190">
        <f t="shared" ca="1" si="56"/>
        <v>-1.6362066304381383E-2</v>
      </c>
      <c r="F560" s="189" t="b">
        <f t="shared" ca="1" si="57"/>
        <v>0</v>
      </c>
      <c r="G560" s="188" t="str">
        <f ca="1">IF(F560,IFERROR(((('Data Schema'!$C$3*(1+B560)^1)*((1-$I$4-$I$5+E560)*(1-$I$10)+$I$6-$I$11)-('Data Schema'!$C$3*(1+B560)^1-'Data Schema'!$C$3)*$I$12)/(1+C560)^1+(('Data Schema'!$C$3*(1+B560)^2)*((1-$I$4-$I$5+E560)*(1-$I$10)+$I$6-$I$11)-('Data Schema'!$C$3*(1+B560)^2-'Data Schema'!$C$3*(1+B560)^1)*$I$12)/(1+C560)^2+(('Data Schema'!$C$3*(1+B560)^3)*((1-$I$4-$I$5+E560)*(1-$I$10)+$I$6-$I$11)-('Data Schema'!$C$3*(1+B560)^3-'Data Schema'!$C$3*(1+B560)^2)*$I$12)/(1+C560)^3+(('Data Schema'!$C$3*(1+B560)^4)*((1-$I$4-$I$5+E560)*(1-$I$10)+$I$6-$I$11)-('Data Schema'!$C$3*(1+B560)^4-'Data Schema'!$C$3*(1+B560)^3)*$I$12)/(1+C560)^4+(('Data Schema'!$C$3*(1+B560)^5)*((1-$I$4-$I$5+E560)*(1-$I$10)+$I$6-$I$11)-('Data Schema'!$C$3*(1+B560)^5-'Data Schema'!$C$3*(1+B560)^4)*$I$12)/(1+C560)^5+((('Data Schema'!$C$3*(1+B560)^5)*((1-$I$4-$I$5+E560)*(1-$I$10)+$I$6-$I$11)-('Data Schema'!$C$3*(1+B560)^5-'Data Schema'!$C$3*(1+B560)^4)*$I$12)*(1+D560)/(C560-D560))/(1+C560)^5-'Data Schema'!$C$31+'Data Schema'!$C$21)/'Data Schema'!$B$17,0),"INVALID")</f>
        <v>INVALID</v>
      </c>
      <c r="H560" s="189" t="b">
        <f t="shared" ca="1" si="58"/>
        <v>0</v>
      </c>
      <c r="I560" s="188" t="str">
        <f t="shared" ca="1" si="59"/>
        <v/>
      </c>
      <c r="J560" s="349" t="str">
        <f t="shared" ca="1" si="52"/>
        <v/>
      </c>
    </row>
    <row r="561" spans="1:10">
      <c r="A561" s="184">
        <v>382</v>
      </c>
      <c r="B561" s="190">
        <f t="shared" ca="1" si="53"/>
        <v>0.11339695698308853</v>
      </c>
      <c r="C561" s="190">
        <f t="shared" ca="1" si="54"/>
        <v>5.458582132121672E-2</v>
      </c>
      <c r="D561" s="190">
        <f t="shared" ca="1" si="55"/>
        <v>2.2327082205883173E-2</v>
      </c>
      <c r="E561" s="190">
        <f t="shared" ca="1" si="56"/>
        <v>-2.3406273862599376E-2</v>
      </c>
      <c r="F561" s="189" t="b">
        <f t="shared" ca="1" si="57"/>
        <v>1</v>
      </c>
      <c r="G561" s="188">
        <f ca="1">IF(F561,IFERROR(((('Data Schema'!$C$3*(1+B561)^1)*((1-$I$4-$I$5+E561)*(1-$I$10)+$I$6-$I$11)-('Data Schema'!$C$3*(1+B561)^1-'Data Schema'!$C$3)*$I$12)/(1+C561)^1+(('Data Schema'!$C$3*(1+B561)^2)*((1-$I$4-$I$5+E561)*(1-$I$10)+$I$6-$I$11)-('Data Schema'!$C$3*(1+B561)^2-'Data Schema'!$C$3*(1+B561)^1)*$I$12)/(1+C561)^2+(('Data Schema'!$C$3*(1+B561)^3)*((1-$I$4-$I$5+E561)*(1-$I$10)+$I$6-$I$11)-('Data Schema'!$C$3*(1+B561)^3-'Data Schema'!$C$3*(1+B561)^2)*$I$12)/(1+C561)^3+(('Data Schema'!$C$3*(1+B561)^4)*((1-$I$4-$I$5+E561)*(1-$I$10)+$I$6-$I$11)-('Data Schema'!$C$3*(1+B561)^4-'Data Schema'!$C$3*(1+B561)^3)*$I$12)/(1+C561)^4+(('Data Schema'!$C$3*(1+B561)^5)*((1-$I$4-$I$5+E561)*(1-$I$10)+$I$6-$I$11)-('Data Schema'!$C$3*(1+B561)^5-'Data Schema'!$C$3*(1+B561)^4)*$I$12)/(1+C561)^5+((('Data Schema'!$C$3*(1+B561)^5)*((1-$I$4-$I$5+E561)*(1-$I$10)+$I$6-$I$11)-('Data Schema'!$C$3*(1+B561)^5-'Data Schema'!$C$3*(1+B561)^4)*$I$12)*(1+D561)/(C561-D561))/(1+C561)^5-'Data Schema'!$C$31+'Data Schema'!$C$21)/'Data Schema'!$B$17,0),"INVALID")</f>
        <v>25.293602212053166</v>
      </c>
      <c r="H561" s="189" t="b">
        <f t="shared" ca="1" si="58"/>
        <v>1</v>
      </c>
      <c r="I561" s="188">
        <f t="shared" ca="1" si="59"/>
        <v>25.293602212053166</v>
      </c>
      <c r="J561" s="349">
        <f t="shared" ca="1" si="52"/>
        <v>25.293602212053166</v>
      </c>
    </row>
    <row r="562" spans="1:10">
      <c r="A562" s="185">
        <v>383</v>
      </c>
      <c r="B562" s="190">
        <f t="shared" ca="1" si="53"/>
        <v>0.10524234311888099</v>
      </c>
      <c r="C562" s="190">
        <f t="shared" ca="1" si="54"/>
        <v>6.3336907499309592E-2</v>
      </c>
      <c r="D562" s="190">
        <f t="shared" ca="1" si="55"/>
        <v>2.6727064855734527E-2</v>
      </c>
      <c r="E562" s="190">
        <f t="shared" ca="1" si="56"/>
        <v>-1.9477796191338256E-2</v>
      </c>
      <c r="F562" s="189" t="b">
        <f t="shared" ca="1" si="57"/>
        <v>1</v>
      </c>
      <c r="G562" s="188">
        <f ca="1">IF(F562,IFERROR(((('Data Schema'!$C$3*(1+B562)^1)*((1-$I$4-$I$5+E562)*(1-$I$10)+$I$6-$I$11)-('Data Schema'!$C$3*(1+B562)^1-'Data Schema'!$C$3)*$I$12)/(1+C562)^1+(('Data Schema'!$C$3*(1+B562)^2)*((1-$I$4-$I$5+E562)*(1-$I$10)+$I$6-$I$11)-('Data Schema'!$C$3*(1+B562)^2-'Data Schema'!$C$3*(1+B562)^1)*$I$12)/(1+C562)^2+(('Data Schema'!$C$3*(1+B562)^3)*((1-$I$4-$I$5+E562)*(1-$I$10)+$I$6-$I$11)-('Data Schema'!$C$3*(1+B562)^3-'Data Schema'!$C$3*(1+B562)^2)*$I$12)/(1+C562)^3+(('Data Schema'!$C$3*(1+B562)^4)*((1-$I$4-$I$5+E562)*(1-$I$10)+$I$6-$I$11)-('Data Schema'!$C$3*(1+B562)^4-'Data Schema'!$C$3*(1+B562)^3)*$I$12)/(1+C562)^4+(('Data Schema'!$C$3*(1+B562)^5)*((1-$I$4-$I$5+E562)*(1-$I$10)+$I$6-$I$11)-('Data Schema'!$C$3*(1+B562)^5-'Data Schema'!$C$3*(1+B562)^4)*$I$12)/(1+C562)^5+((('Data Schema'!$C$3*(1+B562)^5)*((1-$I$4-$I$5+E562)*(1-$I$10)+$I$6-$I$11)-('Data Schema'!$C$3*(1+B562)^5-'Data Schema'!$C$3*(1+B562)^4)*$I$12)*(1+D562)/(C562-D562))/(1+C562)^5-'Data Schema'!$C$31+'Data Schema'!$C$21)/'Data Schema'!$B$17,0),"INVALID")</f>
        <v>30.818845267913758</v>
      </c>
      <c r="H562" s="189" t="b">
        <f t="shared" ca="1" si="58"/>
        <v>1</v>
      </c>
      <c r="I562" s="188">
        <f t="shared" ca="1" si="59"/>
        <v>30.818845267913758</v>
      </c>
      <c r="J562" s="349">
        <f t="shared" ca="1" si="52"/>
        <v>30.818845267913758</v>
      </c>
    </row>
    <row r="563" spans="1:10">
      <c r="A563" s="184">
        <v>384</v>
      </c>
      <c r="B563" s="190">
        <f t="shared" ca="1" si="53"/>
        <v>0.12034680027119059</v>
      </c>
      <c r="C563" s="190">
        <f t="shared" ca="1" si="54"/>
        <v>5.5619357148031526E-2</v>
      </c>
      <c r="D563" s="190">
        <f t="shared" ca="1" si="55"/>
        <v>2.0053521757819229E-2</v>
      </c>
      <c r="E563" s="190">
        <f t="shared" ca="1" si="56"/>
        <v>3.935295198335474E-3</v>
      </c>
      <c r="F563" s="189" t="b">
        <f t="shared" ca="1" si="57"/>
        <v>1</v>
      </c>
      <c r="G563" s="188">
        <f ca="1">IF(F563,IFERROR(((('Data Schema'!$C$3*(1+B563)^1)*((1-$I$4-$I$5+E563)*(1-$I$10)+$I$6-$I$11)-('Data Schema'!$C$3*(1+B563)^1-'Data Schema'!$C$3)*$I$12)/(1+C563)^1+(('Data Schema'!$C$3*(1+B563)^2)*((1-$I$4-$I$5+E563)*(1-$I$10)+$I$6-$I$11)-('Data Schema'!$C$3*(1+B563)^2-'Data Schema'!$C$3*(1+B563)^1)*$I$12)/(1+C563)^2+(('Data Schema'!$C$3*(1+B563)^3)*((1-$I$4-$I$5+E563)*(1-$I$10)+$I$6-$I$11)-('Data Schema'!$C$3*(1+B563)^3-'Data Schema'!$C$3*(1+B563)^2)*$I$12)/(1+C563)^3+(('Data Schema'!$C$3*(1+B563)^4)*((1-$I$4-$I$5+E563)*(1-$I$10)+$I$6-$I$11)-('Data Schema'!$C$3*(1+B563)^4-'Data Schema'!$C$3*(1+B563)^3)*$I$12)/(1+C563)^4+(('Data Schema'!$C$3*(1+B563)^5)*((1-$I$4-$I$5+E563)*(1-$I$10)+$I$6-$I$11)-('Data Schema'!$C$3*(1+B563)^5-'Data Schema'!$C$3*(1+B563)^4)*$I$12)/(1+C563)^5+((('Data Schema'!$C$3*(1+B563)^5)*((1-$I$4-$I$5+E563)*(1-$I$10)+$I$6-$I$11)-('Data Schema'!$C$3*(1+B563)^5-'Data Schema'!$C$3*(1+B563)^4)*$I$12)*(1+D563)/(C563-D563))/(1+C563)^5-'Data Schema'!$C$31+'Data Schema'!$C$21)/'Data Schema'!$B$17,0),"INVALID")</f>
        <v>104.25011722291786</v>
      </c>
      <c r="H563" s="189" t="b">
        <f t="shared" ca="1" si="58"/>
        <v>1</v>
      </c>
      <c r="I563" s="188">
        <f t="shared" ca="1" si="59"/>
        <v>104.25011722291786</v>
      </c>
      <c r="J563" s="349">
        <f t="shared" ca="1" si="52"/>
        <v>104.25011722291786</v>
      </c>
    </row>
    <row r="564" spans="1:10">
      <c r="A564" s="185">
        <v>385</v>
      </c>
      <c r="B564" s="190">
        <f t="shared" ca="1" si="53"/>
        <v>9.9377563395315616E-2</v>
      </c>
      <c r="C564" s="190">
        <f t="shared" ca="1" si="54"/>
        <v>4.9356748355700406E-2</v>
      </c>
      <c r="D564" s="190">
        <f t="shared" ca="1" si="55"/>
        <v>2.9203437990055644E-2</v>
      </c>
      <c r="E564" s="190">
        <f t="shared" ca="1" si="56"/>
        <v>4.4895262158687506E-3</v>
      </c>
      <c r="F564" s="189" t="b">
        <f t="shared" ca="1" si="57"/>
        <v>1</v>
      </c>
      <c r="G564" s="188">
        <f ca="1">IF(F564,IFERROR(((('Data Schema'!$C$3*(1+B564)^1)*((1-$I$4-$I$5+E564)*(1-$I$10)+$I$6-$I$11)-('Data Schema'!$C$3*(1+B564)^1-'Data Schema'!$C$3)*$I$12)/(1+C564)^1+(('Data Schema'!$C$3*(1+B564)^2)*((1-$I$4-$I$5+E564)*(1-$I$10)+$I$6-$I$11)-('Data Schema'!$C$3*(1+B564)^2-'Data Schema'!$C$3*(1+B564)^1)*$I$12)/(1+C564)^2+(('Data Schema'!$C$3*(1+B564)^3)*((1-$I$4-$I$5+E564)*(1-$I$10)+$I$6-$I$11)-('Data Schema'!$C$3*(1+B564)^3-'Data Schema'!$C$3*(1+B564)^2)*$I$12)/(1+C564)^3+(('Data Schema'!$C$3*(1+B564)^4)*((1-$I$4-$I$5+E564)*(1-$I$10)+$I$6-$I$11)-('Data Schema'!$C$3*(1+B564)^4-'Data Schema'!$C$3*(1+B564)^3)*$I$12)/(1+C564)^4+(('Data Schema'!$C$3*(1+B564)^5)*((1-$I$4-$I$5+E564)*(1-$I$10)+$I$6-$I$11)-('Data Schema'!$C$3*(1+B564)^5-'Data Schema'!$C$3*(1+B564)^4)*$I$12)/(1+C564)^5+((('Data Schema'!$C$3*(1+B564)^5)*((1-$I$4-$I$5+E564)*(1-$I$10)+$I$6-$I$11)-('Data Schema'!$C$3*(1+B564)^5-'Data Schema'!$C$3*(1+B564)^4)*$I$12)*(1+D564)/(C564-D564))/(1+C564)^5-'Data Schema'!$C$31+'Data Schema'!$C$21)/'Data Schema'!$B$17,0),"INVALID")</f>
        <v>172.81759966900302</v>
      </c>
      <c r="H564" s="189" t="b">
        <f t="shared" ca="1" si="58"/>
        <v>1</v>
      </c>
      <c r="I564" s="188">
        <f t="shared" ca="1" si="59"/>
        <v>172.81759966900302</v>
      </c>
      <c r="J564" s="349">
        <f t="shared" ref="J564:J627" ca="1" si="60">IF(AND(F564=TRUE,H564=TRUE,ISNUMBER(G564),G564&gt;=$B$153,G564&lt;=$B$154),G564,"")</f>
        <v>172.81759966900302</v>
      </c>
    </row>
    <row r="565" spans="1:10">
      <c r="A565" s="184">
        <v>386</v>
      </c>
      <c r="B565" s="190">
        <f t="shared" ref="B565:B628" ca="1" si="61">MAX($D$139,MIN($E$139,NORMINV(RAND(),$B$139,$C$139)))</f>
        <v>7.575908220615514E-2</v>
      </c>
      <c r="C565" s="190">
        <f t="shared" ref="C565:C628" ca="1" si="62">MAX($D$140,MIN($E$140,NORMINV(RAND(),$B$140,$C$140)))</f>
        <v>6.4735406187164182E-2</v>
      </c>
      <c r="D565" s="190">
        <f t="shared" ref="D565:D628" ca="1" si="63">MAX($D$141,MIN($E$141,NORMINV(RAND(),$B$141,$C$141)))</f>
        <v>2.8163185157292551E-2</v>
      </c>
      <c r="E565" s="190">
        <f t="shared" ref="E565:E628" ca="1" si="64">MAX($D$142,MIN($E$142,NORMINV(RAND(),$B$142,$C$142)))</f>
        <v>-8.0944564484944012E-3</v>
      </c>
      <c r="F565" s="189" t="b">
        <f t="shared" ref="F565:F628" ca="1" si="65">C565&gt;D565+$B$144</f>
        <v>1</v>
      </c>
      <c r="G565" s="188">
        <f ca="1">IF(F565,IFERROR(((('Data Schema'!$C$3*(1+B565)^1)*((1-$I$4-$I$5+E565)*(1-$I$10)+$I$6-$I$11)-('Data Schema'!$C$3*(1+B565)^1-'Data Schema'!$C$3)*$I$12)/(1+C565)^1+(('Data Schema'!$C$3*(1+B565)^2)*((1-$I$4-$I$5+E565)*(1-$I$10)+$I$6-$I$11)-('Data Schema'!$C$3*(1+B565)^2-'Data Schema'!$C$3*(1+B565)^1)*$I$12)/(1+C565)^2+(('Data Schema'!$C$3*(1+B565)^3)*((1-$I$4-$I$5+E565)*(1-$I$10)+$I$6-$I$11)-('Data Schema'!$C$3*(1+B565)^3-'Data Schema'!$C$3*(1+B565)^2)*$I$12)/(1+C565)^3+(('Data Schema'!$C$3*(1+B565)^4)*((1-$I$4-$I$5+E565)*(1-$I$10)+$I$6-$I$11)-('Data Schema'!$C$3*(1+B565)^4-'Data Schema'!$C$3*(1+B565)^3)*$I$12)/(1+C565)^4+(('Data Schema'!$C$3*(1+B565)^5)*((1-$I$4-$I$5+E565)*(1-$I$10)+$I$6-$I$11)-('Data Schema'!$C$3*(1+B565)^5-'Data Schema'!$C$3*(1+B565)^4)*$I$12)/(1+C565)^5+((('Data Schema'!$C$3*(1+B565)^5)*((1-$I$4-$I$5+E565)*(1-$I$10)+$I$6-$I$11)-('Data Schema'!$C$3*(1+B565)^5-'Data Schema'!$C$3*(1+B565)^4)*$I$12)*(1+D565)/(C565-D565))/(1+C565)^5-'Data Schema'!$C$31+'Data Schema'!$C$21)/'Data Schema'!$B$17,0),"INVALID")</f>
        <v>54.062404543454647</v>
      </c>
      <c r="H565" s="189" t="b">
        <f t="shared" ref="H565:H628" ca="1" si="66">AND(ISNUMBER(G565),G565&gt;$F$29*$B$145,G565&lt;$F$29*$B$146)</f>
        <v>1</v>
      </c>
      <c r="I565" s="188">
        <f t="shared" ref="I565:I628" ca="1" si="67">IF(AND(F565=TRUE,H565=TRUE),G565,"")</f>
        <v>54.062404543454647</v>
      </c>
      <c r="J565" s="349">
        <f t="shared" ca="1" si="60"/>
        <v>54.062404543454647</v>
      </c>
    </row>
    <row r="566" spans="1:10">
      <c r="A566" s="185">
        <v>387</v>
      </c>
      <c r="B566" s="190">
        <f t="shared" ca="1" si="61"/>
        <v>0.10628898651920682</v>
      </c>
      <c r="C566" s="190">
        <f t="shared" ca="1" si="62"/>
        <v>6.8046961533633529E-2</v>
      </c>
      <c r="D566" s="190">
        <f t="shared" ca="1" si="63"/>
        <v>3.2447234436547595E-2</v>
      </c>
      <c r="E566" s="190">
        <f t="shared" ca="1" si="64"/>
        <v>-3.8882185546088221E-3</v>
      </c>
      <c r="F566" s="189" t="b">
        <f t="shared" ca="1" si="65"/>
        <v>1</v>
      </c>
      <c r="G566" s="188">
        <f ca="1">IF(F566,IFERROR(((('Data Schema'!$C$3*(1+B566)^1)*((1-$I$4-$I$5+E566)*(1-$I$10)+$I$6-$I$11)-('Data Schema'!$C$3*(1+B566)^1-'Data Schema'!$C$3)*$I$12)/(1+C566)^1+(('Data Schema'!$C$3*(1+B566)^2)*((1-$I$4-$I$5+E566)*(1-$I$10)+$I$6-$I$11)-('Data Schema'!$C$3*(1+B566)^2-'Data Schema'!$C$3*(1+B566)^1)*$I$12)/(1+C566)^2+(('Data Schema'!$C$3*(1+B566)^3)*((1-$I$4-$I$5+E566)*(1-$I$10)+$I$6-$I$11)-('Data Schema'!$C$3*(1+B566)^3-'Data Schema'!$C$3*(1+B566)^2)*$I$12)/(1+C566)^3+(('Data Schema'!$C$3*(1+B566)^4)*((1-$I$4-$I$5+E566)*(1-$I$10)+$I$6-$I$11)-('Data Schema'!$C$3*(1+B566)^4-'Data Schema'!$C$3*(1+B566)^3)*$I$12)/(1+C566)^4+(('Data Schema'!$C$3*(1+B566)^5)*((1-$I$4-$I$5+E566)*(1-$I$10)+$I$6-$I$11)-('Data Schema'!$C$3*(1+B566)^5-'Data Schema'!$C$3*(1+B566)^4)*$I$12)/(1+C566)^5+((('Data Schema'!$C$3*(1+B566)^5)*((1-$I$4-$I$5+E566)*(1-$I$10)+$I$6-$I$11)-('Data Schema'!$C$3*(1+B566)^5-'Data Schema'!$C$3*(1+B566)^4)*$I$12)*(1+D566)/(C566-D566))/(1+C566)^5-'Data Schema'!$C$31+'Data Schema'!$C$21)/'Data Schema'!$B$17,0),"INVALID")</f>
        <v>72.956017267356316</v>
      </c>
      <c r="H566" s="189" t="b">
        <f t="shared" ca="1" si="66"/>
        <v>1</v>
      </c>
      <c r="I566" s="188">
        <f t="shared" ca="1" si="67"/>
        <v>72.956017267356316</v>
      </c>
      <c r="J566" s="349">
        <f t="shared" ca="1" si="60"/>
        <v>72.956017267356316</v>
      </c>
    </row>
    <row r="567" spans="1:10">
      <c r="A567" s="184">
        <v>388</v>
      </c>
      <c r="B567" s="190">
        <f t="shared" ca="1" si="61"/>
        <v>0.10833726312507799</v>
      </c>
      <c r="C567" s="190">
        <f t="shared" ca="1" si="62"/>
        <v>4.5584281469072015E-2</v>
      </c>
      <c r="D567" s="190">
        <f t="shared" ca="1" si="63"/>
        <v>2.9133297014715634E-2</v>
      </c>
      <c r="E567" s="190">
        <f t="shared" ca="1" si="64"/>
        <v>5.7755442430368932E-3</v>
      </c>
      <c r="F567" s="189" t="b">
        <f t="shared" ca="1" si="65"/>
        <v>1</v>
      </c>
      <c r="G567" s="188">
        <f ca="1">IF(F567,IFERROR(((('Data Schema'!$C$3*(1+B567)^1)*((1-$I$4-$I$5+E567)*(1-$I$10)+$I$6-$I$11)-('Data Schema'!$C$3*(1+B567)^1-'Data Schema'!$C$3)*$I$12)/(1+C567)^1+(('Data Schema'!$C$3*(1+B567)^2)*((1-$I$4-$I$5+E567)*(1-$I$10)+$I$6-$I$11)-('Data Schema'!$C$3*(1+B567)^2-'Data Schema'!$C$3*(1+B567)^1)*$I$12)/(1+C567)^2+(('Data Schema'!$C$3*(1+B567)^3)*((1-$I$4-$I$5+E567)*(1-$I$10)+$I$6-$I$11)-('Data Schema'!$C$3*(1+B567)^3-'Data Schema'!$C$3*(1+B567)^2)*$I$12)/(1+C567)^3+(('Data Schema'!$C$3*(1+B567)^4)*((1-$I$4-$I$5+E567)*(1-$I$10)+$I$6-$I$11)-('Data Schema'!$C$3*(1+B567)^4-'Data Schema'!$C$3*(1+B567)^3)*$I$12)/(1+C567)^4+(('Data Schema'!$C$3*(1+B567)^5)*((1-$I$4-$I$5+E567)*(1-$I$10)+$I$6-$I$11)-('Data Schema'!$C$3*(1+B567)^5-'Data Schema'!$C$3*(1+B567)^4)*$I$12)/(1+C567)^5+((('Data Schema'!$C$3*(1+B567)^5)*((1-$I$4-$I$5+E567)*(1-$I$10)+$I$6-$I$11)-('Data Schema'!$C$3*(1+B567)^5-'Data Schema'!$C$3*(1+B567)^4)*$I$12)*(1+D567)/(C567-D567))/(1+C567)^5-'Data Schema'!$C$31+'Data Schema'!$C$21)/'Data Schema'!$B$17,0),"INVALID")</f>
        <v>229.2249073028193</v>
      </c>
      <c r="H567" s="189" t="b">
        <f t="shared" ca="1" si="66"/>
        <v>1</v>
      </c>
      <c r="I567" s="188">
        <f t="shared" ca="1" si="67"/>
        <v>229.2249073028193</v>
      </c>
      <c r="J567" s="349" t="str">
        <f t="shared" ca="1" si="60"/>
        <v/>
      </c>
    </row>
    <row r="568" spans="1:10">
      <c r="A568" s="185">
        <v>389</v>
      </c>
      <c r="B568" s="190">
        <f t="shared" ca="1" si="61"/>
        <v>0.10907835751727503</v>
      </c>
      <c r="C568" s="190">
        <f t="shared" ca="1" si="62"/>
        <v>6.2363285469335096E-2</v>
      </c>
      <c r="D568" s="190">
        <f t="shared" ca="1" si="63"/>
        <v>0.04</v>
      </c>
      <c r="E568" s="190">
        <f t="shared" ca="1" si="64"/>
        <v>1.3909850310974598E-2</v>
      </c>
      <c r="F568" s="189" t="b">
        <f t="shared" ca="1" si="65"/>
        <v>1</v>
      </c>
      <c r="G568" s="188">
        <f ca="1">IF(F568,IFERROR(((('Data Schema'!$C$3*(1+B568)^1)*((1-$I$4-$I$5+E568)*(1-$I$10)+$I$6-$I$11)-('Data Schema'!$C$3*(1+B568)^1-'Data Schema'!$C$3)*$I$12)/(1+C568)^1+(('Data Schema'!$C$3*(1+B568)^2)*((1-$I$4-$I$5+E568)*(1-$I$10)+$I$6-$I$11)-('Data Schema'!$C$3*(1+B568)^2-'Data Schema'!$C$3*(1+B568)^1)*$I$12)/(1+C568)^2+(('Data Schema'!$C$3*(1+B568)^3)*((1-$I$4-$I$5+E568)*(1-$I$10)+$I$6-$I$11)-('Data Schema'!$C$3*(1+B568)^3-'Data Schema'!$C$3*(1+B568)^2)*$I$12)/(1+C568)^3+(('Data Schema'!$C$3*(1+B568)^4)*((1-$I$4-$I$5+E568)*(1-$I$10)+$I$6-$I$11)-('Data Schema'!$C$3*(1+B568)^4-'Data Schema'!$C$3*(1+B568)^3)*$I$12)/(1+C568)^4+(('Data Schema'!$C$3*(1+B568)^5)*((1-$I$4-$I$5+E568)*(1-$I$10)+$I$6-$I$11)-('Data Schema'!$C$3*(1+B568)^5-'Data Schema'!$C$3*(1+B568)^4)*$I$12)/(1+C568)^5+((('Data Schema'!$C$3*(1+B568)^5)*((1-$I$4-$I$5+E568)*(1-$I$10)+$I$6-$I$11)-('Data Schema'!$C$3*(1+B568)^5-'Data Schema'!$C$3*(1+B568)^4)*$I$12)*(1+D568)/(C568-D568))/(1+C568)^5-'Data Schema'!$C$31+'Data Schema'!$C$21)/'Data Schema'!$B$17,0),"INVALID")</f>
        <v>194.17720061894246</v>
      </c>
      <c r="H568" s="189" t="b">
        <f t="shared" ca="1" si="66"/>
        <v>1</v>
      </c>
      <c r="I568" s="188">
        <f t="shared" ca="1" si="67"/>
        <v>194.17720061894246</v>
      </c>
      <c r="J568" s="349">
        <f t="shared" ca="1" si="60"/>
        <v>194.17720061894246</v>
      </c>
    </row>
    <row r="569" spans="1:10">
      <c r="A569" s="184">
        <v>390</v>
      </c>
      <c r="B569" s="190">
        <f t="shared" ca="1" si="61"/>
        <v>8.6173666586536232E-2</v>
      </c>
      <c r="C569" s="190">
        <f t="shared" ca="1" si="62"/>
        <v>4.4902856832472915E-2</v>
      </c>
      <c r="D569" s="190">
        <f t="shared" ca="1" si="63"/>
        <v>2.5966273238200662E-2</v>
      </c>
      <c r="E569" s="190">
        <f t="shared" ca="1" si="64"/>
        <v>-2.9276603368915841E-2</v>
      </c>
      <c r="F569" s="189" t="b">
        <f t="shared" ca="1" si="65"/>
        <v>1</v>
      </c>
      <c r="G569" s="188">
        <f ca="1">IF(F569,IFERROR(((('Data Schema'!$C$3*(1+B569)^1)*((1-$I$4-$I$5+E569)*(1-$I$10)+$I$6-$I$11)-('Data Schema'!$C$3*(1+B569)^1-'Data Schema'!$C$3)*$I$12)/(1+C569)^1+(('Data Schema'!$C$3*(1+B569)^2)*((1-$I$4-$I$5+E569)*(1-$I$10)+$I$6-$I$11)-('Data Schema'!$C$3*(1+B569)^2-'Data Schema'!$C$3*(1+B569)^1)*$I$12)/(1+C569)^2+(('Data Schema'!$C$3*(1+B569)^3)*((1-$I$4-$I$5+E569)*(1-$I$10)+$I$6-$I$11)-('Data Schema'!$C$3*(1+B569)^3-'Data Schema'!$C$3*(1+B569)^2)*$I$12)/(1+C569)^3+(('Data Schema'!$C$3*(1+B569)^4)*((1-$I$4-$I$5+E569)*(1-$I$10)+$I$6-$I$11)-('Data Schema'!$C$3*(1+B569)^4-'Data Schema'!$C$3*(1+B569)^3)*$I$12)/(1+C569)^4+(('Data Schema'!$C$3*(1+B569)^5)*((1-$I$4-$I$5+E569)*(1-$I$10)+$I$6-$I$11)-('Data Schema'!$C$3*(1+B569)^5-'Data Schema'!$C$3*(1+B569)^4)*$I$12)/(1+C569)^5+((('Data Schema'!$C$3*(1+B569)^5)*((1-$I$4-$I$5+E569)*(1-$I$10)+$I$6-$I$11)-('Data Schema'!$C$3*(1+B569)^5-'Data Schema'!$C$3*(1+B569)^4)*$I$12)*(1+D569)/(C569-D569))/(1+C569)^5-'Data Schema'!$C$31+'Data Schema'!$C$21)/'Data Schema'!$B$17,0),"INVALID")</f>
        <v>16.490284852005004</v>
      </c>
      <c r="H569" s="189" t="b">
        <f t="shared" ca="1" si="66"/>
        <v>1</v>
      </c>
      <c r="I569" s="188">
        <f t="shared" ca="1" si="67"/>
        <v>16.490284852005004</v>
      </c>
      <c r="J569" s="349" t="str">
        <f t="shared" ca="1" si="60"/>
        <v/>
      </c>
    </row>
    <row r="570" spans="1:10">
      <c r="A570" s="185">
        <v>391</v>
      </c>
      <c r="B570" s="190">
        <f t="shared" ca="1" si="61"/>
        <v>7.6628765125508841E-2</v>
      </c>
      <c r="C570" s="190">
        <f t="shared" ca="1" si="62"/>
        <v>4.7453310891963169E-2</v>
      </c>
      <c r="D570" s="190">
        <f t="shared" ca="1" si="63"/>
        <v>2.1636344417518383E-2</v>
      </c>
      <c r="E570" s="190">
        <f t="shared" ca="1" si="64"/>
        <v>-3.3181989536899491E-3</v>
      </c>
      <c r="F570" s="189" t="b">
        <f t="shared" ca="1" si="65"/>
        <v>1</v>
      </c>
      <c r="G570" s="188">
        <f ca="1">IF(F570,IFERROR(((('Data Schema'!$C$3*(1+B570)^1)*((1-$I$4-$I$5+E570)*(1-$I$10)+$I$6-$I$11)-('Data Schema'!$C$3*(1+B570)^1-'Data Schema'!$C$3)*$I$12)/(1+C570)^1+(('Data Schema'!$C$3*(1+B570)^2)*((1-$I$4-$I$5+E570)*(1-$I$10)+$I$6-$I$11)-('Data Schema'!$C$3*(1+B570)^2-'Data Schema'!$C$3*(1+B570)^1)*$I$12)/(1+C570)^2+(('Data Schema'!$C$3*(1+B570)^3)*((1-$I$4-$I$5+E570)*(1-$I$10)+$I$6-$I$11)-('Data Schema'!$C$3*(1+B570)^3-'Data Schema'!$C$3*(1+B570)^2)*$I$12)/(1+C570)^3+(('Data Schema'!$C$3*(1+B570)^4)*((1-$I$4-$I$5+E570)*(1-$I$10)+$I$6-$I$11)-('Data Schema'!$C$3*(1+B570)^4-'Data Schema'!$C$3*(1+B570)^3)*$I$12)/(1+C570)^4+(('Data Schema'!$C$3*(1+B570)^5)*((1-$I$4-$I$5+E570)*(1-$I$10)+$I$6-$I$11)-('Data Schema'!$C$3*(1+B570)^5-'Data Schema'!$C$3*(1+B570)^4)*$I$12)/(1+C570)^5+((('Data Schema'!$C$3*(1+B570)^5)*((1-$I$4-$I$5+E570)*(1-$I$10)+$I$6-$I$11)-('Data Schema'!$C$3*(1+B570)^5-'Data Schema'!$C$3*(1+B570)^4)*$I$12)*(1+D570)/(C570-D570))/(1+C570)^5-'Data Schema'!$C$31+'Data Schema'!$C$21)/'Data Schema'!$B$17,0),"INVALID")</f>
        <v>98.438982361670213</v>
      </c>
      <c r="H570" s="189" t="b">
        <f t="shared" ca="1" si="66"/>
        <v>1</v>
      </c>
      <c r="I570" s="188">
        <f t="shared" ca="1" si="67"/>
        <v>98.438982361670213</v>
      </c>
      <c r="J570" s="349">
        <f t="shared" ca="1" si="60"/>
        <v>98.438982361670213</v>
      </c>
    </row>
    <row r="571" spans="1:10">
      <c r="A571" s="184">
        <v>392</v>
      </c>
      <c r="B571" s="190">
        <f t="shared" ca="1" si="61"/>
        <v>0.13502909897208384</v>
      </c>
      <c r="C571" s="190">
        <f t="shared" ca="1" si="62"/>
        <v>7.1294937248393045E-2</v>
      </c>
      <c r="D571" s="190">
        <f t="shared" ca="1" si="63"/>
        <v>3.291587071270561E-2</v>
      </c>
      <c r="E571" s="190">
        <f t="shared" ca="1" si="64"/>
        <v>1.2077063114433573E-2</v>
      </c>
      <c r="F571" s="189" t="b">
        <f t="shared" ca="1" si="65"/>
        <v>1</v>
      </c>
      <c r="G571" s="188">
        <f ca="1">IF(F571,IFERROR(((('Data Schema'!$C$3*(1+B571)^1)*((1-$I$4-$I$5+E571)*(1-$I$10)+$I$6-$I$11)-('Data Schema'!$C$3*(1+B571)^1-'Data Schema'!$C$3)*$I$12)/(1+C571)^1+(('Data Schema'!$C$3*(1+B571)^2)*((1-$I$4-$I$5+E571)*(1-$I$10)+$I$6-$I$11)-('Data Schema'!$C$3*(1+B571)^2-'Data Schema'!$C$3*(1+B571)^1)*$I$12)/(1+C571)^2+(('Data Schema'!$C$3*(1+B571)^3)*((1-$I$4-$I$5+E571)*(1-$I$10)+$I$6-$I$11)-('Data Schema'!$C$3*(1+B571)^3-'Data Schema'!$C$3*(1+B571)^2)*$I$12)/(1+C571)^3+(('Data Schema'!$C$3*(1+B571)^4)*((1-$I$4-$I$5+E571)*(1-$I$10)+$I$6-$I$11)-('Data Schema'!$C$3*(1+B571)^4-'Data Schema'!$C$3*(1+B571)^3)*$I$12)/(1+C571)^4+(('Data Schema'!$C$3*(1+B571)^5)*((1-$I$4-$I$5+E571)*(1-$I$10)+$I$6-$I$11)-('Data Schema'!$C$3*(1+B571)^5-'Data Schema'!$C$3*(1+B571)^4)*$I$12)/(1+C571)^5+((('Data Schema'!$C$3*(1+B571)^5)*((1-$I$4-$I$5+E571)*(1-$I$10)+$I$6-$I$11)-('Data Schema'!$C$3*(1+B571)^5-'Data Schema'!$C$3*(1+B571)^4)*$I$12)*(1+D571)/(C571-D571))/(1+C571)^5-'Data Schema'!$C$31+'Data Schema'!$C$21)/'Data Schema'!$B$17,0),"INVALID")</f>
        <v>119.34510959065742</v>
      </c>
      <c r="H571" s="189" t="b">
        <f t="shared" ca="1" si="66"/>
        <v>1</v>
      </c>
      <c r="I571" s="188">
        <f t="shared" ca="1" si="67"/>
        <v>119.34510959065742</v>
      </c>
      <c r="J571" s="349">
        <f t="shared" ca="1" si="60"/>
        <v>119.34510959065742</v>
      </c>
    </row>
    <row r="572" spans="1:10">
      <c r="A572" s="185">
        <v>393</v>
      </c>
      <c r="B572" s="190">
        <f t="shared" ca="1" si="61"/>
        <v>9.8290659369814876E-2</v>
      </c>
      <c r="C572" s="190">
        <f t="shared" ca="1" si="62"/>
        <v>5.4073423924671807E-2</v>
      </c>
      <c r="D572" s="190">
        <f t="shared" ca="1" si="63"/>
        <v>2.3571587110437074E-2</v>
      </c>
      <c r="E572" s="190">
        <f t="shared" ca="1" si="64"/>
        <v>-1.7702131056596262E-2</v>
      </c>
      <c r="F572" s="189" t="b">
        <f t="shared" ca="1" si="65"/>
        <v>1</v>
      </c>
      <c r="G572" s="188">
        <f ca="1">IF(F572,IFERROR(((('Data Schema'!$C$3*(1+B572)^1)*((1-$I$4-$I$5+E572)*(1-$I$10)+$I$6-$I$11)-('Data Schema'!$C$3*(1+B572)^1-'Data Schema'!$C$3)*$I$12)/(1+C572)^1+(('Data Schema'!$C$3*(1+B572)^2)*((1-$I$4-$I$5+E572)*(1-$I$10)+$I$6-$I$11)-('Data Schema'!$C$3*(1+B572)^2-'Data Schema'!$C$3*(1+B572)^1)*$I$12)/(1+C572)^2+(('Data Schema'!$C$3*(1+B572)^3)*((1-$I$4-$I$5+E572)*(1-$I$10)+$I$6-$I$11)-('Data Schema'!$C$3*(1+B572)^3-'Data Schema'!$C$3*(1+B572)^2)*$I$12)/(1+C572)^3+(('Data Schema'!$C$3*(1+B572)^4)*((1-$I$4-$I$5+E572)*(1-$I$10)+$I$6-$I$11)-('Data Schema'!$C$3*(1+B572)^4-'Data Schema'!$C$3*(1+B572)^3)*$I$12)/(1+C572)^4+(('Data Schema'!$C$3*(1+B572)^5)*((1-$I$4-$I$5+E572)*(1-$I$10)+$I$6-$I$11)-('Data Schema'!$C$3*(1+B572)^5-'Data Schema'!$C$3*(1+B572)^4)*$I$12)/(1+C572)^5+((('Data Schema'!$C$3*(1+B572)^5)*((1-$I$4-$I$5+E572)*(1-$I$10)+$I$6-$I$11)-('Data Schema'!$C$3*(1+B572)^5-'Data Schema'!$C$3*(1+B572)^4)*$I$12)*(1+D572)/(C572-D572))/(1+C572)^5-'Data Schema'!$C$31+'Data Schema'!$C$21)/'Data Schema'!$B$17,0),"INVALID")</f>
        <v>43.747672479612888</v>
      </c>
      <c r="H572" s="189" t="b">
        <f t="shared" ca="1" si="66"/>
        <v>1</v>
      </c>
      <c r="I572" s="188">
        <f t="shared" ca="1" si="67"/>
        <v>43.747672479612888</v>
      </c>
      <c r="J572" s="349">
        <f t="shared" ca="1" si="60"/>
        <v>43.747672479612888</v>
      </c>
    </row>
    <row r="573" spans="1:10">
      <c r="A573" s="184">
        <v>394</v>
      </c>
      <c r="B573" s="190">
        <f t="shared" ca="1" si="61"/>
        <v>8.3536562365600406E-2</v>
      </c>
      <c r="C573" s="190">
        <f t="shared" ca="1" si="62"/>
        <v>6.0673190473402243E-2</v>
      </c>
      <c r="D573" s="190">
        <f t="shared" ca="1" si="63"/>
        <v>2.9224606950580132E-2</v>
      </c>
      <c r="E573" s="190">
        <f t="shared" ca="1" si="64"/>
        <v>-9.8867506691901336E-3</v>
      </c>
      <c r="F573" s="189" t="b">
        <f t="shared" ca="1" si="65"/>
        <v>1</v>
      </c>
      <c r="G573" s="188">
        <f ca="1">IF(F573,IFERROR(((('Data Schema'!$C$3*(1+B573)^1)*((1-$I$4-$I$5+E573)*(1-$I$10)+$I$6-$I$11)-('Data Schema'!$C$3*(1+B573)^1-'Data Schema'!$C$3)*$I$12)/(1+C573)^1+(('Data Schema'!$C$3*(1+B573)^2)*((1-$I$4-$I$5+E573)*(1-$I$10)+$I$6-$I$11)-('Data Schema'!$C$3*(1+B573)^2-'Data Schema'!$C$3*(1+B573)^1)*$I$12)/(1+C573)^2+(('Data Schema'!$C$3*(1+B573)^3)*((1-$I$4-$I$5+E573)*(1-$I$10)+$I$6-$I$11)-('Data Schema'!$C$3*(1+B573)^3-'Data Schema'!$C$3*(1+B573)^2)*$I$12)/(1+C573)^3+(('Data Schema'!$C$3*(1+B573)^4)*((1-$I$4-$I$5+E573)*(1-$I$10)+$I$6-$I$11)-('Data Schema'!$C$3*(1+B573)^4-'Data Schema'!$C$3*(1+B573)^3)*$I$12)/(1+C573)^4+(('Data Schema'!$C$3*(1+B573)^5)*((1-$I$4-$I$5+E573)*(1-$I$10)+$I$6-$I$11)-('Data Schema'!$C$3*(1+B573)^5-'Data Schema'!$C$3*(1+B573)^4)*$I$12)/(1+C573)^5+((('Data Schema'!$C$3*(1+B573)^5)*((1-$I$4-$I$5+E573)*(1-$I$10)+$I$6-$I$11)-('Data Schema'!$C$3*(1+B573)^5-'Data Schema'!$C$3*(1+B573)^4)*$I$12)*(1+D573)/(C573-D573))/(1+C573)^5-'Data Schema'!$C$31+'Data Schema'!$C$21)/'Data Schema'!$B$17,0),"INVALID")</f>
        <v>60.857918155918583</v>
      </c>
      <c r="H573" s="189" t="b">
        <f t="shared" ca="1" si="66"/>
        <v>1</v>
      </c>
      <c r="I573" s="188">
        <f t="shared" ca="1" si="67"/>
        <v>60.857918155918583</v>
      </c>
      <c r="J573" s="349">
        <f t="shared" ca="1" si="60"/>
        <v>60.857918155918583</v>
      </c>
    </row>
    <row r="574" spans="1:10">
      <c r="A574" s="185">
        <v>395</v>
      </c>
      <c r="B574" s="190">
        <f t="shared" ca="1" si="61"/>
        <v>0.11704181117402043</v>
      </c>
      <c r="C574" s="190">
        <f t="shared" ca="1" si="62"/>
        <v>5.9343133019392216E-2</v>
      </c>
      <c r="D574" s="190">
        <f t="shared" ca="1" si="63"/>
        <v>2.7272780523813375E-2</v>
      </c>
      <c r="E574" s="190">
        <f t="shared" ca="1" si="64"/>
        <v>-2.7816494368835903E-2</v>
      </c>
      <c r="F574" s="189" t="b">
        <f t="shared" ca="1" si="65"/>
        <v>1</v>
      </c>
      <c r="G574" s="188">
        <f ca="1">IF(F574,IFERROR(((('Data Schema'!$C$3*(1+B574)^1)*((1-$I$4-$I$5+E574)*(1-$I$10)+$I$6-$I$11)-('Data Schema'!$C$3*(1+B574)^1-'Data Schema'!$C$3)*$I$12)/(1+C574)^1+(('Data Schema'!$C$3*(1+B574)^2)*((1-$I$4-$I$5+E574)*(1-$I$10)+$I$6-$I$11)-('Data Schema'!$C$3*(1+B574)^2-'Data Schema'!$C$3*(1+B574)^1)*$I$12)/(1+C574)^2+(('Data Schema'!$C$3*(1+B574)^3)*((1-$I$4-$I$5+E574)*(1-$I$10)+$I$6-$I$11)-('Data Schema'!$C$3*(1+B574)^3-'Data Schema'!$C$3*(1+B574)^2)*$I$12)/(1+C574)^3+(('Data Schema'!$C$3*(1+B574)^4)*((1-$I$4-$I$5+E574)*(1-$I$10)+$I$6-$I$11)-('Data Schema'!$C$3*(1+B574)^4-'Data Schema'!$C$3*(1+B574)^3)*$I$12)/(1+C574)^4+(('Data Schema'!$C$3*(1+B574)^5)*((1-$I$4-$I$5+E574)*(1-$I$10)+$I$6-$I$11)-('Data Schema'!$C$3*(1+B574)^5-'Data Schema'!$C$3*(1+B574)^4)*$I$12)/(1+C574)^5+((('Data Schema'!$C$3*(1+B574)^5)*((1-$I$4-$I$5+E574)*(1-$I$10)+$I$6-$I$11)-('Data Schema'!$C$3*(1+B574)^5-'Data Schema'!$C$3*(1+B574)^4)*$I$12)*(1+D574)/(C574-D574))/(1+C574)^5-'Data Schema'!$C$31+'Data Schema'!$C$21)/'Data Schema'!$B$17,0),"INVALID")</f>
        <v>11.150240251307746</v>
      </c>
      <c r="H574" s="189" t="b">
        <f t="shared" ca="1" si="66"/>
        <v>0</v>
      </c>
      <c r="I574" s="188" t="str">
        <f t="shared" ca="1" si="67"/>
        <v/>
      </c>
      <c r="J574" s="349" t="str">
        <f t="shared" ca="1" si="60"/>
        <v/>
      </c>
    </row>
    <row r="575" spans="1:10">
      <c r="A575" s="184">
        <v>396</v>
      </c>
      <c r="B575" s="190">
        <f t="shared" ca="1" si="61"/>
        <v>8.0158639492271977E-2</v>
      </c>
      <c r="C575" s="190">
        <f t="shared" ca="1" si="62"/>
        <v>4.2765218130110368E-2</v>
      </c>
      <c r="D575" s="190">
        <f t="shared" ca="1" si="63"/>
        <v>2.379351457542336E-2</v>
      </c>
      <c r="E575" s="190">
        <f t="shared" ca="1" si="64"/>
        <v>3.2758768880226274E-2</v>
      </c>
      <c r="F575" s="189" t="b">
        <f t="shared" ca="1" si="65"/>
        <v>1</v>
      </c>
      <c r="G575" s="188">
        <f ca="1">IF(F575,IFERROR(((('Data Schema'!$C$3*(1+B575)^1)*((1-$I$4-$I$5+E575)*(1-$I$10)+$I$6-$I$11)-('Data Schema'!$C$3*(1+B575)^1-'Data Schema'!$C$3)*$I$12)/(1+C575)^1+(('Data Schema'!$C$3*(1+B575)^2)*((1-$I$4-$I$5+E575)*(1-$I$10)+$I$6-$I$11)-('Data Schema'!$C$3*(1+B575)^2-'Data Schema'!$C$3*(1+B575)^1)*$I$12)/(1+C575)^2+(('Data Schema'!$C$3*(1+B575)^3)*((1-$I$4-$I$5+E575)*(1-$I$10)+$I$6-$I$11)-('Data Schema'!$C$3*(1+B575)^3-'Data Schema'!$C$3*(1+B575)^2)*$I$12)/(1+C575)^3+(('Data Schema'!$C$3*(1+B575)^4)*((1-$I$4-$I$5+E575)*(1-$I$10)+$I$6-$I$11)-('Data Schema'!$C$3*(1+B575)^4-'Data Schema'!$C$3*(1+B575)^3)*$I$12)/(1+C575)^4+(('Data Schema'!$C$3*(1+B575)^5)*((1-$I$4-$I$5+E575)*(1-$I$10)+$I$6-$I$11)-('Data Schema'!$C$3*(1+B575)^5-'Data Schema'!$C$3*(1+B575)^4)*$I$12)/(1+C575)^5+((('Data Schema'!$C$3*(1+B575)^5)*((1-$I$4-$I$5+E575)*(1-$I$10)+$I$6-$I$11)-('Data Schema'!$C$3*(1+B575)^5-'Data Schema'!$C$3*(1+B575)^4)*$I$12)*(1+D575)/(C575-D575))/(1+C575)^5-'Data Schema'!$C$31+'Data Schema'!$C$21)/'Data Schema'!$B$17,0),"INVALID")</f>
        <v>305.86846698281738</v>
      </c>
      <c r="H575" s="189" t="b">
        <f t="shared" ca="1" si="66"/>
        <v>1</v>
      </c>
      <c r="I575" s="188">
        <f t="shared" ca="1" si="67"/>
        <v>305.86846698281738</v>
      </c>
      <c r="J575" s="349" t="str">
        <f t="shared" ca="1" si="60"/>
        <v/>
      </c>
    </row>
    <row r="576" spans="1:10">
      <c r="A576" s="185">
        <v>397</v>
      </c>
      <c r="B576" s="190">
        <f t="shared" ca="1" si="61"/>
        <v>4.7779877833213136E-2</v>
      </c>
      <c r="C576" s="190">
        <f t="shared" ca="1" si="62"/>
        <v>6.7910049710934575E-2</v>
      </c>
      <c r="D576" s="190">
        <f t="shared" ca="1" si="63"/>
        <v>2.7533403165150443E-2</v>
      </c>
      <c r="E576" s="190">
        <f t="shared" ca="1" si="64"/>
        <v>-2.4508444572972181E-2</v>
      </c>
      <c r="F576" s="189" t="b">
        <f t="shared" ca="1" si="65"/>
        <v>1</v>
      </c>
      <c r="G576" s="188">
        <f ca="1">IF(F576,IFERROR(((('Data Schema'!$C$3*(1+B576)^1)*((1-$I$4-$I$5+E576)*(1-$I$10)+$I$6-$I$11)-('Data Schema'!$C$3*(1+B576)^1-'Data Schema'!$C$3)*$I$12)/(1+C576)^1+(('Data Schema'!$C$3*(1+B576)^2)*((1-$I$4-$I$5+E576)*(1-$I$10)+$I$6-$I$11)-('Data Schema'!$C$3*(1+B576)^2-'Data Schema'!$C$3*(1+B576)^1)*$I$12)/(1+C576)^2+(('Data Schema'!$C$3*(1+B576)^3)*((1-$I$4-$I$5+E576)*(1-$I$10)+$I$6-$I$11)-('Data Schema'!$C$3*(1+B576)^3-'Data Schema'!$C$3*(1+B576)^2)*$I$12)/(1+C576)^3+(('Data Schema'!$C$3*(1+B576)^4)*((1-$I$4-$I$5+E576)*(1-$I$10)+$I$6-$I$11)-('Data Schema'!$C$3*(1+B576)^4-'Data Schema'!$C$3*(1+B576)^3)*$I$12)/(1+C576)^4+(('Data Schema'!$C$3*(1+B576)^5)*((1-$I$4-$I$5+E576)*(1-$I$10)+$I$6-$I$11)-('Data Schema'!$C$3*(1+B576)^5-'Data Schema'!$C$3*(1+B576)^4)*$I$12)/(1+C576)^5+((('Data Schema'!$C$3*(1+B576)^5)*((1-$I$4-$I$5+E576)*(1-$I$10)+$I$6-$I$11)-('Data Schema'!$C$3*(1+B576)^5-'Data Schema'!$C$3*(1+B576)^4)*$I$12)*(1+D576)/(C576-D576))/(1+C576)^5-'Data Schema'!$C$31+'Data Schema'!$C$21)/'Data Schema'!$B$17,0),"INVALID")</f>
        <v>12.682403665910087</v>
      </c>
      <c r="H576" s="189" t="b">
        <f t="shared" ca="1" si="66"/>
        <v>1</v>
      </c>
      <c r="I576" s="188">
        <f t="shared" ca="1" si="67"/>
        <v>12.682403665910087</v>
      </c>
      <c r="J576" s="349" t="str">
        <f t="shared" ca="1" si="60"/>
        <v/>
      </c>
    </row>
    <row r="577" spans="1:10">
      <c r="A577" s="184">
        <v>398</v>
      </c>
      <c r="B577" s="190">
        <f t="shared" ca="1" si="61"/>
        <v>8.345004598204489E-2</v>
      </c>
      <c r="C577" s="190">
        <f t="shared" ca="1" si="62"/>
        <v>7.6690059804809016E-2</v>
      </c>
      <c r="D577" s="190">
        <f t="shared" ca="1" si="63"/>
        <v>2.7654594190693872E-2</v>
      </c>
      <c r="E577" s="190">
        <f t="shared" ca="1" si="64"/>
        <v>6.766277596506629E-3</v>
      </c>
      <c r="F577" s="189" t="b">
        <f t="shared" ca="1" si="65"/>
        <v>1</v>
      </c>
      <c r="G577" s="188">
        <f ca="1">IF(F577,IFERROR(((('Data Schema'!$C$3*(1+B577)^1)*((1-$I$4-$I$5+E577)*(1-$I$10)+$I$6-$I$11)-('Data Schema'!$C$3*(1+B577)^1-'Data Schema'!$C$3)*$I$12)/(1+C577)^1+(('Data Schema'!$C$3*(1+B577)^2)*((1-$I$4-$I$5+E577)*(1-$I$10)+$I$6-$I$11)-('Data Schema'!$C$3*(1+B577)^2-'Data Schema'!$C$3*(1+B577)^1)*$I$12)/(1+C577)^2+(('Data Schema'!$C$3*(1+B577)^3)*((1-$I$4-$I$5+E577)*(1-$I$10)+$I$6-$I$11)-('Data Schema'!$C$3*(1+B577)^3-'Data Schema'!$C$3*(1+B577)^2)*$I$12)/(1+C577)^3+(('Data Schema'!$C$3*(1+B577)^4)*((1-$I$4-$I$5+E577)*(1-$I$10)+$I$6-$I$11)-('Data Schema'!$C$3*(1+B577)^4-'Data Schema'!$C$3*(1+B577)^3)*$I$12)/(1+C577)^4+(('Data Schema'!$C$3*(1+B577)^5)*((1-$I$4-$I$5+E577)*(1-$I$10)+$I$6-$I$11)-('Data Schema'!$C$3*(1+B577)^5-'Data Schema'!$C$3*(1+B577)^4)*$I$12)/(1+C577)^5+((('Data Schema'!$C$3*(1+B577)^5)*((1-$I$4-$I$5+E577)*(1-$I$10)+$I$6-$I$11)-('Data Schema'!$C$3*(1+B577)^5-'Data Schema'!$C$3*(1+B577)^4)*$I$12)*(1+D577)/(C577-D577))/(1+C577)^5-'Data Schema'!$C$31+'Data Schema'!$C$21)/'Data Schema'!$B$17,0),"INVALID")</f>
        <v>66.095293115328516</v>
      </c>
      <c r="H577" s="189" t="b">
        <f t="shared" ca="1" si="66"/>
        <v>1</v>
      </c>
      <c r="I577" s="188">
        <f t="shared" ca="1" si="67"/>
        <v>66.095293115328516</v>
      </c>
      <c r="J577" s="349">
        <f t="shared" ca="1" si="60"/>
        <v>66.095293115328516</v>
      </c>
    </row>
    <row r="578" spans="1:10">
      <c r="A578" s="185">
        <v>399</v>
      </c>
      <c r="B578" s="190">
        <f t="shared" ca="1" si="61"/>
        <v>0.11562568229233308</v>
      </c>
      <c r="C578" s="190">
        <f t="shared" ca="1" si="62"/>
        <v>7.331377507240644E-2</v>
      </c>
      <c r="D578" s="190">
        <f t="shared" ca="1" si="63"/>
        <v>3.3648005834146434E-2</v>
      </c>
      <c r="E578" s="190">
        <f t="shared" ca="1" si="64"/>
        <v>3.3510702653289265E-4</v>
      </c>
      <c r="F578" s="189" t="b">
        <f t="shared" ca="1" si="65"/>
        <v>1</v>
      </c>
      <c r="G578" s="188">
        <f ca="1">IF(F578,IFERROR(((('Data Schema'!$C$3*(1+B578)^1)*((1-$I$4-$I$5+E578)*(1-$I$10)+$I$6-$I$11)-('Data Schema'!$C$3*(1+B578)^1-'Data Schema'!$C$3)*$I$12)/(1+C578)^1+(('Data Schema'!$C$3*(1+B578)^2)*((1-$I$4-$I$5+E578)*(1-$I$10)+$I$6-$I$11)-('Data Schema'!$C$3*(1+B578)^2-'Data Schema'!$C$3*(1+B578)^1)*$I$12)/(1+C578)^2+(('Data Schema'!$C$3*(1+B578)^3)*((1-$I$4-$I$5+E578)*(1-$I$10)+$I$6-$I$11)-('Data Schema'!$C$3*(1+B578)^3-'Data Schema'!$C$3*(1+B578)^2)*$I$12)/(1+C578)^3+(('Data Schema'!$C$3*(1+B578)^4)*((1-$I$4-$I$5+E578)*(1-$I$10)+$I$6-$I$11)-('Data Schema'!$C$3*(1+B578)^4-'Data Schema'!$C$3*(1+B578)^3)*$I$12)/(1+C578)^4+(('Data Schema'!$C$3*(1+B578)^5)*((1-$I$4-$I$5+E578)*(1-$I$10)+$I$6-$I$11)-('Data Schema'!$C$3*(1+B578)^5-'Data Schema'!$C$3*(1+B578)^4)*$I$12)/(1+C578)^5+((('Data Schema'!$C$3*(1+B578)^5)*((1-$I$4-$I$5+E578)*(1-$I$10)+$I$6-$I$11)-('Data Schema'!$C$3*(1+B578)^5-'Data Schema'!$C$3*(1+B578)^4)*$I$12)*(1+D578)/(C578-D578))/(1+C578)^5-'Data Schema'!$C$31+'Data Schema'!$C$21)/'Data Schema'!$B$17,0),"INVALID")</f>
        <v>77.158618638786407</v>
      </c>
      <c r="H578" s="189" t="b">
        <f t="shared" ca="1" si="66"/>
        <v>1</v>
      </c>
      <c r="I578" s="188">
        <f t="shared" ca="1" si="67"/>
        <v>77.158618638786407</v>
      </c>
      <c r="J578" s="349">
        <f t="shared" ca="1" si="60"/>
        <v>77.158618638786407</v>
      </c>
    </row>
    <row r="579" spans="1:10">
      <c r="A579" s="184">
        <v>400</v>
      </c>
      <c r="B579" s="190">
        <f t="shared" ca="1" si="61"/>
        <v>0.13028340469198188</v>
      </c>
      <c r="C579" s="190">
        <f t="shared" ca="1" si="62"/>
        <v>5.5711272550979116E-2</v>
      </c>
      <c r="D579" s="190">
        <f t="shared" ca="1" si="63"/>
        <v>2.5403474774778469E-2</v>
      </c>
      <c r="E579" s="190">
        <f t="shared" ca="1" si="64"/>
        <v>4.5609599419844854E-2</v>
      </c>
      <c r="F579" s="189" t="b">
        <f t="shared" ca="1" si="65"/>
        <v>1</v>
      </c>
      <c r="G579" s="188">
        <f ca="1">IF(F579,IFERROR(((('Data Schema'!$C$3*(1+B579)^1)*((1-$I$4-$I$5+E579)*(1-$I$10)+$I$6-$I$11)-('Data Schema'!$C$3*(1+B579)^1-'Data Schema'!$C$3)*$I$12)/(1+C579)^1+(('Data Schema'!$C$3*(1+B579)^2)*((1-$I$4-$I$5+E579)*(1-$I$10)+$I$6-$I$11)-('Data Schema'!$C$3*(1+B579)^2-'Data Schema'!$C$3*(1+B579)^1)*$I$12)/(1+C579)^2+(('Data Schema'!$C$3*(1+B579)^3)*((1-$I$4-$I$5+E579)*(1-$I$10)+$I$6-$I$11)-('Data Schema'!$C$3*(1+B579)^3-'Data Schema'!$C$3*(1+B579)^2)*$I$12)/(1+C579)^3+(('Data Schema'!$C$3*(1+B579)^4)*((1-$I$4-$I$5+E579)*(1-$I$10)+$I$6-$I$11)-('Data Schema'!$C$3*(1+B579)^4-'Data Schema'!$C$3*(1+B579)^3)*$I$12)/(1+C579)^4+(('Data Schema'!$C$3*(1+B579)^5)*((1-$I$4-$I$5+E579)*(1-$I$10)+$I$6-$I$11)-('Data Schema'!$C$3*(1+B579)^5-'Data Schema'!$C$3*(1+B579)^4)*$I$12)/(1+C579)^5+((('Data Schema'!$C$3*(1+B579)^5)*((1-$I$4-$I$5+E579)*(1-$I$10)+$I$6-$I$11)-('Data Schema'!$C$3*(1+B579)^5-'Data Schema'!$C$3*(1+B579)^4)*$I$12)*(1+D579)/(C579-D579))/(1+C579)^5-'Data Schema'!$C$31+'Data Schema'!$C$21)/'Data Schema'!$B$17,0),"INVALID")</f>
        <v>275.67172372970327</v>
      </c>
      <c r="H579" s="189" t="b">
        <f t="shared" ca="1" si="66"/>
        <v>1</v>
      </c>
      <c r="I579" s="188">
        <f t="shared" ca="1" si="67"/>
        <v>275.67172372970327</v>
      </c>
      <c r="J579" s="349" t="str">
        <f t="shared" ca="1" si="60"/>
        <v/>
      </c>
    </row>
    <row r="580" spans="1:10">
      <c r="A580" s="185">
        <v>401</v>
      </c>
      <c r="B580" s="190">
        <f t="shared" ca="1" si="61"/>
        <v>6.0406243977321965E-2</v>
      </c>
      <c r="C580" s="190">
        <f t="shared" ca="1" si="62"/>
        <v>7.199318632012866E-2</v>
      </c>
      <c r="D580" s="190">
        <f t="shared" ca="1" si="63"/>
        <v>3.1831470335182091E-2</v>
      </c>
      <c r="E580" s="190">
        <f t="shared" ca="1" si="64"/>
        <v>2.4656889602461614E-3</v>
      </c>
      <c r="F580" s="189" t="b">
        <f t="shared" ca="1" si="65"/>
        <v>1</v>
      </c>
      <c r="G580" s="188">
        <f ca="1">IF(F580,IFERROR(((('Data Schema'!$C$3*(1+B580)^1)*((1-$I$4-$I$5+E580)*(1-$I$10)+$I$6-$I$11)-('Data Schema'!$C$3*(1+B580)^1-'Data Schema'!$C$3)*$I$12)/(1+C580)^1+(('Data Schema'!$C$3*(1+B580)^2)*((1-$I$4-$I$5+E580)*(1-$I$10)+$I$6-$I$11)-('Data Schema'!$C$3*(1+B580)^2-'Data Schema'!$C$3*(1+B580)^1)*$I$12)/(1+C580)^2+(('Data Schema'!$C$3*(1+B580)^3)*((1-$I$4-$I$5+E580)*(1-$I$10)+$I$6-$I$11)-('Data Schema'!$C$3*(1+B580)^3-'Data Schema'!$C$3*(1+B580)^2)*$I$12)/(1+C580)^3+(('Data Schema'!$C$3*(1+B580)^4)*((1-$I$4-$I$5+E580)*(1-$I$10)+$I$6-$I$11)-('Data Schema'!$C$3*(1+B580)^4-'Data Schema'!$C$3*(1+B580)^3)*$I$12)/(1+C580)^4+(('Data Schema'!$C$3*(1+B580)^5)*((1-$I$4-$I$5+E580)*(1-$I$10)+$I$6-$I$11)-('Data Schema'!$C$3*(1+B580)^5-'Data Schema'!$C$3*(1+B580)^4)*$I$12)/(1+C580)^5+((('Data Schema'!$C$3*(1+B580)^5)*((1-$I$4-$I$5+E580)*(1-$I$10)+$I$6-$I$11)-('Data Schema'!$C$3*(1+B580)^5-'Data Schema'!$C$3*(1+B580)^4)*$I$12)*(1+D580)/(C580-D580))/(1+C580)^5-'Data Schema'!$C$31+'Data Schema'!$C$21)/'Data Schema'!$B$17,0),"INVALID")</f>
        <v>65.488407758993745</v>
      </c>
      <c r="H580" s="189" t="b">
        <f t="shared" ca="1" si="66"/>
        <v>1</v>
      </c>
      <c r="I580" s="188">
        <f t="shared" ca="1" si="67"/>
        <v>65.488407758993745</v>
      </c>
      <c r="J580" s="349">
        <f t="shared" ca="1" si="60"/>
        <v>65.488407758993745</v>
      </c>
    </row>
    <row r="581" spans="1:10">
      <c r="A581" s="184">
        <v>402</v>
      </c>
      <c r="B581" s="190">
        <f t="shared" ca="1" si="61"/>
        <v>0.12636054035633751</v>
      </c>
      <c r="C581" s="190">
        <f t="shared" ca="1" si="62"/>
        <v>5.3033448277180741E-2</v>
      </c>
      <c r="D581" s="190">
        <f t="shared" ca="1" si="63"/>
        <v>2.5132045362092861E-2</v>
      </c>
      <c r="E581" s="190">
        <f t="shared" ca="1" si="64"/>
        <v>-8.7756380120836818E-3</v>
      </c>
      <c r="F581" s="189" t="b">
        <f t="shared" ca="1" si="65"/>
        <v>1</v>
      </c>
      <c r="G581" s="188">
        <f ca="1">IF(F581,IFERROR(((('Data Schema'!$C$3*(1+B581)^1)*((1-$I$4-$I$5+E581)*(1-$I$10)+$I$6-$I$11)-('Data Schema'!$C$3*(1+B581)^1-'Data Schema'!$C$3)*$I$12)/(1+C581)^1+(('Data Schema'!$C$3*(1+B581)^2)*((1-$I$4-$I$5+E581)*(1-$I$10)+$I$6-$I$11)-('Data Schema'!$C$3*(1+B581)^2-'Data Schema'!$C$3*(1+B581)^1)*$I$12)/(1+C581)^2+(('Data Schema'!$C$3*(1+B581)^3)*((1-$I$4-$I$5+E581)*(1-$I$10)+$I$6-$I$11)-('Data Schema'!$C$3*(1+B581)^3-'Data Schema'!$C$3*(1+B581)^2)*$I$12)/(1+C581)^3+(('Data Schema'!$C$3*(1+B581)^4)*((1-$I$4-$I$5+E581)*(1-$I$10)+$I$6-$I$11)-('Data Schema'!$C$3*(1+B581)^4-'Data Schema'!$C$3*(1+B581)^3)*$I$12)/(1+C581)^4+(('Data Schema'!$C$3*(1+B581)^5)*((1-$I$4-$I$5+E581)*(1-$I$10)+$I$6-$I$11)-('Data Schema'!$C$3*(1+B581)^5-'Data Schema'!$C$3*(1+B581)^4)*$I$12)/(1+C581)^5+((('Data Schema'!$C$3*(1+B581)^5)*((1-$I$4-$I$5+E581)*(1-$I$10)+$I$6-$I$11)-('Data Schema'!$C$3*(1+B581)^5-'Data Schema'!$C$3*(1+B581)^4)*$I$12)*(1+D581)/(C581-D581))/(1+C581)^5-'Data Schema'!$C$31+'Data Schema'!$C$21)/'Data Schema'!$B$17,0),"INVALID")</f>
        <v>87.30375410111769</v>
      </c>
      <c r="H581" s="189" t="b">
        <f t="shared" ca="1" si="66"/>
        <v>1</v>
      </c>
      <c r="I581" s="188">
        <f t="shared" ca="1" si="67"/>
        <v>87.30375410111769</v>
      </c>
      <c r="J581" s="349">
        <f t="shared" ca="1" si="60"/>
        <v>87.30375410111769</v>
      </c>
    </row>
    <row r="582" spans="1:10">
      <c r="A582" s="185">
        <v>403</v>
      </c>
      <c r="B582" s="190">
        <f t="shared" ca="1" si="61"/>
        <v>0.11617994389322232</v>
      </c>
      <c r="C582" s="190">
        <f t="shared" ca="1" si="62"/>
        <v>7.2194311093721528E-2</v>
      </c>
      <c r="D582" s="190">
        <f t="shared" ca="1" si="63"/>
        <v>1.8122711727424547E-2</v>
      </c>
      <c r="E582" s="190">
        <f t="shared" ca="1" si="64"/>
        <v>-2.6097758871019023E-2</v>
      </c>
      <c r="F582" s="189" t="b">
        <f t="shared" ca="1" si="65"/>
        <v>1</v>
      </c>
      <c r="G582" s="188">
        <f ca="1">IF(F582,IFERROR(((('Data Schema'!$C$3*(1+B582)^1)*((1-$I$4-$I$5+E582)*(1-$I$10)+$I$6-$I$11)-('Data Schema'!$C$3*(1+B582)^1-'Data Schema'!$C$3)*$I$12)/(1+C582)^1+(('Data Schema'!$C$3*(1+B582)^2)*((1-$I$4-$I$5+E582)*(1-$I$10)+$I$6-$I$11)-('Data Schema'!$C$3*(1+B582)^2-'Data Schema'!$C$3*(1+B582)^1)*$I$12)/(1+C582)^2+(('Data Schema'!$C$3*(1+B582)^3)*((1-$I$4-$I$5+E582)*(1-$I$10)+$I$6-$I$11)-('Data Schema'!$C$3*(1+B582)^3-'Data Schema'!$C$3*(1+B582)^2)*$I$12)/(1+C582)^3+(('Data Schema'!$C$3*(1+B582)^4)*((1-$I$4-$I$5+E582)*(1-$I$10)+$I$6-$I$11)-('Data Schema'!$C$3*(1+B582)^4-'Data Schema'!$C$3*(1+B582)^3)*$I$12)/(1+C582)^4+(('Data Schema'!$C$3*(1+B582)^5)*((1-$I$4-$I$5+E582)*(1-$I$10)+$I$6-$I$11)-('Data Schema'!$C$3*(1+B582)^5-'Data Schema'!$C$3*(1+B582)^4)*$I$12)/(1+C582)^5+((('Data Schema'!$C$3*(1+B582)^5)*((1-$I$4-$I$5+E582)*(1-$I$10)+$I$6-$I$11)-('Data Schema'!$C$3*(1+B582)^5-'Data Schema'!$C$3*(1+B582)^4)*$I$12)*(1+D582)/(C582-D582))/(1+C582)^5-'Data Schema'!$C$31+'Data Schema'!$C$21)/'Data Schema'!$B$17,0),"INVALID")</f>
        <v>7.234444429719006</v>
      </c>
      <c r="H582" s="189" t="b">
        <f t="shared" ca="1" si="66"/>
        <v>0</v>
      </c>
      <c r="I582" s="188" t="str">
        <f t="shared" ca="1" si="67"/>
        <v/>
      </c>
      <c r="J582" s="349" t="str">
        <f t="shared" ca="1" si="60"/>
        <v/>
      </c>
    </row>
    <row r="583" spans="1:10">
      <c r="A583" s="184">
        <v>404</v>
      </c>
      <c r="B583" s="190">
        <f t="shared" ca="1" si="61"/>
        <v>8.4716415630330472E-2</v>
      </c>
      <c r="C583" s="190">
        <f t="shared" ca="1" si="62"/>
        <v>7.5946929647125364E-2</v>
      </c>
      <c r="D583" s="190">
        <f t="shared" ca="1" si="63"/>
        <v>1.9736995758026378E-2</v>
      </c>
      <c r="E583" s="190">
        <f t="shared" ca="1" si="64"/>
        <v>1.3080542142610334E-2</v>
      </c>
      <c r="F583" s="189" t="b">
        <f t="shared" ca="1" si="65"/>
        <v>1</v>
      </c>
      <c r="G583" s="188">
        <f ca="1">IF(F583,IFERROR(((('Data Schema'!$C$3*(1+B583)^1)*((1-$I$4-$I$5+E583)*(1-$I$10)+$I$6-$I$11)-('Data Schema'!$C$3*(1+B583)^1-'Data Schema'!$C$3)*$I$12)/(1+C583)^1+(('Data Schema'!$C$3*(1+B583)^2)*((1-$I$4-$I$5+E583)*(1-$I$10)+$I$6-$I$11)-('Data Schema'!$C$3*(1+B583)^2-'Data Schema'!$C$3*(1+B583)^1)*$I$12)/(1+C583)^2+(('Data Schema'!$C$3*(1+B583)^3)*((1-$I$4-$I$5+E583)*(1-$I$10)+$I$6-$I$11)-('Data Schema'!$C$3*(1+B583)^3-'Data Schema'!$C$3*(1+B583)^2)*$I$12)/(1+C583)^3+(('Data Schema'!$C$3*(1+B583)^4)*((1-$I$4-$I$5+E583)*(1-$I$10)+$I$6-$I$11)-('Data Schema'!$C$3*(1+B583)^4-'Data Schema'!$C$3*(1+B583)^3)*$I$12)/(1+C583)^4+(('Data Schema'!$C$3*(1+B583)^5)*((1-$I$4-$I$5+E583)*(1-$I$10)+$I$6-$I$11)-('Data Schema'!$C$3*(1+B583)^5-'Data Schema'!$C$3*(1+B583)^4)*$I$12)/(1+C583)^5+((('Data Schema'!$C$3*(1+B583)^5)*((1-$I$4-$I$5+E583)*(1-$I$10)+$I$6-$I$11)-('Data Schema'!$C$3*(1+B583)^5-'Data Schema'!$C$3*(1+B583)^4)*$I$12)*(1+D583)/(C583-D583))/(1+C583)^5-'Data Schema'!$C$31+'Data Schema'!$C$21)/'Data Schema'!$B$17,0),"INVALID")</f>
        <v>68.765989303291931</v>
      </c>
      <c r="H583" s="189" t="b">
        <f t="shared" ca="1" si="66"/>
        <v>1</v>
      </c>
      <c r="I583" s="188">
        <f t="shared" ca="1" si="67"/>
        <v>68.765989303291931</v>
      </c>
      <c r="J583" s="349">
        <f t="shared" ca="1" si="60"/>
        <v>68.765989303291931</v>
      </c>
    </row>
    <row r="584" spans="1:10">
      <c r="A584" s="185">
        <v>405</v>
      </c>
      <c r="B584" s="190">
        <f t="shared" ca="1" si="61"/>
        <v>0.10204976485957049</v>
      </c>
      <c r="C584" s="190">
        <f t="shared" ca="1" si="62"/>
        <v>5.9029542926626523E-2</v>
      </c>
      <c r="D584" s="190">
        <f t="shared" ca="1" si="63"/>
        <v>2.3959219205129993E-2</v>
      </c>
      <c r="E584" s="190">
        <f t="shared" ca="1" si="64"/>
        <v>2.4847531966039576E-4</v>
      </c>
      <c r="F584" s="189" t="b">
        <f t="shared" ca="1" si="65"/>
        <v>1</v>
      </c>
      <c r="G584" s="188">
        <f ca="1">IF(F584,IFERROR(((('Data Schema'!$C$3*(1+B584)^1)*((1-$I$4-$I$5+E584)*(1-$I$10)+$I$6-$I$11)-('Data Schema'!$C$3*(1+B584)^1-'Data Schema'!$C$3)*$I$12)/(1+C584)^1+(('Data Schema'!$C$3*(1+B584)^2)*((1-$I$4-$I$5+E584)*(1-$I$10)+$I$6-$I$11)-('Data Schema'!$C$3*(1+B584)^2-'Data Schema'!$C$3*(1+B584)^1)*$I$12)/(1+C584)^2+(('Data Schema'!$C$3*(1+B584)^3)*((1-$I$4-$I$5+E584)*(1-$I$10)+$I$6-$I$11)-('Data Schema'!$C$3*(1+B584)^3-'Data Schema'!$C$3*(1+B584)^2)*$I$12)/(1+C584)^3+(('Data Schema'!$C$3*(1+B584)^4)*((1-$I$4-$I$5+E584)*(1-$I$10)+$I$6-$I$11)-('Data Schema'!$C$3*(1+B584)^4-'Data Schema'!$C$3*(1+B584)^3)*$I$12)/(1+C584)^4+(('Data Schema'!$C$3*(1+B584)^5)*((1-$I$4-$I$5+E584)*(1-$I$10)+$I$6-$I$11)-('Data Schema'!$C$3*(1+B584)^5-'Data Schema'!$C$3*(1+B584)^4)*$I$12)/(1+C584)^5+((('Data Schema'!$C$3*(1+B584)^5)*((1-$I$4-$I$5+E584)*(1-$I$10)+$I$6-$I$11)-('Data Schema'!$C$3*(1+B584)^5-'Data Schema'!$C$3*(1+B584)^4)*$I$12)*(1+D584)/(C584-D584))/(1+C584)^5-'Data Schema'!$C$31+'Data Schema'!$C$21)/'Data Schema'!$B$17,0),"INVALID")</f>
        <v>86.847079445897506</v>
      </c>
      <c r="H584" s="189" t="b">
        <f t="shared" ca="1" si="66"/>
        <v>1</v>
      </c>
      <c r="I584" s="188">
        <f t="shared" ca="1" si="67"/>
        <v>86.847079445897506</v>
      </c>
      <c r="J584" s="349">
        <f t="shared" ca="1" si="60"/>
        <v>86.847079445897506</v>
      </c>
    </row>
    <row r="585" spans="1:10">
      <c r="A585" s="184">
        <v>406</v>
      </c>
      <c r="B585" s="190">
        <f t="shared" ca="1" si="61"/>
        <v>7.9240546911770585E-2</v>
      </c>
      <c r="C585" s="190">
        <f t="shared" ca="1" si="62"/>
        <v>4.1246399505157814E-2</v>
      </c>
      <c r="D585" s="190">
        <f t="shared" ca="1" si="63"/>
        <v>2.6800665415150526E-2</v>
      </c>
      <c r="E585" s="190">
        <f t="shared" ca="1" si="64"/>
        <v>4.196220103975868E-2</v>
      </c>
      <c r="F585" s="189" t="b">
        <f t="shared" ca="1" si="65"/>
        <v>0</v>
      </c>
      <c r="G585" s="188" t="str">
        <f ca="1">IF(F585,IFERROR(((('Data Schema'!$C$3*(1+B585)^1)*((1-$I$4-$I$5+E585)*(1-$I$10)+$I$6-$I$11)-('Data Schema'!$C$3*(1+B585)^1-'Data Schema'!$C$3)*$I$12)/(1+C585)^1+(('Data Schema'!$C$3*(1+B585)^2)*((1-$I$4-$I$5+E585)*(1-$I$10)+$I$6-$I$11)-('Data Schema'!$C$3*(1+B585)^2-'Data Schema'!$C$3*(1+B585)^1)*$I$12)/(1+C585)^2+(('Data Schema'!$C$3*(1+B585)^3)*((1-$I$4-$I$5+E585)*(1-$I$10)+$I$6-$I$11)-('Data Schema'!$C$3*(1+B585)^3-'Data Schema'!$C$3*(1+B585)^2)*$I$12)/(1+C585)^3+(('Data Schema'!$C$3*(1+B585)^4)*((1-$I$4-$I$5+E585)*(1-$I$10)+$I$6-$I$11)-('Data Schema'!$C$3*(1+B585)^4-'Data Schema'!$C$3*(1+B585)^3)*$I$12)/(1+C585)^4+(('Data Schema'!$C$3*(1+B585)^5)*((1-$I$4-$I$5+E585)*(1-$I$10)+$I$6-$I$11)-('Data Schema'!$C$3*(1+B585)^5-'Data Schema'!$C$3*(1+B585)^4)*$I$12)/(1+C585)^5+((('Data Schema'!$C$3*(1+B585)^5)*((1-$I$4-$I$5+E585)*(1-$I$10)+$I$6-$I$11)-('Data Schema'!$C$3*(1+B585)^5-'Data Schema'!$C$3*(1+B585)^4)*$I$12)*(1+D585)/(C585-D585))/(1+C585)^5-'Data Schema'!$C$31+'Data Schema'!$C$21)/'Data Schema'!$B$17,0),"INVALID")</f>
        <v>INVALID</v>
      </c>
      <c r="H585" s="189" t="b">
        <f t="shared" ca="1" si="66"/>
        <v>0</v>
      </c>
      <c r="I585" s="188" t="str">
        <f t="shared" ca="1" si="67"/>
        <v/>
      </c>
      <c r="J585" s="349" t="str">
        <f t="shared" ca="1" si="60"/>
        <v/>
      </c>
    </row>
    <row r="586" spans="1:10">
      <c r="A586" s="185">
        <v>407</v>
      </c>
      <c r="B586" s="190">
        <f t="shared" ca="1" si="61"/>
        <v>0.12991730736693552</v>
      </c>
      <c r="C586" s="190">
        <f t="shared" ca="1" si="62"/>
        <v>6.9316446585761235E-2</v>
      </c>
      <c r="D586" s="190">
        <f t="shared" ca="1" si="63"/>
        <v>1.7222328254203931E-2</v>
      </c>
      <c r="E586" s="190">
        <f t="shared" ca="1" si="64"/>
        <v>2.0980235403259648E-2</v>
      </c>
      <c r="F586" s="189" t="b">
        <f t="shared" ca="1" si="65"/>
        <v>1</v>
      </c>
      <c r="G586" s="188">
        <f ca="1">IF(F586,IFERROR(((('Data Schema'!$C$3*(1+B586)^1)*((1-$I$4-$I$5+E586)*(1-$I$10)+$I$6-$I$11)-('Data Schema'!$C$3*(1+B586)^1-'Data Schema'!$C$3)*$I$12)/(1+C586)^1+(('Data Schema'!$C$3*(1+B586)^2)*((1-$I$4-$I$5+E586)*(1-$I$10)+$I$6-$I$11)-('Data Schema'!$C$3*(1+B586)^2-'Data Schema'!$C$3*(1+B586)^1)*$I$12)/(1+C586)^2+(('Data Schema'!$C$3*(1+B586)^3)*((1-$I$4-$I$5+E586)*(1-$I$10)+$I$6-$I$11)-('Data Schema'!$C$3*(1+B586)^3-'Data Schema'!$C$3*(1+B586)^2)*$I$12)/(1+C586)^3+(('Data Schema'!$C$3*(1+B586)^4)*((1-$I$4-$I$5+E586)*(1-$I$10)+$I$6-$I$11)-('Data Schema'!$C$3*(1+B586)^4-'Data Schema'!$C$3*(1+B586)^3)*$I$12)/(1+C586)^4+(('Data Schema'!$C$3*(1+B586)^5)*((1-$I$4-$I$5+E586)*(1-$I$10)+$I$6-$I$11)-('Data Schema'!$C$3*(1+B586)^5-'Data Schema'!$C$3*(1+B586)^4)*$I$12)/(1+C586)^5+((('Data Schema'!$C$3*(1+B586)^5)*((1-$I$4-$I$5+E586)*(1-$I$10)+$I$6-$I$11)-('Data Schema'!$C$3*(1+B586)^5-'Data Schema'!$C$3*(1+B586)^4)*$I$12)*(1+D586)/(C586-D586))/(1+C586)^5-'Data Schema'!$C$31+'Data Schema'!$C$21)/'Data Schema'!$B$17,0),"INVALID")</f>
        <v>107.41679296702534</v>
      </c>
      <c r="H586" s="189" t="b">
        <f t="shared" ca="1" si="66"/>
        <v>1</v>
      </c>
      <c r="I586" s="188">
        <f t="shared" ca="1" si="67"/>
        <v>107.41679296702534</v>
      </c>
      <c r="J586" s="349">
        <f t="shared" ca="1" si="60"/>
        <v>107.41679296702534</v>
      </c>
    </row>
    <row r="587" spans="1:10">
      <c r="A587" s="184">
        <v>408</v>
      </c>
      <c r="B587" s="190">
        <f t="shared" ca="1" si="61"/>
        <v>6.8266891820018799E-2</v>
      </c>
      <c r="C587" s="190">
        <f t="shared" ca="1" si="62"/>
        <v>6.5480942454657021E-2</v>
      </c>
      <c r="D587" s="190">
        <f t="shared" ca="1" si="63"/>
        <v>2.2127916357021035E-2</v>
      </c>
      <c r="E587" s="190">
        <f t="shared" ca="1" si="64"/>
        <v>4.7788674433764857E-3</v>
      </c>
      <c r="F587" s="189" t="b">
        <f t="shared" ca="1" si="65"/>
        <v>1</v>
      </c>
      <c r="G587" s="188">
        <f ca="1">IF(F587,IFERROR(((('Data Schema'!$C$3*(1+B587)^1)*((1-$I$4-$I$5+E587)*(1-$I$10)+$I$6-$I$11)-('Data Schema'!$C$3*(1+B587)^1-'Data Schema'!$C$3)*$I$12)/(1+C587)^1+(('Data Schema'!$C$3*(1+B587)^2)*((1-$I$4-$I$5+E587)*(1-$I$10)+$I$6-$I$11)-('Data Schema'!$C$3*(1+B587)^2-'Data Schema'!$C$3*(1+B587)^1)*$I$12)/(1+C587)^2+(('Data Schema'!$C$3*(1+B587)^3)*((1-$I$4-$I$5+E587)*(1-$I$10)+$I$6-$I$11)-('Data Schema'!$C$3*(1+B587)^3-'Data Schema'!$C$3*(1+B587)^2)*$I$12)/(1+C587)^3+(('Data Schema'!$C$3*(1+B587)^4)*((1-$I$4-$I$5+E587)*(1-$I$10)+$I$6-$I$11)-('Data Schema'!$C$3*(1+B587)^4-'Data Schema'!$C$3*(1+B587)^3)*$I$12)/(1+C587)^4+(('Data Schema'!$C$3*(1+B587)^5)*((1-$I$4-$I$5+E587)*(1-$I$10)+$I$6-$I$11)-('Data Schema'!$C$3*(1+B587)^5-'Data Schema'!$C$3*(1+B587)^4)*$I$12)/(1+C587)^5+((('Data Schema'!$C$3*(1+B587)^5)*((1-$I$4-$I$5+E587)*(1-$I$10)+$I$6-$I$11)-('Data Schema'!$C$3*(1+B587)^5-'Data Schema'!$C$3*(1+B587)^4)*$I$12)*(1+D587)/(C587-D587))/(1+C587)^5-'Data Schema'!$C$31+'Data Schema'!$C$21)/'Data Schema'!$B$17,0),"INVALID")</f>
        <v>68.978306670450436</v>
      </c>
      <c r="H587" s="189" t="b">
        <f t="shared" ca="1" si="66"/>
        <v>1</v>
      </c>
      <c r="I587" s="188">
        <f t="shared" ca="1" si="67"/>
        <v>68.978306670450436</v>
      </c>
      <c r="J587" s="349">
        <f t="shared" ca="1" si="60"/>
        <v>68.978306670450436</v>
      </c>
    </row>
    <row r="588" spans="1:10">
      <c r="A588" s="185">
        <v>409</v>
      </c>
      <c r="B588" s="190">
        <f t="shared" ca="1" si="61"/>
        <v>0.10947635914639324</v>
      </c>
      <c r="C588" s="190">
        <f t="shared" ca="1" si="62"/>
        <v>5.574787096461821E-2</v>
      </c>
      <c r="D588" s="190">
        <f t="shared" ca="1" si="63"/>
        <v>2.5833798009322263E-2</v>
      </c>
      <c r="E588" s="190">
        <f t="shared" ca="1" si="64"/>
        <v>3.1157013456817914E-2</v>
      </c>
      <c r="F588" s="189" t="b">
        <f t="shared" ca="1" si="65"/>
        <v>1</v>
      </c>
      <c r="G588" s="188">
        <f ca="1">IF(F588,IFERROR(((('Data Schema'!$C$3*(1+B588)^1)*((1-$I$4-$I$5+E588)*(1-$I$10)+$I$6-$I$11)-('Data Schema'!$C$3*(1+B588)^1-'Data Schema'!$C$3)*$I$12)/(1+C588)^1+(('Data Schema'!$C$3*(1+B588)^2)*((1-$I$4-$I$5+E588)*(1-$I$10)+$I$6-$I$11)-('Data Schema'!$C$3*(1+B588)^2-'Data Schema'!$C$3*(1+B588)^1)*$I$12)/(1+C588)^2+(('Data Schema'!$C$3*(1+B588)^3)*((1-$I$4-$I$5+E588)*(1-$I$10)+$I$6-$I$11)-('Data Schema'!$C$3*(1+B588)^3-'Data Schema'!$C$3*(1+B588)^2)*$I$12)/(1+C588)^3+(('Data Schema'!$C$3*(1+B588)^4)*((1-$I$4-$I$5+E588)*(1-$I$10)+$I$6-$I$11)-('Data Schema'!$C$3*(1+B588)^4-'Data Schema'!$C$3*(1+B588)^3)*$I$12)/(1+C588)^4+(('Data Schema'!$C$3*(1+B588)^5)*((1-$I$4-$I$5+E588)*(1-$I$10)+$I$6-$I$11)-('Data Schema'!$C$3*(1+B588)^5-'Data Schema'!$C$3*(1+B588)^4)*$I$12)/(1+C588)^5+((('Data Schema'!$C$3*(1+B588)^5)*((1-$I$4-$I$5+E588)*(1-$I$10)+$I$6-$I$11)-('Data Schema'!$C$3*(1+B588)^5-'Data Schema'!$C$3*(1+B588)^4)*$I$12)*(1+D588)/(C588-D588))/(1+C588)^5-'Data Schema'!$C$31+'Data Schema'!$C$21)/'Data Schema'!$B$17,0),"INVALID")</f>
        <v>208.20644046963665</v>
      </c>
      <c r="H588" s="189" t="b">
        <f t="shared" ca="1" si="66"/>
        <v>1</v>
      </c>
      <c r="I588" s="188">
        <f t="shared" ca="1" si="67"/>
        <v>208.20644046963665</v>
      </c>
      <c r="J588" s="349">
        <f t="shared" ca="1" si="60"/>
        <v>208.20644046963665</v>
      </c>
    </row>
    <row r="589" spans="1:10">
      <c r="A589" s="184">
        <v>410</v>
      </c>
      <c r="B589" s="190">
        <f t="shared" ca="1" si="61"/>
        <v>0.10689218399148157</v>
      </c>
      <c r="C589" s="190">
        <f t="shared" ca="1" si="62"/>
        <v>6.3437310077096923E-2</v>
      </c>
      <c r="D589" s="190">
        <f t="shared" ca="1" si="63"/>
        <v>2.9037534428977232E-2</v>
      </c>
      <c r="E589" s="190">
        <f t="shared" ca="1" si="64"/>
        <v>-1.6922102835366042E-2</v>
      </c>
      <c r="F589" s="189" t="b">
        <f t="shared" ca="1" si="65"/>
        <v>1</v>
      </c>
      <c r="G589" s="188">
        <f ca="1">IF(F589,IFERROR(((('Data Schema'!$C$3*(1+B589)^1)*((1-$I$4-$I$5+E589)*(1-$I$10)+$I$6-$I$11)-('Data Schema'!$C$3*(1+B589)^1-'Data Schema'!$C$3)*$I$12)/(1+C589)^1+(('Data Schema'!$C$3*(1+B589)^2)*((1-$I$4-$I$5+E589)*(1-$I$10)+$I$6-$I$11)-('Data Schema'!$C$3*(1+B589)^2-'Data Schema'!$C$3*(1+B589)^1)*$I$12)/(1+C589)^2+(('Data Schema'!$C$3*(1+B589)^3)*((1-$I$4-$I$5+E589)*(1-$I$10)+$I$6-$I$11)-('Data Schema'!$C$3*(1+B589)^3-'Data Schema'!$C$3*(1+B589)^2)*$I$12)/(1+C589)^3+(('Data Schema'!$C$3*(1+B589)^4)*((1-$I$4-$I$5+E589)*(1-$I$10)+$I$6-$I$11)-('Data Schema'!$C$3*(1+B589)^4-'Data Schema'!$C$3*(1+B589)^3)*$I$12)/(1+C589)^4+(('Data Schema'!$C$3*(1+B589)^5)*((1-$I$4-$I$5+E589)*(1-$I$10)+$I$6-$I$11)-('Data Schema'!$C$3*(1+B589)^5-'Data Schema'!$C$3*(1+B589)^4)*$I$12)/(1+C589)^5+((('Data Schema'!$C$3*(1+B589)^5)*((1-$I$4-$I$5+E589)*(1-$I$10)+$I$6-$I$11)-('Data Schema'!$C$3*(1+B589)^5-'Data Schema'!$C$3*(1+B589)^4)*$I$12)*(1+D589)/(C589-D589))/(1+C589)^5-'Data Schema'!$C$31+'Data Schema'!$C$21)/'Data Schema'!$B$17,0),"INVALID")</f>
        <v>40.337951595200074</v>
      </c>
      <c r="H589" s="189" t="b">
        <f t="shared" ca="1" si="66"/>
        <v>1</v>
      </c>
      <c r="I589" s="188">
        <f t="shared" ca="1" si="67"/>
        <v>40.337951595200074</v>
      </c>
      <c r="J589" s="349">
        <f t="shared" ca="1" si="60"/>
        <v>40.337951595200074</v>
      </c>
    </row>
    <row r="590" spans="1:10">
      <c r="A590" s="185">
        <v>411</v>
      </c>
      <c r="B590" s="190">
        <f t="shared" ca="1" si="61"/>
        <v>0.13847167775440503</v>
      </c>
      <c r="C590" s="190">
        <f t="shared" ca="1" si="62"/>
        <v>4.9669475954013692E-2</v>
      </c>
      <c r="D590" s="190">
        <f t="shared" ca="1" si="63"/>
        <v>2.3857380224192558E-2</v>
      </c>
      <c r="E590" s="190">
        <f t="shared" ca="1" si="64"/>
        <v>4.4527013267530212E-3</v>
      </c>
      <c r="F590" s="189" t="b">
        <f t="shared" ca="1" si="65"/>
        <v>1</v>
      </c>
      <c r="G590" s="188">
        <f ca="1">IF(F590,IFERROR(((('Data Schema'!$C$3*(1+B590)^1)*((1-$I$4-$I$5+E590)*(1-$I$10)+$I$6-$I$11)-('Data Schema'!$C$3*(1+B590)^1-'Data Schema'!$C$3)*$I$12)/(1+C590)^1+(('Data Schema'!$C$3*(1+B590)^2)*((1-$I$4-$I$5+E590)*(1-$I$10)+$I$6-$I$11)-('Data Schema'!$C$3*(1+B590)^2-'Data Schema'!$C$3*(1+B590)^1)*$I$12)/(1+C590)^2+(('Data Schema'!$C$3*(1+B590)^3)*((1-$I$4-$I$5+E590)*(1-$I$10)+$I$6-$I$11)-('Data Schema'!$C$3*(1+B590)^3-'Data Schema'!$C$3*(1+B590)^2)*$I$12)/(1+C590)^3+(('Data Schema'!$C$3*(1+B590)^4)*((1-$I$4-$I$5+E590)*(1-$I$10)+$I$6-$I$11)-('Data Schema'!$C$3*(1+B590)^4-'Data Schema'!$C$3*(1+B590)^3)*$I$12)/(1+C590)^4+(('Data Schema'!$C$3*(1+B590)^5)*((1-$I$4-$I$5+E590)*(1-$I$10)+$I$6-$I$11)-('Data Schema'!$C$3*(1+B590)^5-'Data Schema'!$C$3*(1+B590)^4)*$I$12)/(1+C590)^5+((('Data Schema'!$C$3*(1+B590)^5)*((1-$I$4-$I$5+E590)*(1-$I$10)+$I$6-$I$11)-('Data Schema'!$C$3*(1+B590)^5-'Data Schema'!$C$3*(1+B590)^4)*$I$12)*(1+D590)/(C590-D590))/(1+C590)^5-'Data Schema'!$C$31+'Data Schema'!$C$21)/'Data Schema'!$B$17,0),"INVALID")</f>
        <v>158.07152417866354</v>
      </c>
      <c r="H590" s="189" t="b">
        <f t="shared" ca="1" si="66"/>
        <v>1</v>
      </c>
      <c r="I590" s="188">
        <f t="shared" ca="1" si="67"/>
        <v>158.07152417866354</v>
      </c>
      <c r="J590" s="349">
        <f t="shared" ca="1" si="60"/>
        <v>158.07152417866354</v>
      </c>
    </row>
    <row r="591" spans="1:10">
      <c r="A591" s="184">
        <v>412</v>
      </c>
      <c r="B591" s="190">
        <f t="shared" ca="1" si="61"/>
        <v>0.10418352058761868</v>
      </c>
      <c r="C591" s="190">
        <f t="shared" ca="1" si="62"/>
        <v>5.9729314455639997E-2</v>
      </c>
      <c r="D591" s="190">
        <f t="shared" ca="1" si="63"/>
        <v>3.4470433629097338E-2</v>
      </c>
      <c r="E591" s="190">
        <f t="shared" ca="1" si="64"/>
        <v>-1.161831504663309E-2</v>
      </c>
      <c r="F591" s="189" t="b">
        <f t="shared" ca="1" si="65"/>
        <v>1</v>
      </c>
      <c r="G591" s="188">
        <f ca="1">IF(F591,IFERROR(((('Data Schema'!$C$3*(1+B591)^1)*((1-$I$4-$I$5+E591)*(1-$I$10)+$I$6-$I$11)-('Data Schema'!$C$3*(1+B591)^1-'Data Schema'!$C$3)*$I$12)/(1+C591)^1+(('Data Schema'!$C$3*(1+B591)^2)*((1-$I$4-$I$5+E591)*(1-$I$10)+$I$6-$I$11)-('Data Schema'!$C$3*(1+B591)^2-'Data Schema'!$C$3*(1+B591)^1)*$I$12)/(1+C591)^2+(('Data Schema'!$C$3*(1+B591)^3)*((1-$I$4-$I$5+E591)*(1-$I$10)+$I$6-$I$11)-('Data Schema'!$C$3*(1+B591)^3-'Data Schema'!$C$3*(1+B591)^2)*$I$12)/(1+C591)^3+(('Data Schema'!$C$3*(1+B591)^4)*((1-$I$4-$I$5+E591)*(1-$I$10)+$I$6-$I$11)-('Data Schema'!$C$3*(1+B591)^4-'Data Schema'!$C$3*(1+B591)^3)*$I$12)/(1+C591)^4+(('Data Schema'!$C$3*(1+B591)^5)*((1-$I$4-$I$5+E591)*(1-$I$10)+$I$6-$I$11)-('Data Schema'!$C$3*(1+B591)^5-'Data Schema'!$C$3*(1+B591)^4)*$I$12)/(1+C591)^5+((('Data Schema'!$C$3*(1+B591)^5)*((1-$I$4-$I$5+E591)*(1-$I$10)+$I$6-$I$11)-('Data Schema'!$C$3*(1+B591)^5-'Data Schema'!$C$3*(1+B591)^4)*$I$12)*(1+D591)/(C591-D591))/(1+C591)^5-'Data Schema'!$C$31+'Data Schema'!$C$21)/'Data Schema'!$B$17,0),"INVALID")</f>
        <v>75.80395912150604</v>
      </c>
      <c r="H591" s="189" t="b">
        <f t="shared" ca="1" si="66"/>
        <v>1</v>
      </c>
      <c r="I591" s="188">
        <f t="shared" ca="1" si="67"/>
        <v>75.80395912150604</v>
      </c>
      <c r="J591" s="349">
        <f t="shared" ca="1" si="60"/>
        <v>75.80395912150604</v>
      </c>
    </row>
    <row r="592" spans="1:10">
      <c r="A592" s="185">
        <v>413</v>
      </c>
      <c r="B592" s="190">
        <f t="shared" ca="1" si="61"/>
        <v>0.12607565662894488</v>
      </c>
      <c r="C592" s="190">
        <f t="shared" ca="1" si="62"/>
        <v>6.5651964662317444E-2</v>
      </c>
      <c r="D592" s="190">
        <f t="shared" ca="1" si="63"/>
        <v>2.6858490609705209E-2</v>
      </c>
      <c r="E592" s="190">
        <f t="shared" ca="1" si="64"/>
        <v>2.4108102871327314E-3</v>
      </c>
      <c r="F592" s="189" t="b">
        <f t="shared" ca="1" si="65"/>
        <v>1</v>
      </c>
      <c r="G592" s="188">
        <f ca="1">IF(F592,IFERROR(((('Data Schema'!$C$3*(1+B592)^1)*((1-$I$4-$I$5+E592)*(1-$I$10)+$I$6-$I$11)-('Data Schema'!$C$3*(1+B592)^1-'Data Schema'!$C$3)*$I$12)/(1+C592)^1+(('Data Schema'!$C$3*(1+B592)^2)*((1-$I$4-$I$5+E592)*(1-$I$10)+$I$6-$I$11)-('Data Schema'!$C$3*(1+B592)^2-'Data Schema'!$C$3*(1+B592)^1)*$I$12)/(1+C592)^2+(('Data Schema'!$C$3*(1+B592)^3)*((1-$I$4-$I$5+E592)*(1-$I$10)+$I$6-$I$11)-('Data Schema'!$C$3*(1+B592)^3-'Data Schema'!$C$3*(1+B592)^2)*$I$12)/(1+C592)^3+(('Data Schema'!$C$3*(1+B592)^4)*((1-$I$4-$I$5+E592)*(1-$I$10)+$I$6-$I$11)-('Data Schema'!$C$3*(1+B592)^4-'Data Schema'!$C$3*(1+B592)^3)*$I$12)/(1+C592)^4+(('Data Schema'!$C$3*(1+B592)^5)*((1-$I$4-$I$5+E592)*(1-$I$10)+$I$6-$I$11)-('Data Schema'!$C$3*(1+B592)^5-'Data Schema'!$C$3*(1+B592)^4)*$I$12)/(1+C592)^5+((('Data Schema'!$C$3*(1+B592)^5)*((1-$I$4-$I$5+E592)*(1-$I$10)+$I$6-$I$11)-('Data Schema'!$C$3*(1+B592)^5-'Data Schema'!$C$3*(1+B592)^4)*$I$12)*(1+D592)/(C592-D592))/(1+C592)^5-'Data Schema'!$C$31+'Data Schema'!$C$21)/'Data Schema'!$B$17,0),"INVALID")</f>
        <v>90.231812908344082</v>
      </c>
      <c r="H592" s="189" t="b">
        <f t="shared" ca="1" si="66"/>
        <v>1</v>
      </c>
      <c r="I592" s="188">
        <f t="shared" ca="1" si="67"/>
        <v>90.231812908344082</v>
      </c>
      <c r="J592" s="349">
        <f t="shared" ca="1" si="60"/>
        <v>90.231812908344082</v>
      </c>
    </row>
    <row r="593" spans="1:10">
      <c r="A593" s="184">
        <v>414</v>
      </c>
      <c r="B593" s="190">
        <f t="shared" ca="1" si="61"/>
        <v>0.11360669556436852</v>
      </c>
      <c r="C593" s="190">
        <f t="shared" ca="1" si="62"/>
        <v>5.3984501057818976E-2</v>
      </c>
      <c r="D593" s="190">
        <f t="shared" ca="1" si="63"/>
        <v>2.5384504261418479E-2</v>
      </c>
      <c r="E593" s="190">
        <f t="shared" ca="1" si="64"/>
        <v>-2.3447910408234653E-2</v>
      </c>
      <c r="F593" s="189" t="b">
        <f t="shared" ca="1" si="65"/>
        <v>1</v>
      </c>
      <c r="G593" s="188">
        <f ca="1">IF(F593,IFERROR(((('Data Schema'!$C$3*(1+B593)^1)*((1-$I$4-$I$5+E593)*(1-$I$10)+$I$6-$I$11)-('Data Schema'!$C$3*(1+B593)^1-'Data Schema'!$C$3)*$I$12)/(1+C593)^1+(('Data Schema'!$C$3*(1+B593)^2)*((1-$I$4-$I$5+E593)*(1-$I$10)+$I$6-$I$11)-('Data Schema'!$C$3*(1+B593)^2-'Data Schema'!$C$3*(1+B593)^1)*$I$12)/(1+C593)^2+(('Data Schema'!$C$3*(1+B593)^3)*((1-$I$4-$I$5+E593)*(1-$I$10)+$I$6-$I$11)-('Data Schema'!$C$3*(1+B593)^3-'Data Schema'!$C$3*(1+B593)^2)*$I$12)/(1+C593)^3+(('Data Schema'!$C$3*(1+B593)^4)*((1-$I$4-$I$5+E593)*(1-$I$10)+$I$6-$I$11)-('Data Schema'!$C$3*(1+B593)^4-'Data Schema'!$C$3*(1+B593)^3)*$I$12)/(1+C593)^4+(('Data Schema'!$C$3*(1+B593)^5)*((1-$I$4-$I$5+E593)*(1-$I$10)+$I$6-$I$11)-('Data Schema'!$C$3*(1+B593)^5-'Data Schema'!$C$3*(1+B593)^4)*$I$12)/(1+C593)^5+((('Data Schema'!$C$3*(1+B593)^5)*((1-$I$4-$I$5+E593)*(1-$I$10)+$I$6-$I$11)-('Data Schema'!$C$3*(1+B593)^5-'Data Schema'!$C$3*(1+B593)^4)*$I$12)*(1+D593)/(C593-D593))/(1+C593)^5-'Data Schema'!$C$31+'Data Schema'!$C$21)/'Data Schema'!$B$17,0),"INVALID")</f>
        <v>28.977480248811297</v>
      </c>
      <c r="H593" s="189" t="b">
        <f t="shared" ca="1" si="66"/>
        <v>1</v>
      </c>
      <c r="I593" s="188">
        <f t="shared" ca="1" si="67"/>
        <v>28.977480248811297</v>
      </c>
      <c r="J593" s="349">
        <f t="shared" ca="1" si="60"/>
        <v>28.977480248811297</v>
      </c>
    </row>
    <row r="594" spans="1:10">
      <c r="A594" s="185">
        <v>415</v>
      </c>
      <c r="B594" s="190">
        <f t="shared" ca="1" si="61"/>
        <v>0.12340927720871708</v>
      </c>
      <c r="C594" s="190">
        <f t="shared" ca="1" si="62"/>
        <v>4.9747454700653101E-2</v>
      </c>
      <c r="D594" s="190">
        <f t="shared" ca="1" si="63"/>
        <v>2.1583647867586687E-2</v>
      </c>
      <c r="E594" s="190">
        <f t="shared" ca="1" si="64"/>
        <v>-8.5483212090973811E-3</v>
      </c>
      <c r="F594" s="189" t="b">
        <f t="shared" ca="1" si="65"/>
        <v>1</v>
      </c>
      <c r="G594" s="188">
        <f ca="1">IF(F594,IFERROR(((('Data Schema'!$C$3*(1+B594)^1)*((1-$I$4-$I$5+E594)*(1-$I$10)+$I$6-$I$11)-('Data Schema'!$C$3*(1+B594)^1-'Data Schema'!$C$3)*$I$12)/(1+C594)^1+(('Data Schema'!$C$3*(1+B594)^2)*((1-$I$4-$I$5+E594)*(1-$I$10)+$I$6-$I$11)-('Data Schema'!$C$3*(1+B594)^2-'Data Schema'!$C$3*(1+B594)^1)*$I$12)/(1+C594)^2+(('Data Schema'!$C$3*(1+B594)^3)*((1-$I$4-$I$5+E594)*(1-$I$10)+$I$6-$I$11)-('Data Schema'!$C$3*(1+B594)^3-'Data Schema'!$C$3*(1+B594)^2)*$I$12)/(1+C594)^3+(('Data Schema'!$C$3*(1+B594)^4)*((1-$I$4-$I$5+E594)*(1-$I$10)+$I$6-$I$11)-('Data Schema'!$C$3*(1+B594)^4-'Data Schema'!$C$3*(1+B594)^3)*$I$12)/(1+C594)^4+(('Data Schema'!$C$3*(1+B594)^5)*((1-$I$4-$I$5+E594)*(1-$I$10)+$I$6-$I$11)-('Data Schema'!$C$3*(1+B594)^5-'Data Schema'!$C$3*(1+B594)^4)*$I$12)/(1+C594)^5+((('Data Schema'!$C$3*(1+B594)^5)*((1-$I$4-$I$5+E594)*(1-$I$10)+$I$6-$I$11)-('Data Schema'!$C$3*(1+B594)^5-'Data Schema'!$C$3*(1+B594)^4)*$I$12)*(1+D594)/(C594-D594))/(1+C594)^5-'Data Schema'!$C$31+'Data Schema'!$C$21)/'Data Schema'!$B$17,0),"INVALID")</f>
        <v>87.556225011164528</v>
      </c>
      <c r="H594" s="189" t="b">
        <f t="shared" ca="1" si="66"/>
        <v>1</v>
      </c>
      <c r="I594" s="188">
        <f t="shared" ca="1" si="67"/>
        <v>87.556225011164528</v>
      </c>
      <c r="J594" s="349">
        <f t="shared" ca="1" si="60"/>
        <v>87.556225011164528</v>
      </c>
    </row>
    <row r="595" spans="1:10">
      <c r="A595" s="184">
        <v>416</v>
      </c>
      <c r="B595" s="190">
        <f t="shared" ca="1" si="61"/>
        <v>9.9547116677168826E-2</v>
      </c>
      <c r="C595" s="190">
        <f t="shared" ca="1" si="62"/>
        <v>7.8016810970846159E-2</v>
      </c>
      <c r="D595" s="190">
        <f t="shared" ca="1" si="63"/>
        <v>2.1426730972610303E-2</v>
      </c>
      <c r="E595" s="190">
        <f t="shared" ca="1" si="64"/>
        <v>2.8281880597648006E-2</v>
      </c>
      <c r="F595" s="189" t="b">
        <f t="shared" ca="1" si="65"/>
        <v>1</v>
      </c>
      <c r="G595" s="188">
        <f ca="1">IF(F595,IFERROR(((('Data Schema'!$C$3*(1+B595)^1)*((1-$I$4-$I$5+E595)*(1-$I$10)+$I$6-$I$11)-('Data Schema'!$C$3*(1+B595)^1-'Data Schema'!$C$3)*$I$12)/(1+C595)^1+(('Data Schema'!$C$3*(1+B595)^2)*((1-$I$4-$I$5+E595)*(1-$I$10)+$I$6-$I$11)-('Data Schema'!$C$3*(1+B595)^2-'Data Schema'!$C$3*(1+B595)^1)*$I$12)/(1+C595)^2+(('Data Schema'!$C$3*(1+B595)^3)*((1-$I$4-$I$5+E595)*(1-$I$10)+$I$6-$I$11)-('Data Schema'!$C$3*(1+B595)^3-'Data Schema'!$C$3*(1+B595)^2)*$I$12)/(1+C595)^3+(('Data Schema'!$C$3*(1+B595)^4)*((1-$I$4-$I$5+E595)*(1-$I$10)+$I$6-$I$11)-('Data Schema'!$C$3*(1+B595)^4-'Data Schema'!$C$3*(1+B595)^3)*$I$12)/(1+C595)^4+(('Data Schema'!$C$3*(1+B595)^5)*((1-$I$4-$I$5+E595)*(1-$I$10)+$I$6-$I$11)-('Data Schema'!$C$3*(1+B595)^5-'Data Schema'!$C$3*(1+B595)^4)*$I$12)/(1+C595)^5+((('Data Schema'!$C$3*(1+B595)^5)*((1-$I$4-$I$5+E595)*(1-$I$10)+$I$6-$I$11)-('Data Schema'!$C$3*(1+B595)^5-'Data Schema'!$C$3*(1+B595)^4)*$I$12)*(1+D595)/(C595-D595))/(1+C595)^5-'Data Schema'!$C$31+'Data Schema'!$C$21)/'Data Schema'!$B$17,0),"INVALID")</f>
        <v>97.622510783808636</v>
      </c>
      <c r="H595" s="189" t="b">
        <f t="shared" ca="1" si="66"/>
        <v>1</v>
      </c>
      <c r="I595" s="188">
        <f t="shared" ca="1" si="67"/>
        <v>97.622510783808636</v>
      </c>
      <c r="J595" s="349">
        <f t="shared" ca="1" si="60"/>
        <v>97.622510783808636</v>
      </c>
    </row>
    <row r="596" spans="1:10">
      <c r="A596" s="185">
        <v>417</v>
      </c>
      <c r="B596" s="190">
        <f t="shared" ca="1" si="61"/>
        <v>5.641948808437184E-2</v>
      </c>
      <c r="C596" s="190">
        <f t="shared" ca="1" si="62"/>
        <v>6.7661815952790541E-2</v>
      </c>
      <c r="D596" s="190">
        <f t="shared" ca="1" si="63"/>
        <v>2.8648500776223249E-2</v>
      </c>
      <c r="E596" s="190">
        <f t="shared" ca="1" si="64"/>
        <v>-2.2536342304026728E-2</v>
      </c>
      <c r="F596" s="189" t="b">
        <f t="shared" ca="1" si="65"/>
        <v>1</v>
      </c>
      <c r="G596" s="188">
        <f ca="1">IF(F596,IFERROR(((('Data Schema'!$C$3*(1+B596)^1)*((1-$I$4-$I$5+E596)*(1-$I$10)+$I$6-$I$11)-('Data Schema'!$C$3*(1+B596)^1-'Data Schema'!$C$3)*$I$12)/(1+C596)^1+(('Data Schema'!$C$3*(1+B596)^2)*((1-$I$4-$I$5+E596)*(1-$I$10)+$I$6-$I$11)-('Data Schema'!$C$3*(1+B596)^2-'Data Schema'!$C$3*(1+B596)^1)*$I$12)/(1+C596)^2+(('Data Schema'!$C$3*(1+B596)^3)*((1-$I$4-$I$5+E596)*(1-$I$10)+$I$6-$I$11)-('Data Schema'!$C$3*(1+B596)^3-'Data Schema'!$C$3*(1+B596)^2)*$I$12)/(1+C596)^3+(('Data Schema'!$C$3*(1+B596)^4)*((1-$I$4-$I$5+E596)*(1-$I$10)+$I$6-$I$11)-('Data Schema'!$C$3*(1+B596)^4-'Data Schema'!$C$3*(1+B596)^3)*$I$12)/(1+C596)^4+(('Data Schema'!$C$3*(1+B596)^5)*((1-$I$4-$I$5+E596)*(1-$I$10)+$I$6-$I$11)-('Data Schema'!$C$3*(1+B596)^5-'Data Schema'!$C$3*(1+B596)^4)*$I$12)/(1+C596)^5+((('Data Schema'!$C$3*(1+B596)^5)*((1-$I$4-$I$5+E596)*(1-$I$10)+$I$6-$I$11)-('Data Schema'!$C$3*(1+B596)^5-'Data Schema'!$C$3*(1+B596)^4)*$I$12)*(1+D596)/(C596-D596))/(1+C596)^5-'Data Schema'!$C$31+'Data Schema'!$C$21)/'Data Schema'!$B$17,0),"INVALID")</f>
        <v>17.599884664269997</v>
      </c>
      <c r="H596" s="189" t="b">
        <f t="shared" ca="1" si="66"/>
        <v>1</v>
      </c>
      <c r="I596" s="188">
        <f t="shared" ca="1" si="67"/>
        <v>17.599884664269997</v>
      </c>
      <c r="J596" s="349" t="str">
        <f t="shared" ca="1" si="60"/>
        <v/>
      </c>
    </row>
    <row r="597" spans="1:10">
      <c r="A597" s="184">
        <v>418</v>
      </c>
      <c r="B597" s="190">
        <f t="shared" ca="1" si="61"/>
        <v>0.11792945170831706</v>
      </c>
      <c r="C597" s="190">
        <f t="shared" ca="1" si="62"/>
        <v>5.9790958044849872E-2</v>
      </c>
      <c r="D597" s="190">
        <f t="shared" ca="1" si="63"/>
        <v>2.788994477870068E-2</v>
      </c>
      <c r="E597" s="190">
        <f t="shared" ca="1" si="64"/>
        <v>2.2765430248873939E-2</v>
      </c>
      <c r="F597" s="189" t="b">
        <f t="shared" ca="1" si="65"/>
        <v>1</v>
      </c>
      <c r="G597" s="188">
        <f ca="1">IF(F597,IFERROR(((('Data Schema'!$C$3*(1+B597)^1)*((1-$I$4-$I$5+E597)*(1-$I$10)+$I$6-$I$11)-('Data Schema'!$C$3*(1+B597)^1-'Data Schema'!$C$3)*$I$12)/(1+C597)^1+(('Data Schema'!$C$3*(1+B597)^2)*((1-$I$4-$I$5+E597)*(1-$I$10)+$I$6-$I$11)-('Data Schema'!$C$3*(1+B597)^2-'Data Schema'!$C$3*(1+B597)^1)*$I$12)/(1+C597)^2+(('Data Schema'!$C$3*(1+B597)^3)*((1-$I$4-$I$5+E597)*(1-$I$10)+$I$6-$I$11)-('Data Schema'!$C$3*(1+B597)^3-'Data Schema'!$C$3*(1+B597)^2)*$I$12)/(1+C597)^3+(('Data Schema'!$C$3*(1+B597)^4)*((1-$I$4-$I$5+E597)*(1-$I$10)+$I$6-$I$11)-('Data Schema'!$C$3*(1+B597)^4-'Data Schema'!$C$3*(1+B597)^3)*$I$12)/(1+C597)^4+(('Data Schema'!$C$3*(1+B597)^5)*((1-$I$4-$I$5+E597)*(1-$I$10)+$I$6-$I$11)-('Data Schema'!$C$3*(1+B597)^5-'Data Schema'!$C$3*(1+B597)^4)*$I$12)/(1+C597)^5+((('Data Schema'!$C$3*(1+B597)^5)*((1-$I$4-$I$5+E597)*(1-$I$10)+$I$6-$I$11)-('Data Schema'!$C$3*(1+B597)^5-'Data Schema'!$C$3*(1+B597)^4)*$I$12)*(1+D597)/(C597-D597))/(1+C597)^5-'Data Schema'!$C$31+'Data Schema'!$C$21)/'Data Schema'!$B$17,0),"INVALID")</f>
        <v>172.99642813204051</v>
      </c>
      <c r="H597" s="189" t="b">
        <f t="shared" ca="1" si="66"/>
        <v>1</v>
      </c>
      <c r="I597" s="188">
        <f t="shared" ca="1" si="67"/>
        <v>172.99642813204051</v>
      </c>
      <c r="J597" s="349">
        <f t="shared" ca="1" si="60"/>
        <v>172.99642813204051</v>
      </c>
    </row>
    <row r="598" spans="1:10">
      <c r="A598" s="185">
        <v>419</v>
      </c>
      <c r="B598" s="190">
        <f t="shared" ca="1" si="61"/>
        <v>8.444721397800399E-2</v>
      </c>
      <c r="C598" s="190">
        <f t="shared" ca="1" si="62"/>
        <v>5.1549049770342054E-2</v>
      </c>
      <c r="D598" s="190">
        <f t="shared" ca="1" si="63"/>
        <v>3.527506772520865E-2</v>
      </c>
      <c r="E598" s="190">
        <f t="shared" ca="1" si="64"/>
        <v>-9.3317545542213678E-3</v>
      </c>
      <c r="F598" s="189" t="b">
        <f t="shared" ca="1" si="65"/>
        <v>1</v>
      </c>
      <c r="G598" s="188">
        <f ca="1">IF(F598,IFERROR(((('Data Schema'!$C$3*(1+B598)^1)*((1-$I$4-$I$5+E598)*(1-$I$10)+$I$6-$I$11)-('Data Schema'!$C$3*(1+B598)^1-'Data Schema'!$C$3)*$I$12)/(1+C598)^1+(('Data Schema'!$C$3*(1+B598)^2)*((1-$I$4-$I$5+E598)*(1-$I$10)+$I$6-$I$11)-('Data Schema'!$C$3*(1+B598)^2-'Data Schema'!$C$3*(1+B598)^1)*$I$12)/(1+C598)^2+(('Data Schema'!$C$3*(1+B598)^3)*((1-$I$4-$I$5+E598)*(1-$I$10)+$I$6-$I$11)-('Data Schema'!$C$3*(1+B598)^3-'Data Schema'!$C$3*(1+B598)^2)*$I$12)/(1+C598)^3+(('Data Schema'!$C$3*(1+B598)^4)*((1-$I$4-$I$5+E598)*(1-$I$10)+$I$6-$I$11)-('Data Schema'!$C$3*(1+B598)^4-'Data Schema'!$C$3*(1+B598)^3)*$I$12)/(1+C598)^4+(('Data Schema'!$C$3*(1+B598)^5)*((1-$I$4-$I$5+E598)*(1-$I$10)+$I$6-$I$11)-('Data Schema'!$C$3*(1+B598)^5-'Data Schema'!$C$3*(1+B598)^4)*$I$12)/(1+C598)^5+((('Data Schema'!$C$3*(1+B598)^5)*((1-$I$4-$I$5+E598)*(1-$I$10)+$I$6-$I$11)-('Data Schema'!$C$3*(1+B598)^5-'Data Schema'!$C$3*(1+B598)^4)*$I$12)*(1+D598)/(C598-D598))/(1+C598)^5-'Data Schema'!$C$31+'Data Schema'!$C$21)/'Data Schema'!$B$17,0),"INVALID")</f>
        <v>125.42326027411326</v>
      </c>
      <c r="H598" s="189" t="b">
        <f t="shared" ca="1" si="66"/>
        <v>1</v>
      </c>
      <c r="I598" s="188">
        <f t="shared" ca="1" si="67"/>
        <v>125.42326027411326</v>
      </c>
      <c r="J598" s="349">
        <f t="shared" ca="1" si="60"/>
        <v>125.42326027411326</v>
      </c>
    </row>
    <row r="599" spans="1:10">
      <c r="A599" s="184">
        <v>420</v>
      </c>
      <c r="B599" s="190">
        <f t="shared" ca="1" si="61"/>
        <v>0.12877512477196595</v>
      </c>
      <c r="C599" s="190">
        <f t="shared" ca="1" si="62"/>
        <v>5.9653362661192151E-2</v>
      </c>
      <c r="D599" s="190">
        <f t="shared" ca="1" si="63"/>
        <v>2.4959678026301519E-2</v>
      </c>
      <c r="E599" s="190">
        <f t="shared" ca="1" si="64"/>
        <v>-1.6401151057279888E-2</v>
      </c>
      <c r="F599" s="189" t="b">
        <f t="shared" ca="1" si="65"/>
        <v>1</v>
      </c>
      <c r="G599" s="188">
        <f ca="1">IF(F599,IFERROR(((('Data Schema'!$C$3*(1+B599)^1)*((1-$I$4-$I$5+E599)*(1-$I$10)+$I$6-$I$11)-('Data Schema'!$C$3*(1+B599)^1-'Data Schema'!$C$3)*$I$12)/(1+C599)^1+(('Data Schema'!$C$3*(1+B599)^2)*((1-$I$4-$I$5+E599)*(1-$I$10)+$I$6-$I$11)-('Data Schema'!$C$3*(1+B599)^2-'Data Schema'!$C$3*(1+B599)^1)*$I$12)/(1+C599)^2+(('Data Schema'!$C$3*(1+B599)^3)*((1-$I$4-$I$5+E599)*(1-$I$10)+$I$6-$I$11)-('Data Schema'!$C$3*(1+B599)^3-'Data Schema'!$C$3*(1+B599)^2)*$I$12)/(1+C599)^3+(('Data Schema'!$C$3*(1+B599)^4)*((1-$I$4-$I$5+E599)*(1-$I$10)+$I$6-$I$11)-('Data Schema'!$C$3*(1+B599)^4-'Data Schema'!$C$3*(1+B599)^3)*$I$12)/(1+C599)^4+(('Data Schema'!$C$3*(1+B599)^5)*((1-$I$4-$I$5+E599)*(1-$I$10)+$I$6-$I$11)-('Data Schema'!$C$3*(1+B599)^5-'Data Schema'!$C$3*(1+B599)^4)*$I$12)/(1+C599)^5+((('Data Schema'!$C$3*(1+B599)^5)*((1-$I$4-$I$5+E599)*(1-$I$10)+$I$6-$I$11)-('Data Schema'!$C$3*(1+B599)^5-'Data Schema'!$C$3*(1+B599)^4)*$I$12)*(1+D599)/(C599-D599))/(1+C599)^5-'Data Schema'!$C$31+'Data Schema'!$C$21)/'Data Schema'!$B$17,0),"INVALID")</f>
        <v>45.43865535745406</v>
      </c>
      <c r="H599" s="189" t="b">
        <f t="shared" ca="1" si="66"/>
        <v>1</v>
      </c>
      <c r="I599" s="188">
        <f t="shared" ca="1" si="67"/>
        <v>45.43865535745406</v>
      </c>
      <c r="J599" s="349">
        <f t="shared" ca="1" si="60"/>
        <v>45.43865535745406</v>
      </c>
    </row>
    <row r="600" spans="1:10">
      <c r="A600" s="185">
        <v>421</v>
      </c>
      <c r="B600" s="190">
        <f t="shared" ca="1" si="61"/>
        <v>0.10921326544389372</v>
      </c>
      <c r="C600" s="190">
        <f t="shared" ca="1" si="62"/>
        <v>5.194499793329628E-2</v>
      </c>
      <c r="D600" s="190">
        <f t="shared" ca="1" si="63"/>
        <v>2.4987344266668248E-2</v>
      </c>
      <c r="E600" s="190">
        <f t="shared" ca="1" si="64"/>
        <v>-2.8082871526917499E-3</v>
      </c>
      <c r="F600" s="189" t="b">
        <f t="shared" ca="1" si="65"/>
        <v>1</v>
      </c>
      <c r="G600" s="188">
        <f ca="1">IF(F600,IFERROR(((('Data Schema'!$C$3*(1+B600)^1)*((1-$I$4-$I$5+E600)*(1-$I$10)+$I$6-$I$11)-('Data Schema'!$C$3*(1+B600)^1-'Data Schema'!$C$3)*$I$12)/(1+C600)^1+(('Data Schema'!$C$3*(1+B600)^2)*((1-$I$4-$I$5+E600)*(1-$I$10)+$I$6-$I$11)-('Data Schema'!$C$3*(1+B600)^2-'Data Schema'!$C$3*(1+B600)^1)*$I$12)/(1+C600)^2+(('Data Schema'!$C$3*(1+B600)^3)*((1-$I$4-$I$5+E600)*(1-$I$10)+$I$6-$I$11)-('Data Schema'!$C$3*(1+B600)^3-'Data Schema'!$C$3*(1+B600)^2)*$I$12)/(1+C600)^3+(('Data Schema'!$C$3*(1+B600)^4)*((1-$I$4-$I$5+E600)*(1-$I$10)+$I$6-$I$11)-('Data Schema'!$C$3*(1+B600)^4-'Data Schema'!$C$3*(1+B600)^3)*$I$12)/(1+C600)^4+(('Data Schema'!$C$3*(1+B600)^5)*((1-$I$4-$I$5+E600)*(1-$I$10)+$I$6-$I$11)-('Data Schema'!$C$3*(1+B600)^5-'Data Schema'!$C$3*(1+B600)^4)*$I$12)/(1+C600)^5+((('Data Schema'!$C$3*(1+B600)^5)*((1-$I$4-$I$5+E600)*(1-$I$10)+$I$6-$I$11)-('Data Schema'!$C$3*(1+B600)^5-'Data Schema'!$C$3*(1+B600)^4)*$I$12)*(1+D600)/(C600-D600))/(1+C600)^5-'Data Schema'!$C$31+'Data Schema'!$C$21)/'Data Schema'!$B$17,0),"INVALID")</f>
        <v>107.19328217869948</v>
      </c>
      <c r="H600" s="189" t="b">
        <f t="shared" ca="1" si="66"/>
        <v>1</v>
      </c>
      <c r="I600" s="188">
        <f t="shared" ca="1" si="67"/>
        <v>107.19328217869948</v>
      </c>
      <c r="J600" s="349">
        <f t="shared" ca="1" si="60"/>
        <v>107.19328217869948</v>
      </c>
    </row>
    <row r="601" spans="1:10">
      <c r="A601" s="184">
        <v>422</v>
      </c>
      <c r="B601" s="190">
        <f t="shared" ca="1" si="61"/>
        <v>0.12851655424114003</v>
      </c>
      <c r="C601" s="190">
        <f t="shared" ca="1" si="62"/>
        <v>7.4488238866278839E-2</v>
      </c>
      <c r="D601" s="190">
        <f t="shared" ca="1" si="63"/>
        <v>2.4176334159213875E-2</v>
      </c>
      <c r="E601" s="190">
        <f t="shared" ca="1" si="64"/>
        <v>-2.3279595896268514E-2</v>
      </c>
      <c r="F601" s="189" t="b">
        <f t="shared" ca="1" si="65"/>
        <v>1</v>
      </c>
      <c r="G601" s="188">
        <f ca="1">IF(F601,IFERROR(((('Data Schema'!$C$3*(1+B601)^1)*((1-$I$4-$I$5+E601)*(1-$I$10)+$I$6-$I$11)-('Data Schema'!$C$3*(1+B601)^1-'Data Schema'!$C$3)*$I$12)/(1+C601)^1+(('Data Schema'!$C$3*(1+B601)^2)*((1-$I$4-$I$5+E601)*(1-$I$10)+$I$6-$I$11)-('Data Schema'!$C$3*(1+B601)^2-'Data Schema'!$C$3*(1+B601)^1)*$I$12)/(1+C601)^2+(('Data Schema'!$C$3*(1+B601)^3)*((1-$I$4-$I$5+E601)*(1-$I$10)+$I$6-$I$11)-('Data Schema'!$C$3*(1+B601)^3-'Data Schema'!$C$3*(1+B601)^2)*$I$12)/(1+C601)^3+(('Data Schema'!$C$3*(1+B601)^4)*((1-$I$4-$I$5+E601)*(1-$I$10)+$I$6-$I$11)-('Data Schema'!$C$3*(1+B601)^4-'Data Schema'!$C$3*(1+B601)^3)*$I$12)/(1+C601)^4+(('Data Schema'!$C$3*(1+B601)^5)*((1-$I$4-$I$5+E601)*(1-$I$10)+$I$6-$I$11)-('Data Schema'!$C$3*(1+B601)^5-'Data Schema'!$C$3*(1+B601)^4)*$I$12)/(1+C601)^5+((('Data Schema'!$C$3*(1+B601)^5)*((1-$I$4-$I$5+E601)*(1-$I$10)+$I$6-$I$11)-('Data Schema'!$C$3*(1+B601)^5-'Data Schema'!$C$3*(1+B601)^4)*$I$12)*(1+D601)/(C601-D601))/(1+C601)^5-'Data Schema'!$C$31+'Data Schema'!$C$21)/'Data Schema'!$B$17,0),"INVALID")</f>
        <v>14.227034785583232</v>
      </c>
      <c r="H601" s="189" t="b">
        <f t="shared" ca="1" si="66"/>
        <v>1</v>
      </c>
      <c r="I601" s="188">
        <f t="shared" ca="1" si="67"/>
        <v>14.227034785583232</v>
      </c>
      <c r="J601" s="349" t="str">
        <f t="shared" ca="1" si="60"/>
        <v/>
      </c>
    </row>
    <row r="602" spans="1:10">
      <c r="A602" s="185">
        <v>423</v>
      </c>
      <c r="B602" s="190">
        <f t="shared" ca="1" si="61"/>
        <v>0.1153449506771569</v>
      </c>
      <c r="C602" s="190">
        <f t="shared" ca="1" si="62"/>
        <v>7.0872887408817239E-2</v>
      </c>
      <c r="D602" s="190">
        <f t="shared" ca="1" si="63"/>
        <v>2.2013896139146217E-2</v>
      </c>
      <c r="E602" s="190">
        <f t="shared" ca="1" si="64"/>
        <v>-1.4725400791679024E-2</v>
      </c>
      <c r="F602" s="189" t="b">
        <f t="shared" ca="1" si="65"/>
        <v>1</v>
      </c>
      <c r="G602" s="188">
        <f ca="1">IF(F602,IFERROR(((('Data Schema'!$C$3*(1+B602)^1)*((1-$I$4-$I$5+E602)*(1-$I$10)+$I$6-$I$11)-('Data Schema'!$C$3*(1+B602)^1-'Data Schema'!$C$3)*$I$12)/(1+C602)^1+(('Data Schema'!$C$3*(1+B602)^2)*((1-$I$4-$I$5+E602)*(1-$I$10)+$I$6-$I$11)-('Data Schema'!$C$3*(1+B602)^2-'Data Schema'!$C$3*(1+B602)^1)*$I$12)/(1+C602)^2+(('Data Schema'!$C$3*(1+B602)^3)*((1-$I$4-$I$5+E602)*(1-$I$10)+$I$6-$I$11)-('Data Schema'!$C$3*(1+B602)^3-'Data Schema'!$C$3*(1+B602)^2)*$I$12)/(1+C602)^3+(('Data Schema'!$C$3*(1+B602)^4)*((1-$I$4-$I$5+E602)*(1-$I$10)+$I$6-$I$11)-('Data Schema'!$C$3*(1+B602)^4-'Data Schema'!$C$3*(1+B602)^3)*$I$12)/(1+C602)^4+(('Data Schema'!$C$3*(1+B602)^5)*((1-$I$4-$I$5+E602)*(1-$I$10)+$I$6-$I$11)-('Data Schema'!$C$3*(1+B602)^5-'Data Schema'!$C$3*(1+B602)^4)*$I$12)/(1+C602)^5+((('Data Schema'!$C$3*(1+B602)^5)*((1-$I$4-$I$5+E602)*(1-$I$10)+$I$6-$I$11)-('Data Schema'!$C$3*(1+B602)^5-'Data Schema'!$C$3*(1+B602)^4)*$I$12)*(1+D602)/(C602-D602))/(1+C602)^5-'Data Schema'!$C$31+'Data Schema'!$C$21)/'Data Schema'!$B$17,0),"INVALID")</f>
        <v>32.307120074061046</v>
      </c>
      <c r="H602" s="189" t="b">
        <f t="shared" ca="1" si="66"/>
        <v>1</v>
      </c>
      <c r="I602" s="188">
        <f t="shared" ca="1" si="67"/>
        <v>32.307120074061046</v>
      </c>
      <c r="J602" s="349">
        <f t="shared" ca="1" si="60"/>
        <v>32.307120074061046</v>
      </c>
    </row>
    <row r="603" spans="1:10">
      <c r="A603" s="184">
        <v>424</v>
      </c>
      <c r="B603" s="190">
        <f t="shared" ca="1" si="61"/>
        <v>0.11606525223025754</v>
      </c>
      <c r="C603" s="190">
        <f t="shared" ca="1" si="62"/>
        <v>5.8932486063890649E-2</v>
      </c>
      <c r="D603" s="190">
        <f t="shared" ca="1" si="63"/>
        <v>2.4795722132555816E-2</v>
      </c>
      <c r="E603" s="190">
        <f t="shared" ca="1" si="64"/>
        <v>1.3881684833302033E-2</v>
      </c>
      <c r="F603" s="189" t="b">
        <f t="shared" ca="1" si="65"/>
        <v>1</v>
      </c>
      <c r="G603" s="188">
        <f ca="1">IF(F603,IFERROR(((('Data Schema'!$C$3*(1+B603)^1)*((1-$I$4-$I$5+E603)*(1-$I$10)+$I$6-$I$11)-('Data Schema'!$C$3*(1+B603)^1-'Data Schema'!$C$3)*$I$12)/(1+C603)^1+(('Data Schema'!$C$3*(1+B603)^2)*((1-$I$4-$I$5+E603)*(1-$I$10)+$I$6-$I$11)-('Data Schema'!$C$3*(1+B603)^2-'Data Schema'!$C$3*(1+B603)^1)*$I$12)/(1+C603)^2+(('Data Schema'!$C$3*(1+B603)^3)*((1-$I$4-$I$5+E603)*(1-$I$10)+$I$6-$I$11)-('Data Schema'!$C$3*(1+B603)^3-'Data Schema'!$C$3*(1+B603)^2)*$I$12)/(1+C603)^3+(('Data Schema'!$C$3*(1+B603)^4)*((1-$I$4-$I$5+E603)*(1-$I$10)+$I$6-$I$11)-('Data Schema'!$C$3*(1+B603)^4-'Data Schema'!$C$3*(1+B603)^3)*$I$12)/(1+C603)^4+(('Data Schema'!$C$3*(1+B603)^5)*((1-$I$4-$I$5+E603)*(1-$I$10)+$I$6-$I$11)-('Data Schema'!$C$3*(1+B603)^5-'Data Schema'!$C$3*(1+B603)^4)*$I$12)/(1+C603)^5+((('Data Schema'!$C$3*(1+B603)^5)*((1-$I$4-$I$5+E603)*(1-$I$10)+$I$6-$I$11)-('Data Schema'!$C$3*(1+B603)^5-'Data Schema'!$C$3*(1+B603)^4)*$I$12)*(1+D603)/(C603-D603))/(1+C603)^5-'Data Schema'!$C$31+'Data Schema'!$C$21)/'Data Schema'!$B$17,0),"INVALID")</f>
        <v>135.03640430448186</v>
      </c>
      <c r="H603" s="189" t="b">
        <f t="shared" ca="1" si="66"/>
        <v>1</v>
      </c>
      <c r="I603" s="188">
        <f t="shared" ca="1" si="67"/>
        <v>135.03640430448186</v>
      </c>
      <c r="J603" s="349">
        <f t="shared" ca="1" si="60"/>
        <v>135.03640430448186</v>
      </c>
    </row>
    <row r="604" spans="1:10">
      <c r="A604" s="185">
        <v>425</v>
      </c>
      <c r="B604" s="190">
        <f t="shared" ca="1" si="61"/>
        <v>0.15191923082182993</v>
      </c>
      <c r="C604" s="190">
        <f t="shared" ca="1" si="62"/>
        <v>3.8600739381481959E-2</v>
      </c>
      <c r="D604" s="190">
        <f t="shared" ca="1" si="63"/>
        <v>2.5357224255505566E-2</v>
      </c>
      <c r="E604" s="190">
        <f t="shared" ca="1" si="64"/>
        <v>1.0568064350091496E-2</v>
      </c>
      <c r="F604" s="189" t="b">
        <f t="shared" ca="1" si="65"/>
        <v>0</v>
      </c>
      <c r="G604" s="188" t="str">
        <f ca="1">IF(F604,IFERROR(((('Data Schema'!$C$3*(1+B604)^1)*((1-$I$4-$I$5+E604)*(1-$I$10)+$I$6-$I$11)-('Data Schema'!$C$3*(1+B604)^1-'Data Schema'!$C$3)*$I$12)/(1+C604)^1+(('Data Schema'!$C$3*(1+B604)^2)*((1-$I$4-$I$5+E604)*(1-$I$10)+$I$6-$I$11)-('Data Schema'!$C$3*(1+B604)^2-'Data Schema'!$C$3*(1+B604)^1)*$I$12)/(1+C604)^2+(('Data Schema'!$C$3*(1+B604)^3)*((1-$I$4-$I$5+E604)*(1-$I$10)+$I$6-$I$11)-('Data Schema'!$C$3*(1+B604)^3-'Data Schema'!$C$3*(1+B604)^2)*$I$12)/(1+C604)^3+(('Data Schema'!$C$3*(1+B604)^4)*((1-$I$4-$I$5+E604)*(1-$I$10)+$I$6-$I$11)-('Data Schema'!$C$3*(1+B604)^4-'Data Schema'!$C$3*(1+B604)^3)*$I$12)/(1+C604)^4+(('Data Schema'!$C$3*(1+B604)^5)*((1-$I$4-$I$5+E604)*(1-$I$10)+$I$6-$I$11)-('Data Schema'!$C$3*(1+B604)^5-'Data Schema'!$C$3*(1+B604)^4)*$I$12)/(1+C604)^5+((('Data Schema'!$C$3*(1+B604)^5)*((1-$I$4-$I$5+E604)*(1-$I$10)+$I$6-$I$11)-('Data Schema'!$C$3*(1+B604)^5-'Data Schema'!$C$3*(1+B604)^4)*$I$12)*(1+D604)/(C604-D604))/(1+C604)^5-'Data Schema'!$C$31+'Data Schema'!$C$21)/'Data Schema'!$B$17,0),"INVALID")</f>
        <v>INVALID</v>
      </c>
      <c r="H604" s="189" t="b">
        <f t="shared" ca="1" si="66"/>
        <v>0</v>
      </c>
      <c r="I604" s="188" t="str">
        <f t="shared" ca="1" si="67"/>
        <v/>
      </c>
      <c r="J604" s="349" t="str">
        <f t="shared" ca="1" si="60"/>
        <v/>
      </c>
    </row>
    <row r="605" spans="1:10">
      <c r="A605" s="184">
        <v>426</v>
      </c>
      <c r="B605" s="190">
        <f t="shared" ca="1" si="61"/>
        <v>0.10084393809235212</v>
      </c>
      <c r="C605" s="190">
        <f t="shared" ca="1" si="62"/>
        <v>5.7319416853503863E-2</v>
      </c>
      <c r="D605" s="190">
        <f t="shared" ca="1" si="63"/>
        <v>2.1053056765767922E-2</v>
      </c>
      <c r="E605" s="190">
        <f t="shared" ca="1" si="64"/>
        <v>-1.0353474280445203E-2</v>
      </c>
      <c r="F605" s="189" t="b">
        <f t="shared" ca="1" si="65"/>
        <v>1</v>
      </c>
      <c r="G605" s="188">
        <f ca="1">IF(F605,IFERROR(((('Data Schema'!$C$3*(1+B605)^1)*((1-$I$4-$I$5+E605)*(1-$I$10)+$I$6-$I$11)-('Data Schema'!$C$3*(1+B605)^1-'Data Schema'!$C$3)*$I$12)/(1+C605)^1+(('Data Schema'!$C$3*(1+B605)^2)*((1-$I$4-$I$5+E605)*(1-$I$10)+$I$6-$I$11)-('Data Schema'!$C$3*(1+B605)^2-'Data Schema'!$C$3*(1+B605)^1)*$I$12)/(1+C605)^2+(('Data Schema'!$C$3*(1+B605)^3)*((1-$I$4-$I$5+E605)*(1-$I$10)+$I$6-$I$11)-('Data Schema'!$C$3*(1+B605)^3-'Data Schema'!$C$3*(1+B605)^2)*$I$12)/(1+C605)^3+(('Data Schema'!$C$3*(1+B605)^4)*((1-$I$4-$I$5+E605)*(1-$I$10)+$I$6-$I$11)-('Data Schema'!$C$3*(1+B605)^4-'Data Schema'!$C$3*(1+B605)^3)*$I$12)/(1+C605)^4+(('Data Schema'!$C$3*(1+B605)^5)*((1-$I$4-$I$5+E605)*(1-$I$10)+$I$6-$I$11)-('Data Schema'!$C$3*(1+B605)^5-'Data Schema'!$C$3*(1+B605)^4)*$I$12)/(1+C605)^5+((('Data Schema'!$C$3*(1+B605)^5)*((1-$I$4-$I$5+E605)*(1-$I$10)+$I$6-$I$11)-('Data Schema'!$C$3*(1+B605)^5-'Data Schema'!$C$3*(1+B605)^4)*$I$12)*(1+D605)/(C605-D605))/(1+C605)^5-'Data Schema'!$C$31+'Data Schema'!$C$21)/'Data Schema'!$B$17,0),"INVALID")</f>
        <v>55.902098841793446</v>
      </c>
      <c r="H605" s="189" t="b">
        <f t="shared" ca="1" si="66"/>
        <v>1</v>
      </c>
      <c r="I605" s="188">
        <f t="shared" ca="1" si="67"/>
        <v>55.902098841793446</v>
      </c>
      <c r="J605" s="349">
        <f t="shared" ca="1" si="60"/>
        <v>55.902098841793446</v>
      </c>
    </row>
    <row r="606" spans="1:10">
      <c r="A606" s="185">
        <v>427</v>
      </c>
      <c r="B606" s="190">
        <f t="shared" ca="1" si="61"/>
        <v>7.947684176849508E-2</v>
      </c>
      <c r="C606" s="190">
        <f t="shared" ca="1" si="62"/>
        <v>5.4917782269409188E-2</v>
      </c>
      <c r="D606" s="190">
        <f t="shared" ca="1" si="63"/>
        <v>1.4654691596277847E-2</v>
      </c>
      <c r="E606" s="190">
        <f t="shared" ca="1" si="64"/>
        <v>-1.5392500128629191E-2</v>
      </c>
      <c r="F606" s="189" t="b">
        <f t="shared" ca="1" si="65"/>
        <v>1</v>
      </c>
      <c r="G606" s="188">
        <f ca="1">IF(F606,IFERROR(((('Data Schema'!$C$3*(1+B606)^1)*((1-$I$4-$I$5+E606)*(1-$I$10)+$I$6-$I$11)-('Data Schema'!$C$3*(1+B606)^1-'Data Schema'!$C$3)*$I$12)/(1+C606)^1+(('Data Schema'!$C$3*(1+B606)^2)*((1-$I$4-$I$5+E606)*(1-$I$10)+$I$6-$I$11)-('Data Schema'!$C$3*(1+B606)^2-'Data Schema'!$C$3*(1+B606)^1)*$I$12)/(1+C606)^2+(('Data Schema'!$C$3*(1+B606)^3)*((1-$I$4-$I$5+E606)*(1-$I$10)+$I$6-$I$11)-('Data Schema'!$C$3*(1+B606)^3-'Data Schema'!$C$3*(1+B606)^2)*$I$12)/(1+C606)^3+(('Data Schema'!$C$3*(1+B606)^4)*((1-$I$4-$I$5+E606)*(1-$I$10)+$I$6-$I$11)-('Data Schema'!$C$3*(1+B606)^4-'Data Schema'!$C$3*(1+B606)^3)*$I$12)/(1+C606)^4+(('Data Schema'!$C$3*(1+B606)^5)*((1-$I$4-$I$5+E606)*(1-$I$10)+$I$6-$I$11)-('Data Schema'!$C$3*(1+B606)^5-'Data Schema'!$C$3*(1+B606)^4)*$I$12)/(1+C606)^5+((('Data Schema'!$C$3*(1+B606)^5)*((1-$I$4-$I$5+E606)*(1-$I$10)+$I$6-$I$11)-('Data Schema'!$C$3*(1+B606)^5-'Data Schema'!$C$3*(1+B606)^4)*$I$12)*(1+D606)/(C606-D606))/(1+C606)^5-'Data Schema'!$C$31+'Data Schema'!$C$21)/'Data Schema'!$B$17,0),"INVALID")</f>
        <v>35.531762917469401</v>
      </c>
      <c r="H606" s="189" t="b">
        <f t="shared" ca="1" si="66"/>
        <v>1</v>
      </c>
      <c r="I606" s="188">
        <f t="shared" ca="1" si="67"/>
        <v>35.531762917469401</v>
      </c>
      <c r="J606" s="349">
        <f t="shared" ca="1" si="60"/>
        <v>35.531762917469401</v>
      </c>
    </row>
    <row r="607" spans="1:10">
      <c r="A607" s="184">
        <v>428</v>
      </c>
      <c r="B607" s="190">
        <f t="shared" ca="1" si="61"/>
        <v>9.8464873371527747E-2</v>
      </c>
      <c r="C607" s="190">
        <f t="shared" ca="1" si="62"/>
        <v>6.9049881584371101E-2</v>
      </c>
      <c r="D607" s="190">
        <f t="shared" ca="1" si="63"/>
        <v>3.1790913328070276E-2</v>
      </c>
      <c r="E607" s="190">
        <f t="shared" ca="1" si="64"/>
        <v>-3.9823429625896294E-2</v>
      </c>
      <c r="F607" s="189" t="b">
        <f t="shared" ca="1" si="65"/>
        <v>1</v>
      </c>
      <c r="G607" s="188">
        <f ca="1">IF(F607,IFERROR(((('Data Schema'!$C$3*(1+B607)^1)*((1-$I$4-$I$5+E607)*(1-$I$10)+$I$6-$I$11)-('Data Schema'!$C$3*(1+B607)^1-'Data Schema'!$C$3)*$I$12)/(1+C607)^1+(('Data Schema'!$C$3*(1+B607)^2)*((1-$I$4-$I$5+E607)*(1-$I$10)+$I$6-$I$11)-('Data Schema'!$C$3*(1+B607)^2-'Data Schema'!$C$3*(1+B607)^1)*$I$12)/(1+C607)^2+(('Data Schema'!$C$3*(1+B607)^3)*((1-$I$4-$I$5+E607)*(1-$I$10)+$I$6-$I$11)-('Data Schema'!$C$3*(1+B607)^3-'Data Schema'!$C$3*(1+B607)^2)*$I$12)/(1+C607)^3+(('Data Schema'!$C$3*(1+B607)^4)*((1-$I$4-$I$5+E607)*(1-$I$10)+$I$6-$I$11)-('Data Schema'!$C$3*(1+B607)^4-'Data Schema'!$C$3*(1+B607)^3)*$I$12)/(1+C607)^4+(('Data Schema'!$C$3*(1+B607)^5)*((1-$I$4-$I$5+E607)*(1-$I$10)+$I$6-$I$11)-('Data Schema'!$C$3*(1+B607)^5-'Data Schema'!$C$3*(1+B607)^4)*$I$12)/(1+C607)^5+((('Data Schema'!$C$3*(1+B607)^5)*((1-$I$4-$I$5+E607)*(1-$I$10)+$I$6-$I$11)-('Data Schema'!$C$3*(1+B607)^5-'Data Schema'!$C$3*(1+B607)^4)*$I$12)*(1+D607)/(C607-D607))/(1+C607)^5-'Data Schema'!$C$31+'Data Schema'!$C$21)/'Data Schema'!$B$17,0),"INVALID")</f>
        <v>-21.590974059268969</v>
      </c>
      <c r="H607" s="189" t="b">
        <f t="shared" ca="1" si="66"/>
        <v>0</v>
      </c>
      <c r="I607" s="188" t="str">
        <f t="shared" ca="1" si="67"/>
        <v/>
      </c>
      <c r="J607" s="349" t="str">
        <f t="shared" ca="1" si="60"/>
        <v/>
      </c>
    </row>
    <row r="608" spans="1:10">
      <c r="A608" s="185">
        <v>429</v>
      </c>
      <c r="B608" s="190">
        <f t="shared" ca="1" si="61"/>
        <v>9.0293074290195466E-2</v>
      </c>
      <c r="C608" s="190">
        <f t="shared" ca="1" si="62"/>
        <v>6.1875835280672448E-2</v>
      </c>
      <c r="D608" s="190">
        <f t="shared" ca="1" si="63"/>
        <v>2.3165335790654502E-2</v>
      </c>
      <c r="E608" s="190">
        <f t="shared" ca="1" si="64"/>
        <v>1.8386403435362009E-2</v>
      </c>
      <c r="F608" s="189" t="b">
        <f t="shared" ca="1" si="65"/>
        <v>1</v>
      </c>
      <c r="G608" s="188">
        <f ca="1">IF(F608,IFERROR(((('Data Schema'!$C$3*(1+B608)^1)*((1-$I$4-$I$5+E608)*(1-$I$10)+$I$6-$I$11)-('Data Schema'!$C$3*(1+B608)^1-'Data Schema'!$C$3)*$I$12)/(1+C608)^1+(('Data Schema'!$C$3*(1+B608)^2)*((1-$I$4-$I$5+E608)*(1-$I$10)+$I$6-$I$11)-('Data Schema'!$C$3*(1+B608)^2-'Data Schema'!$C$3*(1+B608)^1)*$I$12)/(1+C608)^2+(('Data Schema'!$C$3*(1+B608)^3)*((1-$I$4-$I$5+E608)*(1-$I$10)+$I$6-$I$11)-('Data Schema'!$C$3*(1+B608)^3-'Data Schema'!$C$3*(1+B608)^2)*$I$12)/(1+C608)^3+(('Data Schema'!$C$3*(1+B608)^4)*((1-$I$4-$I$5+E608)*(1-$I$10)+$I$6-$I$11)-('Data Schema'!$C$3*(1+B608)^4-'Data Schema'!$C$3*(1+B608)^3)*$I$12)/(1+C608)^4+(('Data Schema'!$C$3*(1+B608)^5)*((1-$I$4-$I$5+E608)*(1-$I$10)+$I$6-$I$11)-('Data Schema'!$C$3*(1+B608)^5-'Data Schema'!$C$3*(1+B608)^4)*$I$12)/(1+C608)^5+((('Data Schema'!$C$3*(1+B608)^5)*((1-$I$4-$I$5+E608)*(1-$I$10)+$I$6-$I$11)-('Data Schema'!$C$3*(1+B608)^5-'Data Schema'!$C$3*(1+B608)^4)*$I$12)*(1+D608)/(C608-D608))/(1+C608)^5-'Data Schema'!$C$31+'Data Schema'!$C$21)/'Data Schema'!$B$17,0),"INVALID")</f>
        <v>117.54122357678285</v>
      </c>
      <c r="H608" s="189" t="b">
        <f t="shared" ca="1" si="66"/>
        <v>1</v>
      </c>
      <c r="I608" s="188">
        <f t="shared" ca="1" si="67"/>
        <v>117.54122357678285</v>
      </c>
      <c r="J608" s="349">
        <f t="shared" ca="1" si="60"/>
        <v>117.54122357678285</v>
      </c>
    </row>
    <row r="609" spans="1:10">
      <c r="A609" s="184">
        <v>430</v>
      </c>
      <c r="B609" s="190">
        <f t="shared" ca="1" si="61"/>
        <v>0.13035140339454299</v>
      </c>
      <c r="C609" s="190">
        <f t="shared" ca="1" si="62"/>
        <v>5.0834626678585237E-2</v>
      </c>
      <c r="D609" s="190">
        <f t="shared" ca="1" si="63"/>
        <v>2.1958895868829022E-2</v>
      </c>
      <c r="E609" s="190">
        <f t="shared" ca="1" si="64"/>
        <v>-1.3982243562735126E-2</v>
      </c>
      <c r="F609" s="189" t="b">
        <f t="shared" ca="1" si="65"/>
        <v>1</v>
      </c>
      <c r="G609" s="188">
        <f ca="1">IF(F609,IFERROR(((('Data Schema'!$C$3*(1+B609)^1)*((1-$I$4-$I$5+E609)*(1-$I$10)+$I$6-$I$11)-('Data Schema'!$C$3*(1+B609)^1-'Data Schema'!$C$3)*$I$12)/(1+C609)^1+(('Data Schema'!$C$3*(1+B609)^2)*((1-$I$4-$I$5+E609)*(1-$I$10)+$I$6-$I$11)-('Data Schema'!$C$3*(1+B609)^2-'Data Schema'!$C$3*(1+B609)^1)*$I$12)/(1+C609)^2+(('Data Schema'!$C$3*(1+B609)^3)*((1-$I$4-$I$5+E609)*(1-$I$10)+$I$6-$I$11)-('Data Schema'!$C$3*(1+B609)^3-'Data Schema'!$C$3*(1+B609)^2)*$I$12)/(1+C609)^3+(('Data Schema'!$C$3*(1+B609)^4)*((1-$I$4-$I$5+E609)*(1-$I$10)+$I$6-$I$11)-('Data Schema'!$C$3*(1+B609)^4-'Data Schema'!$C$3*(1+B609)^3)*$I$12)/(1+C609)^4+(('Data Schema'!$C$3*(1+B609)^5)*((1-$I$4-$I$5+E609)*(1-$I$10)+$I$6-$I$11)-('Data Schema'!$C$3*(1+B609)^5-'Data Schema'!$C$3*(1+B609)^4)*$I$12)/(1+C609)^5+((('Data Schema'!$C$3*(1+B609)^5)*((1-$I$4-$I$5+E609)*(1-$I$10)+$I$6-$I$11)-('Data Schema'!$C$3*(1+B609)^5-'Data Schema'!$C$3*(1+B609)^4)*$I$12)*(1+D609)/(C609-D609))/(1+C609)^5-'Data Schema'!$C$31+'Data Schema'!$C$21)/'Data Schema'!$B$17,0),"INVALID")</f>
        <v>66.519657072532581</v>
      </c>
      <c r="H609" s="189" t="b">
        <f t="shared" ca="1" si="66"/>
        <v>1</v>
      </c>
      <c r="I609" s="188">
        <f t="shared" ca="1" si="67"/>
        <v>66.519657072532581</v>
      </c>
      <c r="J609" s="349">
        <f t="shared" ca="1" si="60"/>
        <v>66.519657072532581</v>
      </c>
    </row>
    <row r="610" spans="1:10">
      <c r="A610" s="185">
        <v>431</v>
      </c>
      <c r="B610" s="190">
        <f t="shared" ca="1" si="61"/>
        <v>8.9508712750056729E-2</v>
      </c>
      <c r="C610" s="190">
        <f t="shared" ca="1" si="62"/>
        <v>5.2146694944500596E-2</v>
      </c>
      <c r="D610" s="190">
        <f t="shared" ca="1" si="63"/>
        <v>2.710151675765227E-2</v>
      </c>
      <c r="E610" s="190">
        <f t="shared" ca="1" si="64"/>
        <v>1.3998960642427723E-2</v>
      </c>
      <c r="F610" s="189" t="b">
        <f t="shared" ca="1" si="65"/>
        <v>1</v>
      </c>
      <c r="G610" s="188">
        <f ca="1">IF(F610,IFERROR(((('Data Schema'!$C$3*(1+B610)^1)*((1-$I$4-$I$5+E610)*(1-$I$10)+$I$6-$I$11)-('Data Schema'!$C$3*(1+B610)^1-'Data Schema'!$C$3)*$I$12)/(1+C610)^1+(('Data Schema'!$C$3*(1+B610)^2)*((1-$I$4-$I$5+E610)*(1-$I$10)+$I$6-$I$11)-('Data Schema'!$C$3*(1+B610)^2-'Data Schema'!$C$3*(1+B610)^1)*$I$12)/(1+C610)^2+(('Data Schema'!$C$3*(1+B610)^3)*((1-$I$4-$I$5+E610)*(1-$I$10)+$I$6-$I$11)-('Data Schema'!$C$3*(1+B610)^3-'Data Schema'!$C$3*(1+B610)^2)*$I$12)/(1+C610)^3+(('Data Schema'!$C$3*(1+B610)^4)*((1-$I$4-$I$5+E610)*(1-$I$10)+$I$6-$I$11)-('Data Schema'!$C$3*(1+B610)^4-'Data Schema'!$C$3*(1+B610)^3)*$I$12)/(1+C610)^4+(('Data Schema'!$C$3*(1+B610)^5)*((1-$I$4-$I$5+E610)*(1-$I$10)+$I$6-$I$11)-('Data Schema'!$C$3*(1+B610)^5-'Data Schema'!$C$3*(1+B610)^4)*$I$12)/(1+C610)^5+((('Data Schema'!$C$3*(1+B610)^5)*((1-$I$4-$I$5+E610)*(1-$I$10)+$I$6-$I$11)-('Data Schema'!$C$3*(1+B610)^5-'Data Schema'!$C$3*(1+B610)^4)*$I$12)*(1+D610)/(C610-D610))/(1+C610)^5-'Data Schema'!$C$31+'Data Schema'!$C$21)/'Data Schema'!$B$17,0),"INVALID")</f>
        <v>167.54414071463469</v>
      </c>
      <c r="H610" s="189" t="b">
        <f t="shared" ca="1" si="66"/>
        <v>1</v>
      </c>
      <c r="I610" s="188">
        <f t="shared" ca="1" si="67"/>
        <v>167.54414071463469</v>
      </c>
      <c r="J610" s="349">
        <f t="shared" ca="1" si="60"/>
        <v>167.54414071463469</v>
      </c>
    </row>
    <row r="611" spans="1:10">
      <c r="A611" s="184">
        <v>432</v>
      </c>
      <c r="B611" s="190">
        <f t="shared" ca="1" si="61"/>
        <v>0.10904856729798322</v>
      </c>
      <c r="C611" s="190">
        <f t="shared" ca="1" si="62"/>
        <v>4.6770496514829916E-2</v>
      </c>
      <c r="D611" s="190">
        <f t="shared" ca="1" si="63"/>
        <v>2.1173174621570444E-2</v>
      </c>
      <c r="E611" s="190">
        <f t="shared" ca="1" si="64"/>
        <v>-2.1733358148843949E-2</v>
      </c>
      <c r="F611" s="189" t="b">
        <f t="shared" ca="1" si="65"/>
        <v>1</v>
      </c>
      <c r="G611" s="188">
        <f ca="1">IF(F611,IFERROR(((('Data Schema'!$C$3*(1+B611)^1)*((1-$I$4-$I$5+E611)*(1-$I$10)+$I$6-$I$11)-('Data Schema'!$C$3*(1+B611)^1-'Data Schema'!$C$3)*$I$12)/(1+C611)^1+(('Data Schema'!$C$3*(1+B611)^2)*((1-$I$4-$I$5+E611)*(1-$I$10)+$I$6-$I$11)-('Data Schema'!$C$3*(1+B611)^2-'Data Schema'!$C$3*(1+B611)^1)*$I$12)/(1+C611)^2+(('Data Schema'!$C$3*(1+B611)^3)*((1-$I$4-$I$5+E611)*(1-$I$10)+$I$6-$I$11)-('Data Schema'!$C$3*(1+B611)^3-'Data Schema'!$C$3*(1+B611)^2)*$I$12)/(1+C611)^3+(('Data Schema'!$C$3*(1+B611)^4)*((1-$I$4-$I$5+E611)*(1-$I$10)+$I$6-$I$11)-('Data Schema'!$C$3*(1+B611)^4-'Data Schema'!$C$3*(1+B611)^3)*$I$12)/(1+C611)^4+(('Data Schema'!$C$3*(1+B611)^5)*((1-$I$4-$I$5+E611)*(1-$I$10)+$I$6-$I$11)-('Data Schema'!$C$3*(1+B611)^5-'Data Schema'!$C$3*(1+B611)^4)*$I$12)/(1+C611)^5+((('Data Schema'!$C$3*(1+B611)^5)*((1-$I$4-$I$5+E611)*(1-$I$10)+$I$6-$I$11)-('Data Schema'!$C$3*(1+B611)^5-'Data Schema'!$C$3*(1+B611)^4)*$I$12)*(1+D611)/(C611-D611))/(1+C611)^5-'Data Schema'!$C$31+'Data Schema'!$C$21)/'Data Schema'!$B$17,0),"INVALID")</f>
        <v>40.273706055570116</v>
      </c>
      <c r="H611" s="189" t="b">
        <f t="shared" ca="1" si="66"/>
        <v>1</v>
      </c>
      <c r="I611" s="188">
        <f t="shared" ca="1" si="67"/>
        <v>40.273706055570116</v>
      </c>
      <c r="J611" s="349">
        <f t="shared" ca="1" si="60"/>
        <v>40.273706055570116</v>
      </c>
    </row>
    <row r="612" spans="1:10">
      <c r="A612" s="185">
        <v>433</v>
      </c>
      <c r="B612" s="190">
        <f t="shared" ca="1" si="61"/>
        <v>0.13332816616844734</v>
      </c>
      <c r="C612" s="190">
        <f t="shared" ca="1" si="62"/>
        <v>5.8732923324000243E-2</v>
      </c>
      <c r="D612" s="190">
        <f t="shared" ca="1" si="63"/>
        <v>2.5112940150959141E-2</v>
      </c>
      <c r="E612" s="190">
        <f t="shared" ca="1" si="64"/>
        <v>1.7862355900749971E-3</v>
      </c>
      <c r="F612" s="189" t="b">
        <f t="shared" ca="1" si="65"/>
        <v>1</v>
      </c>
      <c r="G612" s="188">
        <f ca="1">IF(F612,IFERROR(((('Data Schema'!$C$3*(1+B612)^1)*((1-$I$4-$I$5+E612)*(1-$I$10)+$I$6-$I$11)-('Data Schema'!$C$3*(1+B612)^1-'Data Schema'!$C$3)*$I$12)/(1+C612)^1+(('Data Schema'!$C$3*(1+B612)^2)*((1-$I$4-$I$5+E612)*(1-$I$10)+$I$6-$I$11)-('Data Schema'!$C$3*(1+B612)^2-'Data Schema'!$C$3*(1+B612)^1)*$I$12)/(1+C612)^2+(('Data Schema'!$C$3*(1+B612)^3)*((1-$I$4-$I$5+E612)*(1-$I$10)+$I$6-$I$11)-('Data Schema'!$C$3*(1+B612)^3-'Data Schema'!$C$3*(1+B612)^2)*$I$12)/(1+C612)^3+(('Data Schema'!$C$3*(1+B612)^4)*((1-$I$4-$I$5+E612)*(1-$I$10)+$I$6-$I$11)-('Data Schema'!$C$3*(1+B612)^4-'Data Schema'!$C$3*(1+B612)^3)*$I$12)/(1+C612)^4+(('Data Schema'!$C$3*(1+B612)^5)*((1-$I$4-$I$5+E612)*(1-$I$10)+$I$6-$I$11)-('Data Schema'!$C$3*(1+B612)^5-'Data Schema'!$C$3*(1+B612)^4)*$I$12)/(1+C612)^5+((('Data Schema'!$C$3*(1+B612)^5)*((1-$I$4-$I$5+E612)*(1-$I$10)+$I$6-$I$11)-('Data Schema'!$C$3*(1+B612)^5-'Data Schema'!$C$3*(1+B612)^4)*$I$12)*(1+D612)/(C612-D612))/(1+C612)^5-'Data Schema'!$C$31+'Data Schema'!$C$21)/'Data Schema'!$B$17,0),"INVALID")</f>
        <v>107.30762534079655</v>
      </c>
      <c r="H612" s="189" t="b">
        <f t="shared" ca="1" si="66"/>
        <v>1</v>
      </c>
      <c r="I612" s="188">
        <f t="shared" ca="1" si="67"/>
        <v>107.30762534079655</v>
      </c>
      <c r="J612" s="349">
        <f t="shared" ca="1" si="60"/>
        <v>107.30762534079655</v>
      </c>
    </row>
    <row r="613" spans="1:10">
      <c r="A613" s="184">
        <v>434</v>
      </c>
      <c r="B613" s="190">
        <f t="shared" ca="1" si="61"/>
        <v>0.10685424229460448</v>
      </c>
      <c r="C613" s="190">
        <f t="shared" ca="1" si="62"/>
        <v>7.3777196197002778E-2</v>
      </c>
      <c r="D613" s="190">
        <f t="shared" ca="1" si="63"/>
        <v>2.6697059574248297E-2</v>
      </c>
      <c r="E613" s="190">
        <f t="shared" ca="1" si="64"/>
        <v>5.5725549451036884E-4</v>
      </c>
      <c r="F613" s="189" t="b">
        <f t="shared" ca="1" si="65"/>
        <v>1</v>
      </c>
      <c r="G613" s="188">
        <f ca="1">IF(F613,IFERROR(((('Data Schema'!$C$3*(1+B613)^1)*((1-$I$4-$I$5+E613)*(1-$I$10)+$I$6-$I$11)-('Data Schema'!$C$3*(1+B613)^1-'Data Schema'!$C$3)*$I$12)/(1+C613)^1+(('Data Schema'!$C$3*(1+B613)^2)*((1-$I$4-$I$5+E613)*(1-$I$10)+$I$6-$I$11)-('Data Schema'!$C$3*(1+B613)^2-'Data Schema'!$C$3*(1+B613)^1)*$I$12)/(1+C613)^2+(('Data Schema'!$C$3*(1+B613)^3)*((1-$I$4-$I$5+E613)*(1-$I$10)+$I$6-$I$11)-('Data Schema'!$C$3*(1+B613)^3-'Data Schema'!$C$3*(1+B613)^2)*$I$12)/(1+C613)^3+(('Data Schema'!$C$3*(1+B613)^4)*((1-$I$4-$I$5+E613)*(1-$I$10)+$I$6-$I$11)-('Data Schema'!$C$3*(1+B613)^4-'Data Schema'!$C$3*(1+B613)^3)*$I$12)/(1+C613)^4+(('Data Schema'!$C$3*(1+B613)^5)*((1-$I$4-$I$5+E613)*(1-$I$10)+$I$6-$I$11)-('Data Schema'!$C$3*(1+B613)^5-'Data Schema'!$C$3*(1+B613)^4)*$I$12)/(1+C613)^5+((('Data Schema'!$C$3*(1+B613)^5)*((1-$I$4-$I$5+E613)*(1-$I$10)+$I$6-$I$11)-('Data Schema'!$C$3*(1+B613)^5-'Data Schema'!$C$3*(1+B613)^4)*$I$12)*(1+D613)/(C613-D613))/(1+C613)^5-'Data Schema'!$C$31+'Data Schema'!$C$21)/'Data Schema'!$B$17,0),"INVALID")</f>
        <v>63.585411544608938</v>
      </c>
      <c r="H613" s="189" t="b">
        <f t="shared" ca="1" si="66"/>
        <v>1</v>
      </c>
      <c r="I613" s="188">
        <f t="shared" ca="1" si="67"/>
        <v>63.585411544608938</v>
      </c>
      <c r="J613" s="349">
        <f t="shared" ca="1" si="60"/>
        <v>63.585411544608938</v>
      </c>
    </row>
    <row r="614" spans="1:10">
      <c r="A614" s="185">
        <v>435</v>
      </c>
      <c r="B614" s="190">
        <f t="shared" ca="1" si="61"/>
        <v>6.7149546437173982E-2</v>
      </c>
      <c r="C614" s="190">
        <f t="shared" ca="1" si="62"/>
        <v>6.0141598635191362E-2</v>
      </c>
      <c r="D614" s="190">
        <f t="shared" ca="1" si="63"/>
        <v>2.5185266543010575E-2</v>
      </c>
      <c r="E614" s="190">
        <f t="shared" ca="1" si="64"/>
        <v>3.0845646320024323E-3</v>
      </c>
      <c r="F614" s="189" t="b">
        <f t="shared" ca="1" si="65"/>
        <v>1</v>
      </c>
      <c r="G614" s="188">
        <f ca="1">IF(F614,IFERROR(((('Data Schema'!$C$3*(1+B614)^1)*((1-$I$4-$I$5+E614)*(1-$I$10)+$I$6-$I$11)-('Data Schema'!$C$3*(1+B614)^1-'Data Schema'!$C$3)*$I$12)/(1+C614)^1+(('Data Schema'!$C$3*(1+B614)^2)*((1-$I$4-$I$5+E614)*(1-$I$10)+$I$6-$I$11)-('Data Schema'!$C$3*(1+B614)^2-'Data Schema'!$C$3*(1+B614)^1)*$I$12)/(1+C614)^2+(('Data Schema'!$C$3*(1+B614)^3)*((1-$I$4-$I$5+E614)*(1-$I$10)+$I$6-$I$11)-('Data Schema'!$C$3*(1+B614)^3-'Data Schema'!$C$3*(1+B614)^2)*$I$12)/(1+C614)^3+(('Data Schema'!$C$3*(1+B614)^4)*((1-$I$4-$I$5+E614)*(1-$I$10)+$I$6-$I$11)-('Data Schema'!$C$3*(1+B614)^4-'Data Schema'!$C$3*(1+B614)^3)*$I$12)/(1+C614)^4+(('Data Schema'!$C$3*(1+B614)^5)*((1-$I$4-$I$5+E614)*(1-$I$10)+$I$6-$I$11)-('Data Schema'!$C$3*(1+B614)^5-'Data Schema'!$C$3*(1+B614)^4)*$I$12)/(1+C614)^5+((('Data Schema'!$C$3*(1+B614)^5)*((1-$I$4-$I$5+E614)*(1-$I$10)+$I$6-$I$11)-('Data Schema'!$C$3*(1+B614)^5-'Data Schema'!$C$3*(1+B614)^4)*$I$12)*(1+D614)/(C614-D614))/(1+C614)^5-'Data Schema'!$C$31+'Data Schema'!$C$21)/'Data Schema'!$B$17,0),"INVALID")</f>
        <v>82.076392982579392</v>
      </c>
      <c r="H614" s="189" t="b">
        <f t="shared" ca="1" si="66"/>
        <v>1</v>
      </c>
      <c r="I614" s="188">
        <f t="shared" ca="1" si="67"/>
        <v>82.076392982579392</v>
      </c>
      <c r="J614" s="349">
        <f t="shared" ca="1" si="60"/>
        <v>82.076392982579392</v>
      </c>
    </row>
    <row r="615" spans="1:10">
      <c r="A615" s="184">
        <v>436</v>
      </c>
      <c r="B615" s="190">
        <f t="shared" ca="1" si="61"/>
        <v>0.11469973743126545</v>
      </c>
      <c r="C615" s="190">
        <f t="shared" ca="1" si="62"/>
        <v>5.0555959313019996E-2</v>
      </c>
      <c r="D615" s="190">
        <f t="shared" ca="1" si="63"/>
        <v>2.6062084211531521E-2</v>
      </c>
      <c r="E615" s="190">
        <f t="shared" ca="1" si="64"/>
        <v>-2.5661702329731785E-2</v>
      </c>
      <c r="F615" s="189" t="b">
        <f t="shared" ca="1" si="65"/>
        <v>1</v>
      </c>
      <c r="G615" s="188">
        <f ca="1">IF(F615,IFERROR(((('Data Schema'!$C$3*(1+B615)^1)*((1-$I$4-$I$5+E615)*(1-$I$10)+$I$6-$I$11)-('Data Schema'!$C$3*(1+B615)^1-'Data Schema'!$C$3)*$I$12)/(1+C615)^1+(('Data Schema'!$C$3*(1+B615)^2)*((1-$I$4-$I$5+E615)*(1-$I$10)+$I$6-$I$11)-('Data Schema'!$C$3*(1+B615)^2-'Data Schema'!$C$3*(1+B615)^1)*$I$12)/(1+C615)^2+(('Data Schema'!$C$3*(1+B615)^3)*((1-$I$4-$I$5+E615)*(1-$I$10)+$I$6-$I$11)-('Data Schema'!$C$3*(1+B615)^3-'Data Schema'!$C$3*(1+B615)^2)*$I$12)/(1+C615)^3+(('Data Schema'!$C$3*(1+B615)^4)*((1-$I$4-$I$5+E615)*(1-$I$10)+$I$6-$I$11)-('Data Schema'!$C$3*(1+B615)^4-'Data Schema'!$C$3*(1+B615)^3)*$I$12)/(1+C615)^4+(('Data Schema'!$C$3*(1+B615)^5)*((1-$I$4-$I$5+E615)*(1-$I$10)+$I$6-$I$11)-('Data Schema'!$C$3*(1+B615)^5-'Data Schema'!$C$3*(1+B615)^4)*$I$12)/(1+C615)^5+((('Data Schema'!$C$3*(1+B615)^5)*((1-$I$4-$I$5+E615)*(1-$I$10)+$I$6-$I$11)-('Data Schema'!$C$3*(1+B615)^5-'Data Schema'!$C$3*(1+B615)^4)*$I$12)*(1+D615)/(C615-D615))/(1+C615)^5-'Data Schema'!$C$31+'Data Schema'!$C$21)/'Data Schema'!$B$17,0),"INVALID")</f>
        <v>25.921584945355121</v>
      </c>
      <c r="H615" s="189" t="b">
        <f t="shared" ca="1" si="66"/>
        <v>1</v>
      </c>
      <c r="I615" s="188">
        <f t="shared" ca="1" si="67"/>
        <v>25.921584945355121</v>
      </c>
      <c r="J615" s="349">
        <f t="shared" ca="1" si="60"/>
        <v>25.921584945355121</v>
      </c>
    </row>
    <row r="616" spans="1:10">
      <c r="A616" s="185">
        <v>437</v>
      </c>
      <c r="B616" s="190">
        <f t="shared" ca="1" si="61"/>
        <v>5.0021911792236959E-2</v>
      </c>
      <c r="C616" s="190">
        <f t="shared" ca="1" si="62"/>
        <v>7.1428370685691606E-2</v>
      </c>
      <c r="D616" s="190">
        <f t="shared" ca="1" si="63"/>
        <v>2.0254610888692307E-2</v>
      </c>
      <c r="E616" s="190">
        <f t="shared" ca="1" si="64"/>
        <v>3.2004117168214011E-2</v>
      </c>
      <c r="F616" s="189" t="b">
        <f t="shared" ca="1" si="65"/>
        <v>1</v>
      </c>
      <c r="G616" s="188">
        <f ca="1">IF(F616,IFERROR(((('Data Schema'!$C$3*(1+B616)^1)*((1-$I$4-$I$5+E616)*(1-$I$10)+$I$6-$I$11)-('Data Schema'!$C$3*(1+B616)^1-'Data Schema'!$C$3)*$I$12)/(1+C616)^1+(('Data Schema'!$C$3*(1+B616)^2)*((1-$I$4-$I$5+E616)*(1-$I$10)+$I$6-$I$11)-('Data Schema'!$C$3*(1+B616)^2-'Data Schema'!$C$3*(1+B616)^1)*$I$12)/(1+C616)^2+(('Data Schema'!$C$3*(1+B616)^3)*((1-$I$4-$I$5+E616)*(1-$I$10)+$I$6-$I$11)-('Data Schema'!$C$3*(1+B616)^3-'Data Schema'!$C$3*(1+B616)^2)*$I$12)/(1+C616)^3+(('Data Schema'!$C$3*(1+B616)^4)*((1-$I$4-$I$5+E616)*(1-$I$10)+$I$6-$I$11)-('Data Schema'!$C$3*(1+B616)^4-'Data Schema'!$C$3*(1+B616)^3)*$I$12)/(1+C616)^4+(('Data Schema'!$C$3*(1+B616)^5)*((1-$I$4-$I$5+E616)*(1-$I$10)+$I$6-$I$11)-('Data Schema'!$C$3*(1+B616)^5-'Data Schema'!$C$3*(1+B616)^4)*$I$12)/(1+C616)^5+((('Data Schema'!$C$3*(1+B616)^5)*((1-$I$4-$I$5+E616)*(1-$I$10)+$I$6-$I$11)-('Data Schema'!$C$3*(1+B616)^5-'Data Schema'!$C$3*(1+B616)^4)*$I$12)*(1+D616)/(C616-D616))/(1+C616)^5-'Data Schema'!$C$31+'Data Schema'!$C$21)/'Data Schema'!$B$17,0),"INVALID")</f>
        <v>94.623188770071764</v>
      </c>
      <c r="H616" s="189" t="b">
        <f t="shared" ca="1" si="66"/>
        <v>1</v>
      </c>
      <c r="I616" s="188">
        <f t="shared" ca="1" si="67"/>
        <v>94.623188770071764</v>
      </c>
      <c r="J616" s="349">
        <f t="shared" ca="1" si="60"/>
        <v>94.623188770071764</v>
      </c>
    </row>
    <row r="617" spans="1:10">
      <c r="A617" s="184">
        <v>438</v>
      </c>
      <c r="B617" s="190">
        <f t="shared" ca="1" si="61"/>
        <v>0.10295503213516403</v>
      </c>
      <c r="C617" s="190">
        <f t="shared" ca="1" si="62"/>
        <v>5.6267202965037948E-2</v>
      </c>
      <c r="D617" s="190">
        <f t="shared" ca="1" si="63"/>
        <v>1.5210431322064726E-2</v>
      </c>
      <c r="E617" s="190">
        <f t="shared" ca="1" si="64"/>
        <v>-3.5127402085823128E-2</v>
      </c>
      <c r="F617" s="189" t="b">
        <f t="shared" ca="1" si="65"/>
        <v>1</v>
      </c>
      <c r="G617" s="188">
        <f ca="1">IF(F617,IFERROR(((('Data Schema'!$C$3*(1+B617)^1)*((1-$I$4-$I$5+E617)*(1-$I$10)+$I$6-$I$11)-('Data Schema'!$C$3*(1+B617)^1-'Data Schema'!$C$3)*$I$12)/(1+C617)^1+(('Data Schema'!$C$3*(1+B617)^2)*((1-$I$4-$I$5+E617)*(1-$I$10)+$I$6-$I$11)-('Data Schema'!$C$3*(1+B617)^2-'Data Schema'!$C$3*(1+B617)^1)*$I$12)/(1+C617)^2+(('Data Schema'!$C$3*(1+B617)^3)*((1-$I$4-$I$5+E617)*(1-$I$10)+$I$6-$I$11)-('Data Schema'!$C$3*(1+B617)^3-'Data Schema'!$C$3*(1+B617)^2)*$I$12)/(1+C617)^3+(('Data Schema'!$C$3*(1+B617)^4)*((1-$I$4-$I$5+E617)*(1-$I$10)+$I$6-$I$11)-('Data Schema'!$C$3*(1+B617)^4-'Data Schema'!$C$3*(1+B617)^3)*$I$12)/(1+C617)^4+(('Data Schema'!$C$3*(1+B617)^5)*((1-$I$4-$I$5+E617)*(1-$I$10)+$I$6-$I$11)-('Data Schema'!$C$3*(1+B617)^5-'Data Schema'!$C$3*(1+B617)^4)*$I$12)/(1+C617)^5+((('Data Schema'!$C$3*(1+B617)^5)*((1-$I$4-$I$5+E617)*(1-$I$10)+$I$6-$I$11)-('Data Schema'!$C$3*(1+B617)^5-'Data Schema'!$C$3*(1+B617)^4)*$I$12)*(1+D617)/(C617-D617))/(1+C617)^5-'Data Schema'!$C$31+'Data Schema'!$C$21)/'Data Schema'!$B$17,0),"INVALID")</f>
        <v>-10.141151674064137</v>
      </c>
      <c r="H617" s="189" t="b">
        <f t="shared" ca="1" si="66"/>
        <v>0</v>
      </c>
      <c r="I617" s="188" t="str">
        <f t="shared" ca="1" si="67"/>
        <v/>
      </c>
      <c r="J617" s="349" t="str">
        <f t="shared" ca="1" si="60"/>
        <v/>
      </c>
    </row>
    <row r="618" spans="1:10">
      <c r="A618" s="185">
        <v>439</v>
      </c>
      <c r="B618" s="190">
        <f t="shared" ca="1" si="61"/>
        <v>9.9922714011612915E-2</v>
      </c>
      <c r="C618" s="190">
        <f t="shared" ca="1" si="62"/>
        <v>6.3308958927561831E-2</v>
      </c>
      <c r="D618" s="190">
        <f t="shared" ca="1" si="63"/>
        <v>2.0308928266312837E-2</v>
      </c>
      <c r="E618" s="190">
        <f t="shared" ca="1" si="64"/>
        <v>-1.6647103558467803E-2</v>
      </c>
      <c r="F618" s="189" t="b">
        <f t="shared" ca="1" si="65"/>
        <v>1</v>
      </c>
      <c r="G618" s="188">
        <f ca="1">IF(F618,IFERROR(((('Data Schema'!$C$3*(1+B618)^1)*((1-$I$4-$I$5+E618)*(1-$I$10)+$I$6-$I$11)-('Data Schema'!$C$3*(1+B618)^1-'Data Schema'!$C$3)*$I$12)/(1+C618)^1+(('Data Schema'!$C$3*(1+B618)^2)*((1-$I$4-$I$5+E618)*(1-$I$10)+$I$6-$I$11)-('Data Schema'!$C$3*(1+B618)^2-'Data Schema'!$C$3*(1+B618)^1)*$I$12)/(1+C618)^2+(('Data Schema'!$C$3*(1+B618)^3)*((1-$I$4-$I$5+E618)*(1-$I$10)+$I$6-$I$11)-('Data Schema'!$C$3*(1+B618)^3-'Data Schema'!$C$3*(1+B618)^2)*$I$12)/(1+C618)^3+(('Data Schema'!$C$3*(1+B618)^4)*((1-$I$4-$I$5+E618)*(1-$I$10)+$I$6-$I$11)-('Data Schema'!$C$3*(1+B618)^4-'Data Schema'!$C$3*(1+B618)^3)*$I$12)/(1+C618)^4+(('Data Schema'!$C$3*(1+B618)^5)*((1-$I$4-$I$5+E618)*(1-$I$10)+$I$6-$I$11)-('Data Schema'!$C$3*(1+B618)^5-'Data Schema'!$C$3*(1+B618)^4)*$I$12)/(1+C618)^5+((('Data Schema'!$C$3*(1+B618)^5)*((1-$I$4-$I$5+E618)*(1-$I$10)+$I$6-$I$11)-('Data Schema'!$C$3*(1+B618)^5-'Data Schema'!$C$3*(1+B618)^4)*$I$12)*(1+D618)/(C618-D618))/(1+C618)^5-'Data Schema'!$C$31+'Data Schema'!$C$21)/'Data Schema'!$B$17,0),"INVALID")</f>
        <v>31.701446676075562</v>
      </c>
      <c r="H618" s="189" t="b">
        <f t="shared" ca="1" si="66"/>
        <v>1</v>
      </c>
      <c r="I618" s="188">
        <f t="shared" ca="1" si="67"/>
        <v>31.701446676075562</v>
      </c>
      <c r="J618" s="349">
        <f t="shared" ca="1" si="60"/>
        <v>31.701446676075562</v>
      </c>
    </row>
    <row r="619" spans="1:10">
      <c r="A619" s="184">
        <v>440</v>
      </c>
      <c r="B619" s="190">
        <f t="shared" ca="1" si="61"/>
        <v>6.1515587007548528E-2</v>
      </c>
      <c r="C619" s="190">
        <f t="shared" ca="1" si="62"/>
        <v>5.5918989992495151E-2</v>
      </c>
      <c r="D619" s="190">
        <f t="shared" ca="1" si="63"/>
        <v>2.9736214212726198E-2</v>
      </c>
      <c r="E619" s="190">
        <f t="shared" ca="1" si="64"/>
        <v>-3.3179694213495745E-2</v>
      </c>
      <c r="F619" s="189" t="b">
        <f t="shared" ca="1" si="65"/>
        <v>1</v>
      </c>
      <c r="G619" s="188">
        <f ca="1">IF(F619,IFERROR(((('Data Schema'!$C$3*(1+B619)^1)*((1-$I$4-$I$5+E619)*(1-$I$10)+$I$6-$I$11)-('Data Schema'!$C$3*(1+B619)^1-'Data Schema'!$C$3)*$I$12)/(1+C619)^1+(('Data Schema'!$C$3*(1+B619)^2)*((1-$I$4-$I$5+E619)*(1-$I$10)+$I$6-$I$11)-('Data Schema'!$C$3*(1+B619)^2-'Data Schema'!$C$3*(1+B619)^1)*$I$12)/(1+C619)^2+(('Data Schema'!$C$3*(1+B619)^3)*((1-$I$4-$I$5+E619)*(1-$I$10)+$I$6-$I$11)-('Data Schema'!$C$3*(1+B619)^3-'Data Schema'!$C$3*(1+B619)^2)*$I$12)/(1+C619)^3+(('Data Schema'!$C$3*(1+B619)^4)*((1-$I$4-$I$5+E619)*(1-$I$10)+$I$6-$I$11)-('Data Schema'!$C$3*(1+B619)^4-'Data Schema'!$C$3*(1+B619)^3)*$I$12)/(1+C619)^4+(('Data Schema'!$C$3*(1+B619)^5)*((1-$I$4-$I$5+E619)*(1-$I$10)+$I$6-$I$11)-('Data Schema'!$C$3*(1+B619)^5-'Data Schema'!$C$3*(1+B619)^4)*$I$12)/(1+C619)^5+((('Data Schema'!$C$3*(1+B619)^5)*((1-$I$4-$I$5+E619)*(1-$I$10)+$I$6-$I$11)-('Data Schema'!$C$3*(1+B619)^5-'Data Schema'!$C$3*(1+B619)^4)*$I$12)*(1+D619)/(C619-D619))/(1+C619)^5-'Data Schema'!$C$31+'Data Schema'!$C$21)/'Data Schema'!$B$17,0),"INVALID")</f>
        <v>-2.1516020228477406</v>
      </c>
      <c r="H619" s="189" t="b">
        <f t="shared" ca="1" si="66"/>
        <v>0</v>
      </c>
      <c r="I619" s="188" t="str">
        <f t="shared" ca="1" si="67"/>
        <v/>
      </c>
      <c r="J619" s="349" t="str">
        <f t="shared" ca="1" si="60"/>
        <v/>
      </c>
    </row>
    <row r="620" spans="1:10">
      <c r="A620" s="185">
        <v>441</v>
      </c>
      <c r="B620" s="190">
        <f t="shared" ca="1" si="61"/>
        <v>0.11686924717508702</v>
      </c>
      <c r="C620" s="190">
        <f t="shared" ca="1" si="62"/>
        <v>6.197213931449011E-2</v>
      </c>
      <c r="D620" s="190">
        <f t="shared" ca="1" si="63"/>
        <v>2.4502139895326368E-2</v>
      </c>
      <c r="E620" s="190">
        <f t="shared" ca="1" si="64"/>
        <v>-9.1921733112357903E-3</v>
      </c>
      <c r="F620" s="189" t="b">
        <f t="shared" ca="1" si="65"/>
        <v>1</v>
      </c>
      <c r="G620" s="188">
        <f ca="1">IF(F620,IFERROR(((('Data Schema'!$C$3*(1+B620)^1)*((1-$I$4-$I$5+E620)*(1-$I$10)+$I$6-$I$11)-('Data Schema'!$C$3*(1+B620)^1-'Data Schema'!$C$3)*$I$12)/(1+C620)^1+(('Data Schema'!$C$3*(1+B620)^2)*((1-$I$4-$I$5+E620)*(1-$I$10)+$I$6-$I$11)-('Data Schema'!$C$3*(1+B620)^2-'Data Schema'!$C$3*(1+B620)^1)*$I$12)/(1+C620)^2+(('Data Schema'!$C$3*(1+B620)^3)*((1-$I$4-$I$5+E620)*(1-$I$10)+$I$6-$I$11)-('Data Schema'!$C$3*(1+B620)^3-'Data Schema'!$C$3*(1+B620)^2)*$I$12)/(1+C620)^3+(('Data Schema'!$C$3*(1+B620)^4)*((1-$I$4-$I$5+E620)*(1-$I$10)+$I$6-$I$11)-('Data Schema'!$C$3*(1+B620)^4-'Data Schema'!$C$3*(1+B620)^3)*$I$12)/(1+C620)^4+(('Data Schema'!$C$3*(1+B620)^5)*((1-$I$4-$I$5+E620)*(1-$I$10)+$I$6-$I$11)-('Data Schema'!$C$3*(1+B620)^5-'Data Schema'!$C$3*(1+B620)^4)*$I$12)/(1+C620)^5+((('Data Schema'!$C$3*(1+B620)^5)*((1-$I$4-$I$5+E620)*(1-$I$10)+$I$6-$I$11)-('Data Schema'!$C$3*(1+B620)^5-'Data Schema'!$C$3*(1+B620)^4)*$I$12)*(1+D620)/(C620-D620))/(1+C620)^5-'Data Schema'!$C$31+'Data Schema'!$C$21)/'Data Schema'!$B$17,0),"INVALID")</f>
        <v>59.5561458823545</v>
      </c>
      <c r="H620" s="189" t="b">
        <f t="shared" ca="1" si="66"/>
        <v>1</v>
      </c>
      <c r="I620" s="188">
        <f t="shared" ca="1" si="67"/>
        <v>59.5561458823545</v>
      </c>
      <c r="J620" s="349">
        <f t="shared" ca="1" si="60"/>
        <v>59.5561458823545</v>
      </c>
    </row>
    <row r="621" spans="1:10">
      <c r="A621" s="184">
        <v>442</v>
      </c>
      <c r="B621" s="190">
        <f t="shared" ca="1" si="61"/>
        <v>0.12086022582312633</v>
      </c>
      <c r="C621" s="190">
        <f t="shared" ca="1" si="62"/>
        <v>5.9522726095105803E-2</v>
      </c>
      <c r="D621" s="190">
        <f t="shared" ca="1" si="63"/>
        <v>2.0040320501011431E-2</v>
      </c>
      <c r="E621" s="190">
        <f t="shared" ca="1" si="64"/>
        <v>2.3882977424550893E-3</v>
      </c>
      <c r="F621" s="189" t="b">
        <f t="shared" ca="1" si="65"/>
        <v>1</v>
      </c>
      <c r="G621" s="188">
        <f ca="1">IF(F621,IFERROR(((('Data Schema'!$C$3*(1+B621)^1)*((1-$I$4-$I$5+E621)*(1-$I$10)+$I$6-$I$11)-('Data Schema'!$C$3*(1+B621)^1-'Data Schema'!$C$3)*$I$12)/(1+C621)^1+(('Data Schema'!$C$3*(1+B621)^2)*((1-$I$4-$I$5+E621)*(1-$I$10)+$I$6-$I$11)-('Data Schema'!$C$3*(1+B621)^2-'Data Schema'!$C$3*(1+B621)^1)*$I$12)/(1+C621)^2+(('Data Schema'!$C$3*(1+B621)^3)*((1-$I$4-$I$5+E621)*(1-$I$10)+$I$6-$I$11)-('Data Schema'!$C$3*(1+B621)^3-'Data Schema'!$C$3*(1+B621)^2)*$I$12)/(1+C621)^3+(('Data Schema'!$C$3*(1+B621)^4)*((1-$I$4-$I$5+E621)*(1-$I$10)+$I$6-$I$11)-('Data Schema'!$C$3*(1+B621)^4-'Data Schema'!$C$3*(1+B621)^3)*$I$12)/(1+C621)^4+(('Data Schema'!$C$3*(1+B621)^5)*((1-$I$4-$I$5+E621)*(1-$I$10)+$I$6-$I$11)-('Data Schema'!$C$3*(1+B621)^5-'Data Schema'!$C$3*(1+B621)^4)*$I$12)/(1+C621)^5+((('Data Schema'!$C$3*(1+B621)^5)*((1-$I$4-$I$5+E621)*(1-$I$10)+$I$6-$I$11)-('Data Schema'!$C$3*(1+B621)^5-'Data Schema'!$C$3*(1+B621)^4)*$I$12)*(1+D621)/(C621-D621))/(1+C621)^5-'Data Schema'!$C$31+'Data Schema'!$C$21)/'Data Schema'!$B$17,0),"INVALID")</f>
        <v>88.980988990593303</v>
      </c>
      <c r="H621" s="189" t="b">
        <f t="shared" ca="1" si="66"/>
        <v>1</v>
      </c>
      <c r="I621" s="188">
        <f t="shared" ca="1" si="67"/>
        <v>88.980988990593303</v>
      </c>
      <c r="J621" s="349">
        <f t="shared" ca="1" si="60"/>
        <v>88.980988990593303</v>
      </c>
    </row>
    <row r="622" spans="1:10">
      <c r="A622" s="185">
        <v>443</v>
      </c>
      <c r="B622" s="190">
        <f t="shared" ca="1" si="61"/>
        <v>0.10096096281414471</v>
      </c>
      <c r="C622" s="190">
        <f t="shared" ca="1" si="62"/>
        <v>5.3446503860778004E-2</v>
      </c>
      <c r="D622" s="190">
        <f t="shared" ca="1" si="63"/>
        <v>2.7167235644383482E-2</v>
      </c>
      <c r="E622" s="190">
        <f t="shared" ca="1" si="64"/>
        <v>-7.2387038539833094E-3</v>
      </c>
      <c r="F622" s="189" t="b">
        <f t="shared" ca="1" si="65"/>
        <v>1</v>
      </c>
      <c r="G622" s="188">
        <f ca="1">IF(F622,IFERROR(((('Data Schema'!$C$3*(1+B622)^1)*((1-$I$4-$I$5+E622)*(1-$I$10)+$I$6-$I$11)-('Data Schema'!$C$3*(1+B622)^1-'Data Schema'!$C$3)*$I$12)/(1+C622)^1+(('Data Schema'!$C$3*(1+B622)^2)*((1-$I$4-$I$5+E622)*(1-$I$10)+$I$6-$I$11)-('Data Schema'!$C$3*(1+B622)^2-'Data Schema'!$C$3*(1+B622)^1)*$I$12)/(1+C622)^2+(('Data Schema'!$C$3*(1+B622)^3)*((1-$I$4-$I$5+E622)*(1-$I$10)+$I$6-$I$11)-('Data Schema'!$C$3*(1+B622)^3-'Data Schema'!$C$3*(1+B622)^2)*$I$12)/(1+C622)^3+(('Data Schema'!$C$3*(1+B622)^4)*((1-$I$4-$I$5+E622)*(1-$I$10)+$I$6-$I$11)-('Data Schema'!$C$3*(1+B622)^4-'Data Schema'!$C$3*(1+B622)^3)*$I$12)/(1+C622)^4+(('Data Schema'!$C$3*(1+B622)^5)*((1-$I$4-$I$5+E622)*(1-$I$10)+$I$6-$I$11)-('Data Schema'!$C$3*(1+B622)^5-'Data Schema'!$C$3*(1+B622)^4)*$I$12)/(1+C622)^5+((('Data Schema'!$C$3*(1+B622)^5)*((1-$I$4-$I$5+E622)*(1-$I$10)+$I$6-$I$11)-('Data Schema'!$C$3*(1+B622)^5-'Data Schema'!$C$3*(1+B622)^4)*$I$12)*(1+D622)/(C622-D622))/(1+C622)^5-'Data Schema'!$C$31+'Data Schema'!$C$21)/'Data Schema'!$B$17,0),"INVALID")</f>
        <v>89.726393108569511</v>
      </c>
      <c r="H622" s="189" t="b">
        <f t="shared" ca="1" si="66"/>
        <v>1</v>
      </c>
      <c r="I622" s="188">
        <f t="shared" ca="1" si="67"/>
        <v>89.726393108569511</v>
      </c>
      <c r="J622" s="349">
        <f t="shared" ca="1" si="60"/>
        <v>89.726393108569511</v>
      </c>
    </row>
    <row r="623" spans="1:10">
      <c r="A623" s="184">
        <v>444</v>
      </c>
      <c r="B623" s="190">
        <f t="shared" ca="1" si="61"/>
        <v>4.0541688070207388E-2</v>
      </c>
      <c r="C623" s="190">
        <f t="shared" ca="1" si="62"/>
        <v>4.0701358235575816E-2</v>
      </c>
      <c r="D623" s="190">
        <f t="shared" ca="1" si="63"/>
        <v>2.6440929259283145E-2</v>
      </c>
      <c r="E623" s="190">
        <f t="shared" ca="1" si="64"/>
        <v>3.3763816117758083E-3</v>
      </c>
      <c r="F623" s="189" t="b">
        <f t="shared" ca="1" si="65"/>
        <v>0</v>
      </c>
      <c r="G623" s="188" t="str">
        <f ca="1">IF(F623,IFERROR(((('Data Schema'!$C$3*(1+B623)^1)*((1-$I$4-$I$5+E623)*(1-$I$10)+$I$6-$I$11)-('Data Schema'!$C$3*(1+B623)^1-'Data Schema'!$C$3)*$I$12)/(1+C623)^1+(('Data Schema'!$C$3*(1+B623)^2)*((1-$I$4-$I$5+E623)*(1-$I$10)+$I$6-$I$11)-('Data Schema'!$C$3*(1+B623)^2-'Data Schema'!$C$3*(1+B623)^1)*$I$12)/(1+C623)^2+(('Data Schema'!$C$3*(1+B623)^3)*((1-$I$4-$I$5+E623)*(1-$I$10)+$I$6-$I$11)-('Data Schema'!$C$3*(1+B623)^3-'Data Schema'!$C$3*(1+B623)^2)*$I$12)/(1+C623)^3+(('Data Schema'!$C$3*(1+B623)^4)*((1-$I$4-$I$5+E623)*(1-$I$10)+$I$6-$I$11)-('Data Schema'!$C$3*(1+B623)^4-'Data Schema'!$C$3*(1+B623)^3)*$I$12)/(1+C623)^4+(('Data Schema'!$C$3*(1+B623)^5)*((1-$I$4-$I$5+E623)*(1-$I$10)+$I$6-$I$11)-('Data Schema'!$C$3*(1+B623)^5-'Data Schema'!$C$3*(1+B623)^4)*$I$12)/(1+C623)^5+((('Data Schema'!$C$3*(1+B623)^5)*((1-$I$4-$I$5+E623)*(1-$I$10)+$I$6-$I$11)-('Data Schema'!$C$3*(1+B623)^5-'Data Schema'!$C$3*(1+B623)^4)*$I$12)*(1+D623)/(C623-D623))/(1+C623)^5-'Data Schema'!$C$31+'Data Schema'!$C$21)/'Data Schema'!$B$17,0),"INVALID")</f>
        <v>INVALID</v>
      </c>
      <c r="H623" s="189" t="b">
        <f t="shared" ca="1" si="66"/>
        <v>0</v>
      </c>
      <c r="I623" s="188" t="str">
        <f t="shared" ca="1" si="67"/>
        <v/>
      </c>
      <c r="J623" s="349" t="str">
        <f t="shared" ca="1" si="60"/>
        <v/>
      </c>
    </row>
    <row r="624" spans="1:10">
      <c r="A624" s="185">
        <v>445</v>
      </c>
      <c r="B624" s="190">
        <f t="shared" ca="1" si="61"/>
        <v>9.0372631794964242E-2</v>
      </c>
      <c r="C624" s="190">
        <f t="shared" ca="1" si="62"/>
        <v>7.5245828342158164E-2</v>
      </c>
      <c r="D624" s="190">
        <f t="shared" ca="1" si="63"/>
        <v>2.7729739906733365E-2</v>
      </c>
      <c r="E624" s="190">
        <f t="shared" ca="1" si="64"/>
        <v>-3.9751070350362329E-3</v>
      </c>
      <c r="F624" s="189" t="b">
        <f t="shared" ca="1" si="65"/>
        <v>1</v>
      </c>
      <c r="G624" s="188">
        <f ca="1">IF(F624,IFERROR(((('Data Schema'!$C$3*(1+B624)^1)*((1-$I$4-$I$5+E624)*(1-$I$10)+$I$6-$I$11)-('Data Schema'!$C$3*(1+B624)^1-'Data Schema'!$C$3)*$I$12)/(1+C624)^1+(('Data Schema'!$C$3*(1+B624)^2)*((1-$I$4-$I$5+E624)*(1-$I$10)+$I$6-$I$11)-('Data Schema'!$C$3*(1+B624)^2-'Data Schema'!$C$3*(1+B624)^1)*$I$12)/(1+C624)^2+(('Data Schema'!$C$3*(1+B624)^3)*((1-$I$4-$I$5+E624)*(1-$I$10)+$I$6-$I$11)-('Data Schema'!$C$3*(1+B624)^3-'Data Schema'!$C$3*(1+B624)^2)*$I$12)/(1+C624)^3+(('Data Schema'!$C$3*(1+B624)^4)*((1-$I$4-$I$5+E624)*(1-$I$10)+$I$6-$I$11)-('Data Schema'!$C$3*(1+B624)^4-'Data Schema'!$C$3*(1+B624)^3)*$I$12)/(1+C624)^4+(('Data Schema'!$C$3*(1+B624)^5)*((1-$I$4-$I$5+E624)*(1-$I$10)+$I$6-$I$11)-('Data Schema'!$C$3*(1+B624)^5-'Data Schema'!$C$3*(1+B624)^4)*$I$12)/(1+C624)^5+((('Data Schema'!$C$3*(1+B624)^5)*((1-$I$4-$I$5+E624)*(1-$I$10)+$I$6-$I$11)-('Data Schema'!$C$3*(1+B624)^5-'Data Schema'!$C$3*(1+B624)^4)*$I$12)*(1+D624)/(C624-D624))/(1+C624)^5-'Data Schema'!$C$31+'Data Schema'!$C$21)/'Data Schema'!$B$17,0),"INVALID")</f>
        <v>50.07928069775317</v>
      </c>
      <c r="H624" s="189" t="b">
        <f t="shared" ca="1" si="66"/>
        <v>1</v>
      </c>
      <c r="I624" s="188">
        <f t="shared" ca="1" si="67"/>
        <v>50.07928069775317</v>
      </c>
      <c r="J624" s="349">
        <f t="shared" ca="1" si="60"/>
        <v>50.07928069775317</v>
      </c>
    </row>
    <row r="625" spans="1:10">
      <c r="A625" s="184">
        <v>446</v>
      </c>
      <c r="B625" s="190">
        <f t="shared" ca="1" si="61"/>
        <v>0.10605516157348654</v>
      </c>
      <c r="C625" s="190">
        <f t="shared" ca="1" si="62"/>
        <v>6.2704427173998156E-2</v>
      </c>
      <c r="D625" s="190">
        <f t="shared" ca="1" si="63"/>
        <v>2.5078100352173376E-2</v>
      </c>
      <c r="E625" s="190">
        <f t="shared" ca="1" si="64"/>
        <v>1.1811441813705947E-2</v>
      </c>
      <c r="F625" s="189" t="b">
        <f t="shared" ca="1" si="65"/>
        <v>1</v>
      </c>
      <c r="G625" s="188">
        <f ca="1">IF(F625,IFERROR(((('Data Schema'!$C$3*(1+B625)^1)*((1-$I$4-$I$5+E625)*(1-$I$10)+$I$6-$I$11)-('Data Schema'!$C$3*(1+B625)^1-'Data Schema'!$C$3)*$I$12)/(1+C625)^1+(('Data Schema'!$C$3*(1+B625)^2)*((1-$I$4-$I$5+E625)*(1-$I$10)+$I$6-$I$11)-('Data Schema'!$C$3*(1+B625)^2-'Data Schema'!$C$3*(1+B625)^1)*$I$12)/(1+C625)^2+(('Data Schema'!$C$3*(1+B625)^3)*((1-$I$4-$I$5+E625)*(1-$I$10)+$I$6-$I$11)-('Data Schema'!$C$3*(1+B625)^3-'Data Schema'!$C$3*(1+B625)^2)*$I$12)/(1+C625)^3+(('Data Schema'!$C$3*(1+B625)^4)*((1-$I$4-$I$5+E625)*(1-$I$10)+$I$6-$I$11)-('Data Schema'!$C$3*(1+B625)^4-'Data Schema'!$C$3*(1+B625)^3)*$I$12)/(1+C625)^4+(('Data Schema'!$C$3*(1+B625)^5)*((1-$I$4-$I$5+E625)*(1-$I$10)+$I$6-$I$11)-('Data Schema'!$C$3*(1+B625)^5-'Data Schema'!$C$3*(1+B625)^4)*$I$12)/(1+C625)^5+((('Data Schema'!$C$3*(1+B625)^5)*((1-$I$4-$I$5+E625)*(1-$I$10)+$I$6-$I$11)-('Data Schema'!$C$3*(1+B625)^5-'Data Schema'!$C$3*(1+B625)^4)*$I$12)*(1+D625)/(C625-D625))/(1+C625)^5-'Data Schema'!$C$31+'Data Schema'!$C$21)/'Data Schema'!$B$17,0),"INVALID")</f>
        <v>111.27084095436939</v>
      </c>
      <c r="H625" s="189" t="b">
        <f t="shared" ca="1" si="66"/>
        <v>1</v>
      </c>
      <c r="I625" s="188">
        <f t="shared" ca="1" si="67"/>
        <v>111.27084095436939</v>
      </c>
      <c r="J625" s="349">
        <f t="shared" ca="1" si="60"/>
        <v>111.27084095436939</v>
      </c>
    </row>
    <row r="626" spans="1:10">
      <c r="A626" s="185">
        <v>447</v>
      </c>
      <c r="B626" s="190">
        <f t="shared" ca="1" si="61"/>
        <v>8.1625801154665958E-2</v>
      </c>
      <c r="C626" s="190">
        <f t="shared" ca="1" si="62"/>
        <v>5.1318819077379146E-2</v>
      </c>
      <c r="D626" s="190">
        <f t="shared" ca="1" si="63"/>
        <v>2.9057697824936293E-2</v>
      </c>
      <c r="E626" s="190">
        <f t="shared" ca="1" si="64"/>
        <v>-1.9282522026036922E-2</v>
      </c>
      <c r="F626" s="189" t="b">
        <f t="shared" ca="1" si="65"/>
        <v>1</v>
      </c>
      <c r="G626" s="188">
        <f ca="1">IF(F626,IFERROR(((('Data Schema'!$C$3*(1+B626)^1)*((1-$I$4-$I$5+E626)*(1-$I$10)+$I$6-$I$11)-('Data Schema'!$C$3*(1+B626)^1-'Data Schema'!$C$3)*$I$12)/(1+C626)^1+(('Data Schema'!$C$3*(1+B626)^2)*((1-$I$4-$I$5+E626)*(1-$I$10)+$I$6-$I$11)-('Data Schema'!$C$3*(1+B626)^2-'Data Schema'!$C$3*(1+B626)^1)*$I$12)/(1+C626)^2+(('Data Schema'!$C$3*(1+B626)^3)*((1-$I$4-$I$5+E626)*(1-$I$10)+$I$6-$I$11)-('Data Schema'!$C$3*(1+B626)^3-'Data Schema'!$C$3*(1+B626)^2)*$I$12)/(1+C626)^3+(('Data Schema'!$C$3*(1+B626)^4)*((1-$I$4-$I$5+E626)*(1-$I$10)+$I$6-$I$11)-('Data Schema'!$C$3*(1+B626)^4-'Data Schema'!$C$3*(1+B626)^3)*$I$12)/(1+C626)^4+(('Data Schema'!$C$3*(1+B626)^5)*((1-$I$4-$I$5+E626)*(1-$I$10)+$I$6-$I$11)-('Data Schema'!$C$3*(1+B626)^5-'Data Schema'!$C$3*(1+B626)^4)*$I$12)/(1+C626)^5+((('Data Schema'!$C$3*(1+B626)^5)*((1-$I$4-$I$5+E626)*(1-$I$10)+$I$6-$I$11)-('Data Schema'!$C$3*(1+B626)^5-'Data Schema'!$C$3*(1+B626)^4)*$I$12)*(1+D626)/(C626-D626))/(1+C626)^5-'Data Schema'!$C$31+'Data Schema'!$C$21)/'Data Schema'!$B$17,0),"INVALID")</f>
        <v>51.866081414395339</v>
      </c>
      <c r="H626" s="189" t="b">
        <f t="shared" ca="1" si="66"/>
        <v>1</v>
      </c>
      <c r="I626" s="188">
        <f t="shared" ca="1" si="67"/>
        <v>51.866081414395339</v>
      </c>
      <c r="J626" s="349">
        <f t="shared" ca="1" si="60"/>
        <v>51.866081414395339</v>
      </c>
    </row>
    <row r="627" spans="1:10">
      <c r="A627" s="184">
        <v>448</v>
      </c>
      <c r="B627" s="190">
        <f t="shared" ca="1" si="61"/>
        <v>7.7348640668708613E-2</v>
      </c>
      <c r="C627" s="190">
        <f t="shared" ca="1" si="62"/>
        <v>6.1100161867455517E-2</v>
      </c>
      <c r="D627" s="190">
        <f t="shared" ca="1" si="63"/>
        <v>1.6869923812533695E-2</v>
      </c>
      <c r="E627" s="190">
        <f t="shared" ca="1" si="64"/>
        <v>2.5114361719410595E-2</v>
      </c>
      <c r="F627" s="189" t="b">
        <f t="shared" ca="1" si="65"/>
        <v>1</v>
      </c>
      <c r="G627" s="188">
        <f ca="1">IF(F627,IFERROR(((('Data Schema'!$C$3*(1+B627)^1)*((1-$I$4-$I$5+E627)*(1-$I$10)+$I$6-$I$11)-('Data Schema'!$C$3*(1+B627)^1-'Data Schema'!$C$3)*$I$12)/(1+C627)^1+(('Data Schema'!$C$3*(1+B627)^2)*((1-$I$4-$I$5+E627)*(1-$I$10)+$I$6-$I$11)-('Data Schema'!$C$3*(1+B627)^2-'Data Schema'!$C$3*(1+B627)^1)*$I$12)/(1+C627)^2+(('Data Schema'!$C$3*(1+B627)^3)*((1-$I$4-$I$5+E627)*(1-$I$10)+$I$6-$I$11)-('Data Schema'!$C$3*(1+B627)^3-'Data Schema'!$C$3*(1+B627)^2)*$I$12)/(1+C627)^3+(('Data Schema'!$C$3*(1+B627)^4)*((1-$I$4-$I$5+E627)*(1-$I$10)+$I$6-$I$11)-('Data Schema'!$C$3*(1+B627)^4-'Data Schema'!$C$3*(1+B627)^3)*$I$12)/(1+C627)^4+(('Data Schema'!$C$3*(1+B627)^5)*((1-$I$4-$I$5+E627)*(1-$I$10)+$I$6-$I$11)-('Data Schema'!$C$3*(1+B627)^5-'Data Schema'!$C$3*(1+B627)^4)*$I$12)/(1+C627)^5+((('Data Schema'!$C$3*(1+B627)^5)*((1-$I$4-$I$5+E627)*(1-$I$10)+$I$6-$I$11)-('Data Schema'!$C$3*(1+B627)^5-'Data Schema'!$C$3*(1+B627)^4)*$I$12)*(1+D627)/(C627-D627))/(1+C627)^5-'Data Schema'!$C$31+'Data Schema'!$C$21)/'Data Schema'!$B$17,0),"INVALID")</f>
        <v>112.21368880244196</v>
      </c>
      <c r="H627" s="189" t="b">
        <f t="shared" ca="1" si="66"/>
        <v>1</v>
      </c>
      <c r="I627" s="188">
        <f t="shared" ca="1" si="67"/>
        <v>112.21368880244196</v>
      </c>
      <c r="J627" s="349">
        <f t="shared" ca="1" si="60"/>
        <v>112.21368880244196</v>
      </c>
    </row>
    <row r="628" spans="1:10">
      <c r="A628" s="185">
        <v>449</v>
      </c>
      <c r="B628" s="190">
        <f t="shared" ca="1" si="61"/>
        <v>8.4643003941475767E-2</v>
      </c>
      <c r="C628" s="190">
        <f t="shared" ca="1" si="62"/>
        <v>4.9813368110910715E-2</v>
      </c>
      <c r="D628" s="190">
        <f t="shared" ca="1" si="63"/>
        <v>3.2641490300132678E-2</v>
      </c>
      <c r="E628" s="190">
        <f t="shared" ca="1" si="64"/>
        <v>1.9514477010491927E-3</v>
      </c>
      <c r="F628" s="189" t="b">
        <f t="shared" ca="1" si="65"/>
        <v>1</v>
      </c>
      <c r="G628" s="188">
        <f ca="1">IF(F628,IFERROR(((('Data Schema'!$C$3*(1+B628)^1)*((1-$I$4-$I$5+E628)*(1-$I$10)+$I$6-$I$11)-('Data Schema'!$C$3*(1+B628)^1-'Data Schema'!$C$3)*$I$12)/(1+C628)^1+(('Data Schema'!$C$3*(1+B628)^2)*((1-$I$4-$I$5+E628)*(1-$I$10)+$I$6-$I$11)-('Data Schema'!$C$3*(1+B628)^2-'Data Schema'!$C$3*(1+B628)^1)*$I$12)/(1+C628)^2+(('Data Schema'!$C$3*(1+B628)^3)*((1-$I$4-$I$5+E628)*(1-$I$10)+$I$6-$I$11)-('Data Schema'!$C$3*(1+B628)^3-'Data Schema'!$C$3*(1+B628)^2)*$I$12)/(1+C628)^3+(('Data Schema'!$C$3*(1+B628)^4)*((1-$I$4-$I$5+E628)*(1-$I$10)+$I$6-$I$11)-('Data Schema'!$C$3*(1+B628)^4-'Data Schema'!$C$3*(1+B628)^3)*$I$12)/(1+C628)^4+(('Data Schema'!$C$3*(1+B628)^5)*((1-$I$4-$I$5+E628)*(1-$I$10)+$I$6-$I$11)-('Data Schema'!$C$3*(1+B628)^5-'Data Schema'!$C$3*(1+B628)^4)*$I$12)/(1+C628)^5+((('Data Schema'!$C$3*(1+B628)^5)*((1-$I$4-$I$5+E628)*(1-$I$10)+$I$6-$I$11)-('Data Schema'!$C$3*(1+B628)^5-'Data Schema'!$C$3*(1+B628)^4)*$I$12)*(1+D628)/(C628-D628))/(1+C628)^5-'Data Schema'!$C$31+'Data Schema'!$C$21)/'Data Schema'!$B$17,0),"INVALID")</f>
        <v>177.19259712895445</v>
      </c>
      <c r="H628" s="189" t="b">
        <f t="shared" ca="1" si="66"/>
        <v>1</v>
      </c>
      <c r="I628" s="188">
        <f t="shared" ca="1" si="67"/>
        <v>177.19259712895445</v>
      </c>
      <c r="J628" s="349">
        <f t="shared" ref="J628:J691" ca="1" si="68">IF(AND(F628=TRUE,H628=TRUE,ISNUMBER(G628),G628&gt;=$B$153,G628&lt;=$B$154),G628,"")</f>
        <v>177.19259712895445</v>
      </c>
    </row>
    <row r="629" spans="1:10">
      <c r="A629" s="184">
        <v>450</v>
      </c>
      <c r="B629" s="190">
        <f t="shared" ref="B629:B692" ca="1" si="69">MAX($D$139,MIN($E$139,NORMINV(RAND(),$B$139,$C$139)))</f>
        <v>9.9945576554195226E-2</v>
      </c>
      <c r="C629" s="190">
        <f t="shared" ref="C629:C692" ca="1" si="70">MAX($D$140,MIN($E$140,NORMINV(RAND(),$B$140,$C$140)))</f>
        <v>5.3581017962877397E-2</v>
      </c>
      <c r="D629" s="190">
        <f t="shared" ref="D629:D692" ca="1" si="71">MAX($D$141,MIN($E$141,NORMINV(RAND(),$B$141,$C$141)))</f>
        <v>3.1418491846455725E-2</v>
      </c>
      <c r="E629" s="190">
        <f t="shared" ref="E629:E692" ca="1" si="72">MAX($D$142,MIN($E$142,NORMINV(RAND(),$B$142,$C$142)))</f>
        <v>-5.3091227916833364E-3</v>
      </c>
      <c r="F629" s="189" t="b">
        <f t="shared" ref="F629:F692" ca="1" si="73">C629&gt;D629+$B$144</f>
        <v>1</v>
      </c>
      <c r="G629" s="188">
        <f ca="1">IF(F629,IFERROR(((('Data Schema'!$C$3*(1+B629)^1)*((1-$I$4-$I$5+E629)*(1-$I$10)+$I$6-$I$11)-('Data Schema'!$C$3*(1+B629)^1-'Data Schema'!$C$3)*$I$12)/(1+C629)^1+(('Data Schema'!$C$3*(1+B629)^2)*((1-$I$4-$I$5+E629)*(1-$I$10)+$I$6-$I$11)-('Data Schema'!$C$3*(1+B629)^2-'Data Schema'!$C$3*(1+B629)^1)*$I$12)/(1+C629)^2+(('Data Schema'!$C$3*(1+B629)^3)*((1-$I$4-$I$5+E629)*(1-$I$10)+$I$6-$I$11)-('Data Schema'!$C$3*(1+B629)^3-'Data Schema'!$C$3*(1+B629)^2)*$I$12)/(1+C629)^3+(('Data Schema'!$C$3*(1+B629)^4)*((1-$I$4-$I$5+E629)*(1-$I$10)+$I$6-$I$11)-('Data Schema'!$C$3*(1+B629)^4-'Data Schema'!$C$3*(1+B629)^3)*$I$12)/(1+C629)^4+(('Data Schema'!$C$3*(1+B629)^5)*((1-$I$4-$I$5+E629)*(1-$I$10)+$I$6-$I$11)-('Data Schema'!$C$3*(1+B629)^5-'Data Schema'!$C$3*(1+B629)^4)*$I$12)/(1+C629)^5+((('Data Schema'!$C$3*(1+B629)^5)*((1-$I$4-$I$5+E629)*(1-$I$10)+$I$6-$I$11)-('Data Schema'!$C$3*(1+B629)^5-'Data Schema'!$C$3*(1+B629)^4)*$I$12)*(1+D629)/(C629-D629))/(1+C629)^5-'Data Schema'!$C$31+'Data Schema'!$C$21)/'Data Schema'!$B$17,0),"INVALID")</f>
        <v>113.9170760543733</v>
      </c>
      <c r="H629" s="189" t="b">
        <f t="shared" ref="H629:H692" ca="1" si="74">AND(ISNUMBER(G629),G629&gt;$F$29*$B$145,G629&lt;$F$29*$B$146)</f>
        <v>1</v>
      </c>
      <c r="I629" s="188">
        <f t="shared" ref="I629:I692" ca="1" si="75">IF(AND(F629=TRUE,H629=TRUE),G629,"")</f>
        <v>113.9170760543733</v>
      </c>
      <c r="J629" s="349">
        <f t="shared" ca="1" si="68"/>
        <v>113.9170760543733</v>
      </c>
    </row>
    <row r="630" spans="1:10">
      <c r="A630" s="185">
        <v>451</v>
      </c>
      <c r="B630" s="190">
        <f t="shared" ca="1" si="69"/>
        <v>0.11309909993661173</v>
      </c>
      <c r="C630" s="190">
        <f t="shared" ca="1" si="70"/>
        <v>5.2362383050801875E-2</v>
      </c>
      <c r="D630" s="190">
        <f t="shared" ca="1" si="71"/>
        <v>2.6460880850361974E-2</v>
      </c>
      <c r="E630" s="190">
        <f t="shared" ca="1" si="72"/>
        <v>2.5125707522035811E-2</v>
      </c>
      <c r="F630" s="189" t="b">
        <f t="shared" ca="1" si="73"/>
        <v>1</v>
      </c>
      <c r="G630" s="188">
        <f ca="1">IF(F630,IFERROR(((('Data Schema'!$C$3*(1+B630)^1)*((1-$I$4-$I$5+E630)*(1-$I$10)+$I$6-$I$11)-('Data Schema'!$C$3*(1+B630)^1-'Data Schema'!$C$3)*$I$12)/(1+C630)^1+(('Data Schema'!$C$3*(1+B630)^2)*((1-$I$4-$I$5+E630)*(1-$I$10)+$I$6-$I$11)-('Data Schema'!$C$3*(1+B630)^2-'Data Schema'!$C$3*(1+B630)^1)*$I$12)/(1+C630)^2+(('Data Schema'!$C$3*(1+B630)^3)*((1-$I$4-$I$5+E630)*(1-$I$10)+$I$6-$I$11)-('Data Schema'!$C$3*(1+B630)^3-'Data Schema'!$C$3*(1+B630)^2)*$I$12)/(1+C630)^3+(('Data Schema'!$C$3*(1+B630)^4)*((1-$I$4-$I$5+E630)*(1-$I$10)+$I$6-$I$11)-('Data Schema'!$C$3*(1+B630)^4-'Data Schema'!$C$3*(1+B630)^3)*$I$12)/(1+C630)^4+(('Data Schema'!$C$3*(1+B630)^5)*((1-$I$4-$I$5+E630)*(1-$I$10)+$I$6-$I$11)-('Data Schema'!$C$3*(1+B630)^5-'Data Schema'!$C$3*(1+B630)^4)*$I$12)/(1+C630)^5+((('Data Schema'!$C$3*(1+B630)^5)*((1-$I$4-$I$5+E630)*(1-$I$10)+$I$6-$I$11)-('Data Schema'!$C$3*(1+B630)^5-'Data Schema'!$C$3*(1+B630)^4)*$I$12)*(1+D630)/(C630-D630))/(1+C630)^5-'Data Schema'!$C$31+'Data Schema'!$C$21)/'Data Schema'!$B$17,0),"INVALID")</f>
        <v>221.73222227311658</v>
      </c>
      <c r="H630" s="189" t="b">
        <f t="shared" ca="1" si="74"/>
        <v>1</v>
      </c>
      <c r="I630" s="188">
        <f t="shared" ca="1" si="75"/>
        <v>221.73222227311658</v>
      </c>
      <c r="J630" s="349">
        <f t="shared" ca="1" si="68"/>
        <v>221.73222227311658</v>
      </c>
    </row>
    <row r="631" spans="1:10">
      <c r="A631" s="184">
        <v>452</v>
      </c>
      <c r="B631" s="190">
        <f t="shared" ca="1" si="69"/>
        <v>0.12609341150809852</v>
      </c>
      <c r="C631" s="190">
        <f t="shared" ca="1" si="70"/>
        <v>6.5309248749015697E-2</v>
      </c>
      <c r="D631" s="190">
        <f t="shared" ca="1" si="71"/>
        <v>2.990682046338354E-2</v>
      </c>
      <c r="E631" s="190">
        <f t="shared" ca="1" si="72"/>
        <v>3.328427760225286E-2</v>
      </c>
      <c r="F631" s="189" t="b">
        <f t="shared" ca="1" si="73"/>
        <v>1</v>
      </c>
      <c r="G631" s="188">
        <f ca="1">IF(F631,IFERROR(((('Data Schema'!$C$3*(1+B631)^1)*((1-$I$4-$I$5+E631)*(1-$I$10)+$I$6-$I$11)-('Data Schema'!$C$3*(1+B631)^1-'Data Schema'!$C$3)*$I$12)/(1+C631)^1+(('Data Schema'!$C$3*(1+B631)^2)*((1-$I$4-$I$5+E631)*(1-$I$10)+$I$6-$I$11)-('Data Schema'!$C$3*(1+B631)^2-'Data Schema'!$C$3*(1+B631)^1)*$I$12)/(1+C631)^2+(('Data Schema'!$C$3*(1+B631)^3)*((1-$I$4-$I$5+E631)*(1-$I$10)+$I$6-$I$11)-('Data Schema'!$C$3*(1+B631)^3-'Data Schema'!$C$3*(1+B631)^2)*$I$12)/(1+C631)^3+(('Data Schema'!$C$3*(1+B631)^4)*((1-$I$4-$I$5+E631)*(1-$I$10)+$I$6-$I$11)-('Data Schema'!$C$3*(1+B631)^4-'Data Schema'!$C$3*(1+B631)^3)*$I$12)/(1+C631)^4+(('Data Schema'!$C$3*(1+B631)^5)*((1-$I$4-$I$5+E631)*(1-$I$10)+$I$6-$I$11)-('Data Schema'!$C$3*(1+B631)^5-'Data Schema'!$C$3*(1+B631)^4)*$I$12)/(1+C631)^5+((('Data Schema'!$C$3*(1+B631)^5)*((1-$I$4-$I$5+E631)*(1-$I$10)+$I$6-$I$11)-('Data Schema'!$C$3*(1+B631)^5-'Data Schema'!$C$3*(1+B631)^4)*$I$12)*(1+D631)/(C631-D631))/(1+C631)^5-'Data Schema'!$C$31+'Data Schema'!$C$21)/'Data Schema'!$B$17,0),"INVALID")</f>
        <v>189.86262119629649</v>
      </c>
      <c r="H631" s="189" t="b">
        <f t="shared" ca="1" si="74"/>
        <v>1</v>
      </c>
      <c r="I631" s="188">
        <f t="shared" ca="1" si="75"/>
        <v>189.86262119629649</v>
      </c>
      <c r="J631" s="349">
        <f t="shared" ca="1" si="68"/>
        <v>189.86262119629649</v>
      </c>
    </row>
    <row r="632" spans="1:10">
      <c r="A632" s="185">
        <v>453</v>
      </c>
      <c r="B632" s="190">
        <f t="shared" ca="1" si="69"/>
        <v>7.7513216030638904E-2</v>
      </c>
      <c r="C632" s="190">
        <f t="shared" ca="1" si="70"/>
        <v>5.4302764930755872E-2</v>
      </c>
      <c r="D632" s="190">
        <f t="shared" ca="1" si="71"/>
        <v>2.5937601018882928E-2</v>
      </c>
      <c r="E632" s="190">
        <f t="shared" ca="1" si="72"/>
        <v>-1.092395016898603E-2</v>
      </c>
      <c r="F632" s="189" t="b">
        <f t="shared" ca="1" si="73"/>
        <v>1</v>
      </c>
      <c r="G632" s="188">
        <f ca="1">IF(F632,IFERROR(((('Data Schema'!$C$3*(1+B632)^1)*((1-$I$4-$I$5+E632)*(1-$I$10)+$I$6-$I$11)-('Data Schema'!$C$3*(1+B632)^1-'Data Schema'!$C$3)*$I$12)/(1+C632)^1+(('Data Schema'!$C$3*(1+B632)^2)*((1-$I$4-$I$5+E632)*(1-$I$10)+$I$6-$I$11)-('Data Schema'!$C$3*(1+B632)^2-'Data Schema'!$C$3*(1+B632)^1)*$I$12)/(1+C632)^2+(('Data Schema'!$C$3*(1+B632)^3)*((1-$I$4-$I$5+E632)*(1-$I$10)+$I$6-$I$11)-('Data Schema'!$C$3*(1+B632)^3-'Data Schema'!$C$3*(1+B632)^2)*$I$12)/(1+C632)^3+(('Data Schema'!$C$3*(1+B632)^4)*((1-$I$4-$I$5+E632)*(1-$I$10)+$I$6-$I$11)-('Data Schema'!$C$3*(1+B632)^4-'Data Schema'!$C$3*(1+B632)^3)*$I$12)/(1+C632)^4+(('Data Schema'!$C$3*(1+B632)^5)*((1-$I$4-$I$5+E632)*(1-$I$10)+$I$6-$I$11)-('Data Schema'!$C$3*(1+B632)^5-'Data Schema'!$C$3*(1+B632)^4)*$I$12)/(1+C632)^5+((('Data Schema'!$C$3*(1+B632)^5)*((1-$I$4-$I$5+E632)*(1-$I$10)+$I$6-$I$11)-('Data Schema'!$C$3*(1+B632)^5-'Data Schema'!$C$3*(1+B632)^4)*$I$12)*(1+D632)/(C632-D632))/(1+C632)^5-'Data Schema'!$C$31+'Data Schema'!$C$21)/'Data Schema'!$B$17,0),"INVALID")</f>
        <v>64.504643697216906</v>
      </c>
      <c r="H632" s="189" t="b">
        <f t="shared" ca="1" si="74"/>
        <v>1</v>
      </c>
      <c r="I632" s="188">
        <f t="shared" ca="1" si="75"/>
        <v>64.504643697216906</v>
      </c>
      <c r="J632" s="349">
        <f t="shared" ca="1" si="68"/>
        <v>64.504643697216906</v>
      </c>
    </row>
    <row r="633" spans="1:10">
      <c r="A633" s="184">
        <v>454</v>
      </c>
      <c r="B633" s="190">
        <f t="shared" ca="1" si="69"/>
        <v>0.10842403744941496</v>
      </c>
      <c r="C633" s="190">
        <f t="shared" ca="1" si="70"/>
        <v>3.3915452947752063E-2</v>
      </c>
      <c r="D633" s="190">
        <f t="shared" ca="1" si="71"/>
        <v>2.2083175235784056E-2</v>
      </c>
      <c r="E633" s="190">
        <f t="shared" ca="1" si="72"/>
        <v>-2.9606351159222947E-2</v>
      </c>
      <c r="F633" s="189" t="b">
        <f t="shared" ca="1" si="73"/>
        <v>0</v>
      </c>
      <c r="G633" s="188" t="str">
        <f ca="1">IF(F633,IFERROR(((('Data Schema'!$C$3*(1+B633)^1)*((1-$I$4-$I$5+E633)*(1-$I$10)+$I$6-$I$11)-('Data Schema'!$C$3*(1+B633)^1-'Data Schema'!$C$3)*$I$12)/(1+C633)^1+(('Data Schema'!$C$3*(1+B633)^2)*((1-$I$4-$I$5+E633)*(1-$I$10)+$I$6-$I$11)-('Data Schema'!$C$3*(1+B633)^2-'Data Schema'!$C$3*(1+B633)^1)*$I$12)/(1+C633)^2+(('Data Schema'!$C$3*(1+B633)^3)*((1-$I$4-$I$5+E633)*(1-$I$10)+$I$6-$I$11)-('Data Schema'!$C$3*(1+B633)^3-'Data Schema'!$C$3*(1+B633)^2)*$I$12)/(1+C633)^3+(('Data Schema'!$C$3*(1+B633)^4)*((1-$I$4-$I$5+E633)*(1-$I$10)+$I$6-$I$11)-('Data Schema'!$C$3*(1+B633)^4-'Data Schema'!$C$3*(1+B633)^3)*$I$12)/(1+C633)^4+(('Data Schema'!$C$3*(1+B633)^5)*((1-$I$4-$I$5+E633)*(1-$I$10)+$I$6-$I$11)-('Data Schema'!$C$3*(1+B633)^5-'Data Schema'!$C$3*(1+B633)^4)*$I$12)/(1+C633)^5+((('Data Schema'!$C$3*(1+B633)^5)*((1-$I$4-$I$5+E633)*(1-$I$10)+$I$6-$I$11)-('Data Schema'!$C$3*(1+B633)^5-'Data Schema'!$C$3*(1+B633)^4)*$I$12)*(1+D633)/(C633-D633))/(1+C633)^5-'Data Schema'!$C$31+'Data Schema'!$C$21)/'Data Schema'!$B$17,0),"INVALID")</f>
        <v>INVALID</v>
      </c>
      <c r="H633" s="189" t="b">
        <f t="shared" ca="1" si="74"/>
        <v>0</v>
      </c>
      <c r="I633" s="188" t="str">
        <f t="shared" ca="1" si="75"/>
        <v/>
      </c>
      <c r="J633" s="349" t="str">
        <f t="shared" ca="1" si="68"/>
        <v/>
      </c>
    </row>
    <row r="634" spans="1:10">
      <c r="A634" s="185">
        <v>455</v>
      </c>
      <c r="B634" s="190">
        <f t="shared" ca="1" si="69"/>
        <v>6.4412115017985133E-2</v>
      </c>
      <c r="C634" s="190">
        <f t="shared" ca="1" si="70"/>
        <v>5.5561559602863055E-2</v>
      </c>
      <c r="D634" s="190">
        <f t="shared" ca="1" si="71"/>
        <v>2.2918157568362942E-2</v>
      </c>
      <c r="E634" s="190">
        <f t="shared" ca="1" si="72"/>
        <v>-9.7405073736679306E-3</v>
      </c>
      <c r="F634" s="189" t="b">
        <f t="shared" ca="1" si="73"/>
        <v>1</v>
      </c>
      <c r="G634" s="188">
        <f ca="1">IF(F634,IFERROR(((('Data Schema'!$C$3*(1+B634)^1)*((1-$I$4-$I$5+E634)*(1-$I$10)+$I$6-$I$11)-('Data Schema'!$C$3*(1+B634)^1-'Data Schema'!$C$3)*$I$12)/(1+C634)^1+(('Data Schema'!$C$3*(1+B634)^2)*((1-$I$4-$I$5+E634)*(1-$I$10)+$I$6-$I$11)-('Data Schema'!$C$3*(1+B634)^2-'Data Schema'!$C$3*(1+B634)^1)*$I$12)/(1+C634)^2+(('Data Schema'!$C$3*(1+B634)^3)*((1-$I$4-$I$5+E634)*(1-$I$10)+$I$6-$I$11)-('Data Schema'!$C$3*(1+B634)^3-'Data Schema'!$C$3*(1+B634)^2)*$I$12)/(1+C634)^3+(('Data Schema'!$C$3*(1+B634)^4)*((1-$I$4-$I$5+E634)*(1-$I$10)+$I$6-$I$11)-('Data Schema'!$C$3*(1+B634)^4-'Data Schema'!$C$3*(1+B634)^3)*$I$12)/(1+C634)^4+(('Data Schema'!$C$3*(1+B634)^5)*((1-$I$4-$I$5+E634)*(1-$I$10)+$I$6-$I$11)-('Data Schema'!$C$3*(1+B634)^5-'Data Schema'!$C$3*(1+B634)^4)*$I$12)/(1+C634)^5+((('Data Schema'!$C$3*(1+B634)^5)*((1-$I$4-$I$5+E634)*(1-$I$10)+$I$6-$I$11)-('Data Schema'!$C$3*(1+B634)^5-'Data Schema'!$C$3*(1+B634)^4)*$I$12)*(1+D634)/(C634-D634))/(1+C634)^5-'Data Schema'!$C$31+'Data Schema'!$C$21)/'Data Schema'!$B$17,0),"INVALID")</f>
        <v>55.927954630932469</v>
      </c>
      <c r="H634" s="189" t="b">
        <f t="shared" ca="1" si="74"/>
        <v>1</v>
      </c>
      <c r="I634" s="188">
        <f t="shared" ca="1" si="75"/>
        <v>55.927954630932469</v>
      </c>
      <c r="J634" s="349">
        <f t="shared" ca="1" si="68"/>
        <v>55.927954630932469</v>
      </c>
    </row>
    <row r="635" spans="1:10">
      <c r="A635" s="184">
        <v>456</v>
      </c>
      <c r="B635" s="190">
        <f t="shared" ca="1" si="69"/>
        <v>0.10921748439031498</v>
      </c>
      <c r="C635" s="190">
        <f t="shared" ca="1" si="70"/>
        <v>4.593466183443673E-2</v>
      </c>
      <c r="D635" s="190">
        <f t="shared" ca="1" si="71"/>
        <v>2.6734725536133153E-2</v>
      </c>
      <c r="E635" s="190">
        <f t="shared" ca="1" si="72"/>
        <v>-2.4434750131550449E-2</v>
      </c>
      <c r="F635" s="189" t="b">
        <f t="shared" ca="1" si="73"/>
        <v>1</v>
      </c>
      <c r="G635" s="188">
        <f ca="1">IF(F635,IFERROR(((('Data Schema'!$C$3*(1+B635)^1)*((1-$I$4-$I$5+E635)*(1-$I$10)+$I$6-$I$11)-('Data Schema'!$C$3*(1+B635)^1-'Data Schema'!$C$3)*$I$12)/(1+C635)^1+(('Data Schema'!$C$3*(1+B635)^2)*((1-$I$4-$I$5+E635)*(1-$I$10)+$I$6-$I$11)-('Data Schema'!$C$3*(1+B635)^2-'Data Schema'!$C$3*(1+B635)^1)*$I$12)/(1+C635)^2+(('Data Schema'!$C$3*(1+B635)^3)*((1-$I$4-$I$5+E635)*(1-$I$10)+$I$6-$I$11)-('Data Schema'!$C$3*(1+B635)^3-'Data Schema'!$C$3*(1+B635)^2)*$I$12)/(1+C635)^3+(('Data Schema'!$C$3*(1+B635)^4)*((1-$I$4-$I$5+E635)*(1-$I$10)+$I$6-$I$11)-('Data Schema'!$C$3*(1+B635)^4-'Data Schema'!$C$3*(1+B635)^3)*$I$12)/(1+C635)^4+(('Data Schema'!$C$3*(1+B635)^5)*((1-$I$4-$I$5+E635)*(1-$I$10)+$I$6-$I$11)-('Data Schema'!$C$3*(1+B635)^5-'Data Schema'!$C$3*(1+B635)^4)*$I$12)/(1+C635)^5+((('Data Schema'!$C$3*(1+B635)^5)*((1-$I$4-$I$5+E635)*(1-$I$10)+$I$6-$I$11)-('Data Schema'!$C$3*(1+B635)^5-'Data Schema'!$C$3*(1+B635)^4)*$I$12)*(1+D635)/(C635-D635))/(1+C635)^5-'Data Schema'!$C$31+'Data Schema'!$C$21)/'Data Schema'!$B$17,0),"INVALID")</f>
        <v>41.024015565181635</v>
      </c>
      <c r="H635" s="189" t="b">
        <f t="shared" ca="1" si="74"/>
        <v>1</v>
      </c>
      <c r="I635" s="188">
        <f t="shared" ca="1" si="75"/>
        <v>41.024015565181635</v>
      </c>
      <c r="J635" s="349">
        <f t="shared" ca="1" si="68"/>
        <v>41.024015565181635</v>
      </c>
    </row>
    <row r="636" spans="1:10">
      <c r="A636" s="185">
        <v>457</v>
      </c>
      <c r="B636" s="190">
        <f t="shared" ca="1" si="69"/>
        <v>5.5144069690076507E-2</v>
      </c>
      <c r="C636" s="190">
        <f t="shared" ca="1" si="70"/>
        <v>6.1367396040213226E-2</v>
      </c>
      <c r="D636" s="190">
        <f t="shared" ca="1" si="71"/>
        <v>2.3374165368135143E-2</v>
      </c>
      <c r="E636" s="190">
        <f t="shared" ca="1" si="72"/>
        <v>1.4298429468238517E-2</v>
      </c>
      <c r="F636" s="189" t="b">
        <f t="shared" ca="1" si="73"/>
        <v>1</v>
      </c>
      <c r="G636" s="188">
        <f ca="1">IF(F636,IFERROR(((('Data Schema'!$C$3*(1+B636)^1)*((1-$I$4-$I$5+E636)*(1-$I$10)+$I$6-$I$11)-('Data Schema'!$C$3*(1+B636)^1-'Data Schema'!$C$3)*$I$12)/(1+C636)^1+(('Data Schema'!$C$3*(1+B636)^2)*((1-$I$4-$I$5+E636)*(1-$I$10)+$I$6-$I$11)-('Data Schema'!$C$3*(1+B636)^2-'Data Schema'!$C$3*(1+B636)^1)*$I$12)/(1+C636)^2+(('Data Schema'!$C$3*(1+B636)^3)*((1-$I$4-$I$5+E636)*(1-$I$10)+$I$6-$I$11)-('Data Schema'!$C$3*(1+B636)^3-'Data Schema'!$C$3*(1+B636)^2)*$I$12)/(1+C636)^3+(('Data Schema'!$C$3*(1+B636)^4)*((1-$I$4-$I$5+E636)*(1-$I$10)+$I$6-$I$11)-('Data Schema'!$C$3*(1+B636)^4-'Data Schema'!$C$3*(1+B636)^3)*$I$12)/(1+C636)^4+(('Data Schema'!$C$3*(1+B636)^5)*((1-$I$4-$I$5+E636)*(1-$I$10)+$I$6-$I$11)-('Data Schema'!$C$3*(1+B636)^5-'Data Schema'!$C$3*(1+B636)^4)*$I$12)/(1+C636)^5+((('Data Schema'!$C$3*(1+B636)^5)*((1-$I$4-$I$5+E636)*(1-$I$10)+$I$6-$I$11)-('Data Schema'!$C$3*(1+B636)^5-'Data Schema'!$C$3*(1+B636)^4)*$I$12)*(1+D636)/(C636-D636))/(1+C636)^5-'Data Schema'!$C$31+'Data Schema'!$C$21)/'Data Schema'!$B$17,0),"INVALID")</f>
        <v>94.968898650010402</v>
      </c>
      <c r="H636" s="189" t="b">
        <f t="shared" ca="1" si="74"/>
        <v>1</v>
      </c>
      <c r="I636" s="188">
        <f t="shared" ca="1" si="75"/>
        <v>94.968898650010402</v>
      </c>
      <c r="J636" s="349">
        <f t="shared" ca="1" si="68"/>
        <v>94.968898650010402</v>
      </c>
    </row>
    <row r="637" spans="1:10">
      <c r="A637" s="184">
        <v>458</v>
      </c>
      <c r="B637" s="190">
        <f t="shared" ca="1" si="69"/>
        <v>0.12803060745518652</v>
      </c>
      <c r="C637" s="190">
        <f t="shared" ca="1" si="70"/>
        <v>6.865691406943028E-2</v>
      </c>
      <c r="D637" s="190">
        <f t="shared" ca="1" si="71"/>
        <v>3.0833110530190982E-2</v>
      </c>
      <c r="E637" s="190">
        <f t="shared" ca="1" si="72"/>
        <v>-4.8908837742537284E-3</v>
      </c>
      <c r="F637" s="189" t="b">
        <f t="shared" ca="1" si="73"/>
        <v>1</v>
      </c>
      <c r="G637" s="188">
        <f ca="1">IF(F637,IFERROR(((('Data Schema'!$C$3*(1+B637)^1)*((1-$I$4-$I$5+E637)*(1-$I$10)+$I$6-$I$11)-('Data Schema'!$C$3*(1+B637)^1-'Data Schema'!$C$3)*$I$12)/(1+C637)^1+(('Data Schema'!$C$3*(1+B637)^2)*((1-$I$4-$I$5+E637)*(1-$I$10)+$I$6-$I$11)-('Data Schema'!$C$3*(1+B637)^2-'Data Schema'!$C$3*(1+B637)^1)*$I$12)/(1+C637)^2+(('Data Schema'!$C$3*(1+B637)^3)*((1-$I$4-$I$5+E637)*(1-$I$10)+$I$6-$I$11)-('Data Schema'!$C$3*(1+B637)^3-'Data Schema'!$C$3*(1+B637)^2)*$I$12)/(1+C637)^3+(('Data Schema'!$C$3*(1+B637)^4)*((1-$I$4-$I$5+E637)*(1-$I$10)+$I$6-$I$11)-('Data Schema'!$C$3*(1+B637)^4-'Data Schema'!$C$3*(1+B637)^3)*$I$12)/(1+C637)^4+(('Data Schema'!$C$3*(1+B637)^5)*((1-$I$4-$I$5+E637)*(1-$I$10)+$I$6-$I$11)-('Data Schema'!$C$3*(1+B637)^5-'Data Schema'!$C$3*(1+B637)^4)*$I$12)/(1+C637)^5+((('Data Schema'!$C$3*(1+B637)^5)*((1-$I$4-$I$5+E637)*(1-$I$10)+$I$6-$I$11)-('Data Schema'!$C$3*(1+B637)^5-'Data Schema'!$C$3*(1+B637)^4)*$I$12)*(1+D637)/(C637-D637))/(1+C637)^5-'Data Schema'!$C$31+'Data Schema'!$C$21)/'Data Schema'!$B$17,0),"INVALID")</f>
        <v>71.812358466405684</v>
      </c>
      <c r="H637" s="189" t="b">
        <f t="shared" ca="1" si="74"/>
        <v>1</v>
      </c>
      <c r="I637" s="188">
        <f t="shared" ca="1" si="75"/>
        <v>71.812358466405684</v>
      </c>
      <c r="J637" s="349">
        <f t="shared" ca="1" si="68"/>
        <v>71.812358466405684</v>
      </c>
    </row>
    <row r="638" spans="1:10">
      <c r="A638" s="185">
        <v>459</v>
      </c>
      <c r="B638" s="190">
        <f t="shared" ca="1" si="69"/>
        <v>8.9212909942691682E-2</v>
      </c>
      <c r="C638" s="190">
        <f t="shared" ca="1" si="70"/>
        <v>8.4070855249930257E-2</v>
      </c>
      <c r="D638" s="190">
        <f t="shared" ca="1" si="71"/>
        <v>2.5136044455409092E-2</v>
      </c>
      <c r="E638" s="190">
        <f t="shared" ca="1" si="72"/>
        <v>1.315605703937653E-2</v>
      </c>
      <c r="F638" s="189" t="b">
        <f t="shared" ca="1" si="73"/>
        <v>1</v>
      </c>
      <c r="G638" s="188">
        <f ca="1">IF(F638,IFERROR(((('Data Schema'!$C$3*(1+B638)^1)*((1-$I$4-$I$5+E638)*(1-$I$10)+$I$6-$I$11)-('Data Schema'!$C$3*(1+B638)^1-'Data Schema'!$C$3)*$I$12)/(1+C638)^1+(('Data Schema'!$C$3*(1+B638)^2)*((1-$I$4-$I$5+E638)*(1-$I$10)+$I$6-$I$11)-('Data Schema'!$C$3*(1+B638)^2-'Data Schema'!$C$3*(1+B638)^1)*$I$12)/(1+C638)^2+(('Data Schema'!$C$3*(1+B638)^3)*((1-$I$4-$I$5+E638)*(1-$I$10)+$I$6-$I$11)-('Data Schema'!$C$3*(1+B638)^3-'Data Schema'!$C$3*(1+B638)^2)*$I$12)/(1+C638)^3+(('Data Schema'!$C$3*(1+B638)^4)*((1-$I$4-$I$5+E638)*(1-$I$10)+$I$6-$I$11)-('Data Schema'!$C$3*(1+B638)^4-'Data Schema'!$C$3*(1+B638)^3)*$I$12)/(1+C638)^4+(('Data Schema'!$C$3*(1+B638)^5)*((1-$I$4-$I$5+E638)*(1-$I$10)+$I$6-$I$11)-('Data Schema'!$C$3*(1+B638)^5-'Data Schema'!$C$3*(1+B638)^4)*$I$12)/(1+C638)^5+((('Data Schema'!$C$3*(1+B638)^5)*((1-$I$4-$I$5+E638)*(1-$I$10)+$I$6-$I$11)-('Data Schema'!$C$3*(1+B638)^5-'Data Schema'!$C$3*(1+B638)^4)*$I$12)*(1+D638)/(C638-D638))/(1+C638)^5-'Data Schema'!$C$31+'Data Schema'!$C$21)/'Data Schema'!$B$17,0),"INVALID")</f>
        <v>65.147119857324824</v>
      </c>
      <c r="H638" s="189" t="b">
        <f t="shared" ca="1" si="74"/>
        <v>1</v>
      </c>
      <c r="I638" s="188">
        <f t="shared" ca="1" si="75"/>
        <v>65.147119857324824</v>
      </c>
      <c r="J638" s="349">
        <f t="shared" ca="1" si="68"/>
        <v>65.147119857324824</v>
      </c>
    </row>
    <row r="639" spans="1:10">
      <c r="A639" s="184">
        <v>460</v>
      </c>
      <c r="B639" s="190">
        <f t="shared" ca="1" si="69"/>
        <v>8.2651119744226093E-2</v>
      </c>
      <c r="C639" s="190">
        <f t="shared" ca="1" si="70"/>
        <v>6.9560540392063469E-2</v>
      </c>
      <c r="D639" s="190">
        <f t="shared" ca="1" si="71"/>
        <v>2.8456400499393731E-2</v>
      </c>
      <c r="E639" s="190">
        <f t="shared" ca="1" si="72"/>
        <v>-3.6937254963066067E-4</v>
      </c>
      <c r="F639" s="189" t="b">
        <f t="shared" ca="1" si="73"/>
        <v>1</v>
      </c>
      <c r="G639" s="188">
        <f ca="1">IF(F639,IFERROR(((('Data Schema'!$C$3*(1+B639)^1)*((1-$I$4-$I$5+E639)*(1-$I$10)+$I$6-$I$11)-('Data Schema'!$C$3*(1+B639)^1-'Data Schema'!$C$3)*$I$12)/(1+C639)^1+(('Data Schema'!$C$3*(1+B639)^2)*((1-$I$4-$I$5+E639)*(1-$I$10)+$I$6-$I$11)-('Data Schema'!$C$3*(1+B639)^2-'Data Schema'!$C$3*(1+B639)^1)*$I$12)/(1+C639)^2+(('Data Schema'!$C$3*(1+B639)^3)*((1-$I$4-$I$5+E639)*(1-$I$10)+$I$6-$I$11)-('Data Schema'!$C$3*(1+B639)^3-'Data Schema'!$C$3*(1+B639)^2)*$I$12)/(1+C639)^3+(('Data Schema'!$C$3*(1+B639)^4)*((1-$I$4-$I$5+E639)*(1-$I$10)+$I$6-$I$11)-('Data Schema'!$C$3*(1+B639)^4-'Data Schema'!$C$3*(1+B639)^3)*$I$12)/(1+C639)^4+(('Data Schema'!$C$3*(1+B639)^5)*((1-$I$4-$I$5+E639)*(1-$I$10)+$I$6-$I$11)-('Data Schema'!$C$3*(1+B639)^5-'Data Schema'!$C$3*(1+B639)^4)*$I$12)/(1+C639)^5+((('Data Schema'!$C$3*(1+B639)^5)*((1-$I$4-$I$5+E639)*(1-$I$10)+$I$6-$I$11)-('Data Schema'!$C$3*(1+B639)^5-'Data Schema'!$C$3*(1+B639)^4)*$I$12)*(1+D639)/(C639-D639))/(1+C639)^5-'Data Schema'!$C$31+'Data Schema'!$C$21)/'Data Schema'!$B$17,0),"INVALID")</f>
        <v>64.857585440116154</v>
      </c>
      <c r="H639" s="189" t="b">
        <f t="shared" ca="1" si="74"/>
        <v>1</v>
      </c>
      <c r="I639" s="188">
        <f t="shared" ca="1" si="75"/>
        <v>64.857585440116154</v>
      </c>
      <c r="J639" s="349">
        <f t="shared" ca="1" si="68"/>
        <v>64.857585440116154</v>
      </c>
    </row>
    <row r="640" spans="1:10">
      <c r="A640" s="185">
        <v>461</v>
      </c>
      <c r="B640" s="190">
        <f t="shared" ca="1" si="69"/>
        <v>0.10224035834726355</v>
      </c>
      <c r="C640" s="190">
        <f t="shared" ca="1" si="70"/>
        <v>6.4922828758907758E-2</v>
      </c>
      <c r="D640" s="190">
        <f t="shared" ca="1" si="71"/>
        <v>2.1037921618556683E-2</v>
      </c>
      <c r="E640" s="190">
        <f t="shared" ca="1" si="72"/>
        <v>4.2438166837007411E-3</v>
      </c>
      <c r="F640" s="189" t="b">
        <f t="shared" ca="1" si="73"/>
        <v>1</v>
      </c>
      <c r="G640" s="188">
        <f ca="1">IF(F640,IFERROR(((('Data Schema'!$C$3*(1+B640)^1)*((1-$I$4-$I$5+E640)*(1-$I$10)+$I$6-$I$11)-('Data Schema'!$C$3*(1+B640)^1-'Data Schema'!$C$3)*$I$12)/(1+C640)^1+(('Data Schema'!$C$3*(1+B640)^2)*((1-$I$4-$I$5+E640)*(1-$I$10)+$I$6-$I$11)-('Data Schema'!$C$3*(1+B640)^2-'Data Schema'!$C$3*(1+B640)^1)*$I$12)/(1+C640)^2+(('Data Schema'!$C$3*(1+B640)^3)*((1-$I$4-$I$5+E640)*(1-$I$10)+$I$6-$I$11)-('Data Schema'!$C$3*(1+B640)^3-'Data Schema'!$C$3*(1+B640)^2)*$I$12)/(1+C640)^3+(('Data Schema'!$C$3*(1+B640)^4)*((1-$I$4-$I$5+E640)*(1-$I$10)+$I$6-$I$11)-('Data Schema'!$C$3*(1+B640)^4-'Data Schema'!$C$3*(1+B640)^3)*$I$12)/(1+C640)^4+(('Data Schema'!$C$3*(1+B640)^5)*((1-$I$4-$I$5+E640)*(1-$I$10)+$I$6-$I$11)-('Data Schema'!$C$3*(1+B640)^5-'Data Schema'!$C$3*(1+B640)^4)*$I$12)/(1+C640)^5+((('Data Schema'!$C$3*(1+B640)^5)*((1-$I$4-$I$5+E640)*(1-$I$10)+$I$6-$I$11)-('Data Schema'!$C$3*(1+B640)^5-'Data Schema'!$C$3*(1+B640)^4)*$I$12)*(1+D640)/(C640-D640))/(1+C640)^5-'Data Schema'!$C$31+'Data Schema'!$C$21)/'Data Schema'!$B$17,0),"INVALID")</f>
        <v>77.294202596198303</v>
      </c>
      <c r="H640" s="189" t="b">
        <f t="shared" ca="1" si="74"/>
        <v>1</v>
      </c>
      <c r="I640" s="188">
        <f t="shared" ca="1" si="75"/>
        <v>77.294202596198303</v>
      </c>
      <c r="J640" s="349">
        <f t="shared" ca="1" si="68"/>
        <v>77.294202596198303</v>
      </c>
    </row>
    <row r="641" spans="1:10">
      <c r="A641" s="184">
        <v>462</v>
      </c>
      <c r="B641" s="190">
        <f t="shared" ca="1" si="69"/>
        <v>0.10220535356705596</v>
      </c>
      <c r="C641" s="190">
        <f t="shared" ca="1" si="70"/>
        <v>5.8505808052526774E-2</v>
      </c>
      <c r="D641" s="190">
        <f t="shared" ca="1" si="71"/>
        <v>2.3390884652964086E-2</v>
      </c>
      <c r="E641" s="190">
        <f t="shared" ca="1" si="72"/>
        <v>-2.0992130194661746E-2</v>
      </c>
      <c r="F641" s="189" t="b">
        <f t="shared" ca="1" si="73"/>
        <v>1</v>
      </c>
      <c r="G641" s="188">
        <f ca="1">IF(F641,IFERROR(((('Data Schema'!$C$3*(1+B641)^1)*((1-$I$4-$I$5+E641)*(1-$I$10)+$I$6-$I$11)-('Data Schema'!$C$3*(1+B641)^1-'Data Schema'!$C$3)*$I$12)/(1+C641)^1+(('Data Schema'!$C$3*(1+B641)^2)*((1-$I$4-$I$5+E641)*(1-$I$10)+$I$6-$I$11)-('Data Schema'!$C$3*(1+B641)^2-'Data Schema'!$C$3*(1+B641)^1)*$I$12)/(1+C641)^2+(('Data Schema'!$C$3*(1+B641)^3)*((1-$I$4-$I$5+E641)*(1-$I$10)+$I$6-$I$11)-('Data Schema'!$C$3*(1+B641)^3-'Data Schema'!$C$3*(1+B641)^2)*$I$12)/(1+C641)^3+(('Data Schema'!$C$3*(1+B641)^4)*((1-$I$4-$I$5+E641)*(1-$I$10)+$I$6-$I$11)-('Data Schema'!$C$3*(1+B641)^4-'Data Schema'!$C$3*(1+B641)^3)*$I$12)/(1+C641)^4+(('Data Schema'!$C$3*(1+B641)^5)*((1-$I$4-$I$5+E641)*(1-$I$10)+$I$6-$I$11)-('Data Schema'!$C$3*(1+B641)^5-'Data Schema'!$C$3*(1+B641)^4)*$I$12)/(1+C641)^5+((('Data Schema'!$C$3*(1+B641)^5)*((1-$I$4-$I$5+E641)*(1-$I$10)+$I$6-$I$11)-('Data Schema'!$C$3*(1+B641)^5-'Data Schema'!$C$3*(1+B641)^4)*$I$12)*(1+D641)/(C641-D641))/(1+C641)^5-'Data Schema'!$C$31+'Data Schema'!$C$21)/'Data Schema'!$B$17,0),"INVALID")</f>
        <v>28.436771073726483</v>
      </c>
      <c r="H641" s="189" t="b">
        <f t="shared" ca="1" si="74"/>
        <v>1</v>
      </c>
      <c r="I641" s="188">
        <f t="shared" ca="1" si="75"/>
        <v>28.436771073726483</v>
      </c>
      <c r="J641" s="349">
        <f t="shared" ca="1" si="68"/>
        <v>28.436771073726483</v>
      </c>
    </row>
    <row r="642" spans="1:10">
      <c r="A642" s="185">
        <v>463</v>
      </c>
      <c r="B642" s="190">
        <f t="shared" ca="1" si="69"/>
        <v>9.6940753631243562E-2</v>
      </c>
      <c r="C642" s="190">
        <f t="shared" ca="1" si="70"/>
        <v>5.3118893985291141E-2</v>
      </c>
      <c r="D642" s="190">
        <f t="shared" ca="1" si="71"/>
        <v>2.3528306629199656E-2</v>
      </c>
      <c r="E642" s="190">
        <f t="shared" ca="1" si="72"/>
        <v>6.3611622230164023E-3</v>
      </c>
      <c r="F642" s="189" t="b">
        <f t="shared" ca="1" si="73"/>
        <v>1</v>
      </c>
      <c r="G642" s="188">
        <f ca="1">IF(F642,IFERROR(((('Data Schema'!$C$3*(1+B642)^1)*((1-$I$4-$I$5+E642)*(1-$I$10)+$I$6-$I$11)-('Data Schema'!$C$3*(1+B642)^1-'Data Schema'!$C$3)*$I$12)/(1+C642)^1+(('Data Schema'!$C$3*(1+B642)^2)*((1-$I$4-$I$5+E642)*(1-$I$10)+$I$6-$I$11)-('Data Schema'!$C$3*(1+B642)^2-'Data Schema'!$C$3*(1+B642)^1)*$I$12)/(1+C642)^2+(('Data Schema'!$C$3*(1+B642)^3)*((1-$I$4-$I$5+E642)*(1-$I$10)+$I$6-$I$11)-('Data Schema'!$C$3*(1+B642)^3-'Data Schema'!$C$3*(1+B642)^2)*$I$12)/(1+C642)^3+(('Data Schema'!$C$3*(1+B642)^4)*((1-$I$4-$I$5+E642)*(1-$I$10)+$I$6-$I$11)-('Data Schema'!$C$3*(1+B642)^4-'Data Schema'!$C$3*(1+B642)^3)*$I$12)/(1+C642)^4+(('Data Schema'!$C$3*(1+B642)^5)*((1-$I$4-$I$5+E642)*(1-$I$10)+$I$6-$I$11)-('Data Schema'!$C$3*(1+B642)^5-'Data Schema'!$C$3*(1+B642)^4)*$I$12)/(1+C642)^5+((('Data Schema'!$C$3*(1+B642)^5)*((1-$I$4-$I$5+E642)*(1-$I$10)+$I$6-$I$11)-('Data Schema'!$C$3*(1+B642)^5-'Data Schema'!$C$3*(1+B642)^4)*$I$12)*(1+D642)/(C642-D642))/(1+C642)^5-'Data Schema'!$C$31+'Data Schema'!$C$21)/'Data Schema'!$B$17,0),"INVALID")</f>
        <v>122.26172207106022</v>
      </c>
      <c r="H642" s="189" t="b">
        <f t="shared" ca="1" si="74"/>
        <v>1</v>
      </c>
      <c r="I642" s="188">
        <f t="shared" ca="1" si="75"/>
        <v>122.26172207106022</v>
      </c>
      <c r="J642" s="349">
        <f t="shared" ca="1" si="68"/>
        <v>122.26172207106022</v>
      </c>
    </row>
    <row r="643" spans="1:10">
      <c r="A643" s="184">
        <v>464</v>
      </c>
      <c r="B643" s="190">
        <f t="shared" ca="1" si="69"/>
        <v>9.9501520166085017E-2</v>
      </c>
      <c r="C643" s="190">
        <f t="shared" ca="1" si="70"/>
        <v>6.687274523574524E-2</v>
      </c>
      <c r="D643" s="190">
        <f t="shared" ca="1" si="71"/>
        <v>2.2212328255231027E-2</v>
      </c>
      <c r="E643" s="190">
        <f t="shared" ca="1" si="72"/>
        <v>-2.7144336579205182E-2</v>
      </c>
      <c r="F643" s="189" t="b">
        <f t="shared" ca="1" si="73"/>
        <v>1</v>
      </c>
      <c r="G643" s="188">
        <f ca="1">IF(F643,IFERROR(((('Data Schema'!$C$3*(1+B643)^1)*((1-$I$4-$I$5+E643)*(1-$I$10)+$I$6-$I$11)-('Data Schema'!$C$3*(1+B643)^1-'Data Schema'!$C$3)*$I$12)/(1+C643)^1+(('Data Schema'!$C$3*(1+B643)^2)*((1-$I$4-$I$5+E643)*(1-$I$10)+$I$6-$I$11)-('Data Schema'!$C$3*(1+B643)^2-'Data Schema'!$C$3*(1+B643)^1)*$I$12)/(1+C643)^2+(('Data Schema'!$C$3*(1+B643)^3)*((1-$I$4-$I$5+E643)*(1-$I$10)+$I$6-$I$11)-('Data Schema'!$C$3*(1+B643)^3-'Data Schema'!$C$3*(1+B643)^2)*$I$12)/(1+C643)^3+(('Data Schema'!$C$3*(1+B643)^4)*((1-$I$4-$I$5+E643)*(1-$I$10)+$I$6-$I$11)-('Data Schema'!$C$3*(1+B643)^4-'Data Schema'!$C$3*(1+B643)^3)*$I$12)/(1+C643)^4+(('Data Schema'!$C$3*(1+B643)^5)*((1-$I$4-$I$5+E643)*(1-$I$10)+$I$6-$I$11)-('Data Schema'!$C$3*(1+B643)^5-'Data Schema'!$C$3*(1+B643)^4)*$I$12)/(1+C643)^5+((('Data Schema'!$C$3*(1+B643)^5)*((1-$I$4-$I$5+E643)*(1-$I$10)+$I$6-$I$11)-('Data Schema'!$C$3*(1+B643)^5-'Data Schema'!$C$3*(1+B643)^4)*$I$12)*(1+D643)/(C643-D643))/(1+C643)^5-'Data Schema'!$C$31+'Data Schema'!$C$21)/'Data Schema'!$B$17,0),"INVALID")</f>
        <v>7.4696182976256091</v>
      </c>
      <c r="H643" s="189" t="b">
        <f t="shared" ca="1" si="74"/>
        <v>0</v>
      </c>
      <c r="I643" s="188" t="str">
        <f t="shared" ca="1" si="75"/>
        <v/>
      </c>
      <c r="J643" s="349" t="str">
        <f t="shared" ca="1" si="68"/>
        <v/>
      </c>
    </row>
    <row r="644" spans="1:10">
      <c r="A644" s="185">
        <v>465</v>
      </c>
      <c r="B644" s="190">
        <f t="shared" ca="1" si="69"/>
        <v>0.12443427150314457</v>
      </c>
      <c r="C644" s="190">
        <f t="shared" ca="1" si="70"/>
        <v>5.9413825658301153E-2</v>
      </c>
      <c r="D644" s="190">
        <f t="shared" ca="1" si="71"/>
        <v>1.88045867459119E-2</v>
      </c>
      <c r="E644" s="190">
        <f t="shared" ca="1" si="72"/>
        <v>1.9995790105801128E-2</v>
      </c>
      <c r="F644" s="189" t="b">
        <f t="shared" ca="1" si="73"/>
        <v>1</v>
      </c>
      <c r="G644" s="188">
        <f ca="1">IF(F644,IFERROR(((('Data Schema'!$C$3*(1+B644)^1)*((1-$I$4-$I$5+E644)*(1-$I$10)+$I$6-$I$11)-('Data Schema'!$C$3*(1+B644)^1-'Data Schema'!$C$3)*$I$12)/(1+C644)^1+(('Data Schema'!$C$3*(1+B644)^2)*((1-$I$4-$I$5+E644)*(1-$I$10)+$I$6-$I$11)-('Data Schema'!$C$3*(1+B644)^2-'Data Schema'!$C$3*(1+B644)^1)*$I$12)/(1+C644)^2+(('Data Schema'!$C$3*(1+B644)^3)*((1-$I$4-$I$5+E644)*(1-$I$10)+$I$6-$I$11)-('Data Schema'!$C$3*(1+B644)^3-'Data Schema'!$C$3*(1+B644)^2)*$I$12)/(1+C644)^3+(('Data Schema'!$C$3*(1+B644)^4)*((1-$I$4-$I$5+E644)*(1-$I$10)+$I$6-$I$11)-('Data Schema'!$C$3*(1+B644)^4-'Data Schema'!$C$3*(1+B644)^3)*$I$12)/(1+C644)^4+(('Data Schema'!$C$3*(1+B644)^5)*((1-$I$4-$I$5+E644)*(1-$I$10)+$I$6-$I$11)-('Data Schema'!$C$3*(1+B644)^5-'Data Schema'!$C$3*(1+B644)^4)*$I$12)/(1+C644)^5+((('Data Schema'!$C$3*(1+B644)^5)*((1-$I$4-$I$5+E644)*(1-$I$10)+$I$6-$I$11)-('Data Schema'!$C$3*(1+B644)^5-'Data Schema'!$C$3*(1+B644)^4)*$I$12)*(1+D644)/(C644-D644))/(1+C644)^5-'Data Schema'!$C$31+'Data Schema'!$C$21)/'Data Schema'!$B$17,0),"INVALID")</f>
        <v>134.59048763921984</v>
      </c>
      <c r="H644" s="189" t="b">
        <f t="shared" ca="1" si="74"/>
        <v>1</v>
      </c>
      <c r="I644" s="188">
        <f t="shared" ca="1" si="75"/>
        <v>134.59048763921984</v>
      </c>
      <c r="J644" s="349">
        <f t="shared" ca="1" si="68"/>
        <v>134.59048763921984</v>
      </c>
    </row>
    <row r="645" spans="1:10">
      <c r="A645" s="184">
        <v>466</v>
      </c>
      <c r="B645" s="190">
        <f t="shared" ca="1" si="69"/>
        <v>0.10626457543479084</v>
      </c>
      <c r="C645" s="190">
        <f t="shared" ca="1" si="70"/>
        <v>7.2157402795590742E-2</v>
      </c>
      <c r="D645" s="190">
        <f t="shared" ca="1" si="71"/>
        <v>3.1334429072400305E-2</v>
      </c>
      <c r="E645" s="190">
        <f t="shared" ca="1" si="72"/>
        <v>3.4132027447402374E-2</v>
      </c>
      <c r="F645" s="189" t="b">
        <f t="shared" ca="1" si="73"/>
        <v>1</v>
      </c>
      <c r="G645" s="188">
        <f ca="1">IF(F645,IFERROR(((('Data Schema'!$C$3*(1+B645)^1)*((1-$I$4-$I$5+E645)*(1-$I$10)+$I$6-$I$11)-('Data Schema'!$C$3*(1+B645)^1-'Data Schema'!$C$3)*$I$12)/(1+C645)^1+(('Data Schema'!$C$3*(1+B645)^2)*((1-$I$4-$I$5+E645)*(1-$I$10)+$I$6-$I$11)-('Data Schema'!$C$3*(1+B645)^2-'Data Schema'!$C$3*(1+B645)^1)*$I$12)/(1+C645)^2+(('Data Schema'!$C$3*(1+B645)^3)*((1-$I$4-$I$5+E645)*(1-$I$10)+$I$6-$I$11)-('Data Schema'!$C$3*(1+B645)^3-'Data Schema'!$C$3*(1+B645)^2)*$I$12)/(1+C645)^3+(('Data Schema'!$C$3*(1+B645)^4)*((1-$I$4-$I$5+E645)*(1-$I$10)+$I$6-$I$11)-('Data Schema'!$C$3*(1+B645)^4-'Data Schema'!$C$3*(1+B645)^3)*$I$12)/(1+C645)^4+(('Data Schema'!$C$3*(1+B645)^5)*((1-$I$4-$I$5+E645)*(1-$I$10)+$I$6-$I$11)-('Data Schema'!$C$3*(1+B645)^5-'Data Schema'!$C$3*(1+B645)^4)*$I$12)/(1+C645)^5+((('Data Schema'!$C$3*(1+B645)^5)*((1-$I$4-$I$5+E645)*(1-$I$10)+$I$6-$I$11)-('Data Schema'!$C$3*(1+B645)^5-'Data Schema'!$C$3*(1+B645)^4)*$I$12)*(1+D645)/(C645-D645))/(1+C645)^5-'Data Schema'!$C$31+'Data Schema'!$C$21)/'Data Schema'!$B$17,0),"INVALID")</f>
        <v>151.63532557943776</v>
      </c>
      <c r="H645" s="189" t="b">
        <f t="shared" ca="1" si="74"/>
        <v>1</v>
      </c>
      <c r="I645" s="188">
        <f t="shared" ca="1" si="75"/>
        <v>151.63532557943776</v>
      </c>
      <c r="J645" s="349">
        <f t="shared" ca="1" si="68"/>
        <v>151.63532557943776</v>
      </c>
    </row>
    <row r="646" spans="1:10">
      <c r="A646" s="185">
        <v>467</v>
      </c>
      <c r="B646" s="190">
        <f t="shared" ca="1" si="69"/>
        <v>0.10060915835778056</v>
      </c>
      <c r="C646" s="190">
        <f t="shared" ca="1" si="70"/>
        <v>6.3675996405921489E-2</v>
      </c>
      <c r="D646" s="190">
        <f t="shared" ca="1" si="71"/>
        <v>2.641495432193143E-2</v>
      </c>
      <c r="E646" s="190">
        <f t="shared" ca="1" si="72"/>
        <v>-1.1870874747395033E-2</v>
      </c>
      <c r="F646" s="189" t="b">
        <f t="shared" ca="1" si="73"/>
        <v>1</v>
      </c>
      <c r="G646" s="188">
        <f ca="1">IF(F646,IFERROR(((('Data Schema'!$C$3*(1+B646)^1)*((1-$I$4-$I$5+E646)*(1-$I$10)+$I$6-$I$11)-('Data Schema'!$C$3*(1+B646)^1-'Data Schema'!$C$3)*$I$12)/(1+C646)^1+(('Data Schema'!$C$3*(1+B646)^2)*((1-$I$4-$I$5+E646)*(1-$I$10)+$I$6-$I$11)-('Data Schema'!$C$3*(1+B646)^2-'Data Schema'!$C$3*(1+B646)^1)*$I$12)/(1+C646)^2+(('Data Schema'!$C$3*(1+B646)^3)*((1-$I$4-$I$5+E646)*(1-$I$10)+$I$6-$I$11)-('Data Schema'!$C$3*(1+B646)^3-'Data Schema'!$C$3*(1+B646)^2)*$I$12)/(1+C646)^3+(('Data Schema'!$C$3*(1+B646)^4)*((1-$I$4-$I$5+E646)*(1-$I$10)+$I$6-$I$11)-('Data Schema'!$C$3*(1+B646)^4-'Data Schema'!$C$3*(1+B646)^3)*$I$12)/(1+C646)^4+(('Data Schema'!$C$3*(1+B646)^5)*((1-$I$4-$I$5+E646)*(1-$I$10)+$I$6-$I$11)-('Data Schema'!$C$3*(1+B646)^5-'Data Schema'!$C$3*(1+B646)^4)*$I$12)/(1+C646)^5+((('Data Schema'!$C$3*(1+B646)^5)*((1-$I$4-$I$5+E646)*(1-$I$10)+$I$6-$I$11)-('Data Schema'!$C$3*(1+B646)^5-'Data Schema'!$C$3*(1+B646)^4)*$I$12)*(1+D646)/(C646-D646))/(1+C646)^5-'Data Schema'!$C$31+'Data Schema'!$C$21)/'Data Schema'!$B$17,0),"INVALID")</f>
        <v>49.097764339032182</v>
      </c>
      <c r="H646" s="189" t="b">
        <f t="shared" ca="1" si="74"/>
        <v>1</v>
      </c>
      <c r="I646" s="188">
        <f t="shared" ca="1" si="75"/>
        <v>49.097764339032182</v>
      </c>
      <c r="J646" s="349">
        <f t="shared" ca="1" si="68"/>
        <v>49.097764339032182</v>
      </c>
    </row>
    <row r="647" spans="1:10">
      <c r="A647" s="184">
        <v>468</v>
      </c>
      <c r="B647" s="190">
        <f t="shared" ca="1" si="69"/>
        <v>9.4438846119728775E-2</v>
      </c>
      <c r="C647" s="190">
        <f t="shared" ca="1" si="70"/>
        <v>6.1513979494875234E-2</v>
      </c>
      <c r="D647" s="190">
        <f t="shared" ca="1" si="71"/>
        <v>2.8864410943442567E-2</v>
      </c>
      <c r="E647" s="190">
        <f t="shared" ca="1" si="72"/>
        <v>-4.0784188970462106E-2</v>
      </c>
      <c r="F647" s="189" t="b">
        <f t="shared" ca="1" si="73"/>
        <v>1</v>
      </c>
      <c r="G647" s="188">
        <f ca="1">IF(F647,IFERROR(((('Data Schema'!$C$3*(1+B647)^1)*((1-$I$4-$I$5+E647)*(1-$I$10)+$I$6-$I$11)-('Data Schema'!$C$3*(1+B647)^1-'Data Schema'!$C$3)*$I$12)/(1+C647)^1+(('Data Schema'!$C$3*(1+B647)^2)*((1-$I$4-$I$5+E647)*(1-$I$10)+$I$6-$I$11)-('Data Schema'!$C$3*(1+B647)^2-'Data Schema'!$C$3*(1+B647)^1)*$I$12)/(1+C647)^2+(('Data Schema'!$C$3*(1+B647)^3)*((1-$I$4-$I$5+E647)*(1-$I$10)+$I$6-$I$11)-('Data Schema'!$C$3*(1+B647)^3-'Data Schema'!$C$3*(1+B647)^2)*$I$12)/(1+C647)^3+(('Data Schema'!$C$3*(1+B647)^4)*((1-$I$4-$I$5+E647)*(1-$I$10)+$I$6-$I$11)-('Data Schema'!$C$3*(1+B647)^4-'Data Schema'!$C$3*(1+B647)^3)*$I$12)/(1+C647)^4+(('Data Schema'!$C$3*(1+B647)^5)*((1-$I$4-$I$5+E647)*(1-$I$10)+$I$6-$I$11)-('Data Schema'!$C$3*(1+B647)^5-'Data Schema'!$C$3*(1+B647)^4)*$I$12)/(1+C647)^5+((('Data Schema'!$C$3*(1+B647)^5)*((1-$I$4-$I$5+E647)*(1-$I$10)+$I$6-$I$11)-('Data Schema'!$C$3*(1+B647)^5-'Data Schema'!$C$3*(1+B647)^4)*$I$12)*(1+D647)/(C647-D647))/(1+C647)^5-'Data Schema'!$C$31+'Data Schema'!$C$21)/'Data Schema'!$B$17,0),"INVALID")</f>
        <v>-26.023316869127427</v>
      </c>
      <c r="H647" s="189" t="b">
        <f t="shared" ca="1" si="74"/>
        <v>0</v>
      </c>
      <c r="I647" s="188" t="str">
        <f t="shared" ca="1" si="75"/>
        <v/>
      </c>
      <c r="J647" s="349" t="str">
        <f t="shared" ca="1" si="68"/>
        <v/>
      </c>
    </row>
    <row r="648" spans="1:10">
      <c r="A648" s="185">
        <v>469</v>
      </c>
      <c r="B648" s="190">
        <f t="shared" ca="1" si="69"/>
        <v>0.1048455011133628</v>
      </c>
      <c r="C648" s="190">
        <f t="shared" ca="1" si="70"/>
        <v>6.8995661491869906E-2</v>
      </c>
      <c r="D648" s="190">
        <f t="shared" ca="1" si="71"/>
        <v>2.0910459082089244E-2</v>
      </c>
      <c r="E648" s="190">
        <f t="shared" ca="1" si="72"/>
        <v>-5.4010590009492673E-3</v>
      </c>
      <c r="F648" s="189" t="b">
        <f t="shared" ca="1" si="73"/>
        <v>1</v>
      </c>
      <c r="G648" s="188">
        <f ca="1">IF(F648,IFERROR(((('Data Schema'!$C$3*(1+B648)^1)*((1-$I$4-$I$5+E648)*(1-$I$10)+$I$6-$I$11)-('Data Schema'!$C$3*(1+B648)^1-'Data Schema'!$C$3)*$I$12)/(1+C648)^1+(('Data Schema'!$C$3*(1+B648)^2)*((1-$I$4-$I$5+E648)*(1-$I$10)+$I$6-$I$11)-('Data Schema'!$C$3*(1+B648)^2-'Data Schema'!$C$3*(1+B648)^1)*$I$12)/(1+C648)^2+(('Data Schema'!$C$3*(1+B648)^3)*((1-$I$4-$I$5+E648)*(1-$I$10)+$I$6-$I$11)-('Data Schema'!$C$3*(1+B648)^3-'Data Schema'!$C$3*(1+B648)^2)*$I$12)/(1+C648)^3+(('Data Schema'!$C$3*(1+B648)^4)*((1-$I$4-$I$5+E648)*(1-$I$10)+$I$6-$I$11)-('Data Schema'!$C$3*(1+B648)^4-'Data Schema'!$C$3*(1+B648)^3)*$I$12)/(1+C648)^4+(('Data Schema'!$C$3*(1+B648)^5)*((1-$I$4-$I$5+E648)*(1-$I$10)+$I$6-$I$11)-('Data Schema'!$C$3*(1+B648)^5-'Data Schema'!$C$3*(1+B648)^4)*$I$12)/(1+C648)^5+((('Data Schema'!$C$3*(1+B648)^5)*((1-$I$4-$I$5+E648)*(1-$I$10)+$I$6-$I$11)-('Data Schema'!$C$3*(1+B648)^5-'Data Schema'!$C$3*(1+B648)^4)*$I$12)*(1+D648)/(C648-D648))/(1+C648)^5-'Data Schema'!$C$31+'Data Schema'!$C$21)/'Data Schema'!$B$17,0),"INVALID")</f>
        <v>50.853176454280977</v>
      </c>
      <c r="H648" s="189" t="b">
        <f t="shared" ca="1" si="74"/>
        <v>1</v>
      </c>
      <c r="I648" s="188">
        <f t="shared" ca="1" si="75"/>
        <v>50.853176454280977</v>
      </c>
      <c r="J648" s="349">
        <f t="shared" ca="1" si="68"/>
        <v>50.853176454280977</v>
      </c>
    </row>
    <row r="649" spans="1:10">
      <c r="A649" s="184">
        <v>470</v>
      </c>
      <c r="B649" s="190">
        <f t="shared" ca="1" si="69"/>
        <v>0.10827732972431707</v>
      </c>
      <c r="C649" s="190">
        <f t="shared" ca="1" si="70"/>
        <v>6.0831078169208096E-2</v>
      </c>
      <c r="D649" s="190">
        <f t="shared" ca="1" si="71"/>
        <v>2.1756133143806363E-2</v>
      </c>
      <c r="E649" s="190">
        <f t="shared" ca="1" si="72"/>
        <v>1.5182908084694665E-2</v>
      </c>
      <c r="F649" s="189" t="b">
        <f t="shared" ca="1" si="73"/>
        <v>1</v>
      </c>
      <c r="G649" s="188">
        <f ca="1">IF(F649,IFERROR(((('Data Schema'!$C$3*(1+B649)^1)*((1-$I$4-$I$5+E649)*(1-$I$10)+$I$6-$I$11)-('Data Schema'!$C$3*(1+B649)^1-'Data Schema'!$C$3)*$I$12)/(1+C649)^1+(('Data Schema'!$C$3*(1+B649)^2)*((1-$I$4-$I$5+E649)*(1-$I$10)+$I$6-$I$11)-('Data Schema'!$C$3*(1+B649)^2-'Data Schema'!$C$3*(1+B649)^1)*$I$12)/(1+C649)^2+(('Data Schema'!$C$3*(1+B649)^3)*((1-$I$4-$I$5+E649)*(1-$I$10)+$I$6-$I$11)-('Data Schema'!$C$3*(1+B649)^3-'Data Schema'!$C$3*(1+B649)^2)*$I$12)/(1+C649)^3+(('Data Schema'!$C$3*(1+B649)^4)*((1-$I$4-$I$5+E649)*(1-$I$10)+$I$6-$I$11)-('Data Schema'!$C$3*(1+B649)^4-'Data Schema'!$C$3*(1+B649)^3)*$I$12)/(1+C649)^4+(('Data Schema'!$C$3*(1+B649)^5)*((1-$I$4-$I$5+E649)*(1-$I$10)+$I$6-$I$11)-('Data Schema'!$C$3*(1+B649)^5-'Data Schema'!$C$3*(1+B649)^4)*$I$12)/(1+C649)^5+((('Data Schema'!$C$3*(1+B649)^5)*((1-$I$4-$I$5+E649)*(1-$I$10)+$I$6-$I$11)-('Data Schema'!$C$3*(1+B649)^5-'Data Schema'!$C$3*(1+B649)^4)*$I$12)*(1+D649)/(C649-D649))/(1+C649)^5-'Data Schema'!$C$31+'Data Schema'!$C$21)/'Data Schema'!$B$17,0),"INVALID")</f>
        <v>117.73079481334813</v>
      </c>
      <c r="H649" s="189" t="b">
        <f t="shared" ca="1" si="74"/>
        <v>1</v>
      </c>
      <c r="I649" s="188">
        <f t="shared" ca="1" si="75"/>
        <v>117.73079481334813</v>
      </c>
      <c r="J649" s="349">
        <f t="shared" ca="1" si="68"/>
        <v>117.73079481334813</v>
      </c>
    </row>
    <row r="650" spans="1:10">
      <c r="A650" s="185">
        <v>471</v>
      </c>
      <c r="B650" s="190">
        <f t="shared" ca="1" si="69"/>
        <v>8.6438147344700289E-2</v>
      </c>
      <c r="C650" s="190">
        <f t="shared" ca="1" si="70"/>
        <v>5.4476614418542825E-2</v>
      </c>
      <c r="D650" s="190">
        <f t="shared" ca="1" si="71"/>
        <v>1.7828114369891013E-2</v>
      </c>
      <c r="E650" s="190">
        <f t="shared" ca="1" si="72"/>
        <v>5.3254983411595361E-3</v>
      </c>
      <c r="F650" s="189" t="b">
        <f t="shared" ca="1" si="73"/>
        <v>1</v>
      </c>
      <c r="G650" s="188">
        <f ca="1">IF(F650,IFERROR(((('Data Schema'!$C$3*(1+B650)^1)*((1-$I$4-$I$5+E650)*(1-$I$10)+$I$6-$I$11)-('Data Schema'!$C$3*(1+B650)^1-'Data Schema'!$C$3)*$I$12)/(1+C650)^1+(('Data Schema'!$C$3*(1+B650)^2)*((1-$I$4-$I$5+E650)*(1-$I$10)+$I$6-$I$11)-('Data Schema'!$C$3*(1+B650)^2-'Data Schema'!$C$3*(1+B650)^1)*$I$12)/(1+C650)^2+(('Data Schema'!$C$3*(1+B650)^3)*((1-$I$4-$I$5+E650)*(1-$I$10)+$I$6-$I$11)-('Data Schema'!$C$3*(1+B650)^3-'Data Schema'!$C$3*(1+B650)^2)*$I$12)/(1+C650)^3+(('Data Schema'!$C$3*(1+B650)^4)*((1-$I$4-$I$5+E650)*(1-$I$10)+$I$6-$I$11)-('Data Schema'!$C$3*(1+B650)^4-'Data Schema'!$C$3*(1+B650)^3)*$I$12)/(1+C650)^4+(('Data Schema'!$C$3*(1+B650)^5)*((1-$I$4-$I$5+E650)*(1-$I$10)+$I$6-$I$11)-('Data Schema'!$C$3*(1+B650)^5-'Data Schema'!$C$3*(1+B650)^4)*$I$12)/(1+C650)^5+((('Data Schema'!$C$3*(1+B650)^5)*((1-$I$4-$I$5+E650)*(1-$I$10)+$I$6-$I$11)-('Data Schema'!$C$3*(1+B650)^5-'Data Schema'!$C$3*(1+B650)^4)*$I$12)*(1+D650)/(C650-D650))/(1+C650)^5-'Data Schema'!$C$31+'Data Schema'!$C$21)/'Data Schema'!$B$17,0),"INVALID")</f>
        <v>92.404804965154298</v>
      </c>
      <c r="H650" s="189" t="b">
        <f t="shared" ca="1" si="74"/>
        <v>1</v>
      </c>
      <c r="I650" s="188">
        <f t="shared" ca="1" si="75"/>
        <v>92.404804965154298</v>
      </c>
      <c r="J650" s="349">
        <f t="shared" ca="1" si="68"/>
        <v>92.404804965154298</v>
      </c>
    </row>
    <row r="651" spans="1:10">
      <c r="A651" s="184">
        <v>472</v>
      </c>
      <c r="B651" s="190">
        <f t="shared" ca="1" si="69"/>
        <v>0.10024456074943387</v>
      </c>
      <c r="C651" s="190">
        <f t="shared" ca="1" si="70"/>
        <v>6.307721639631575E-2</v>
      </c>
      <c r="D651" s="190">
        <f t="shared" ca="1" si="71"/>
        <v>2.5434630262100553E-2</v>
      </c>
      <c r="E651" s="190">
        <f t="shared" ca="1" si="72"/>
        <v>3.02237182078996E-2</v>
      </c>
      <c r="F651" s="189" t="b">
        <f t="shared" ca="1" si="73"/>
        <v>1</v>
      </c>
      <c r="G651" s="188">
        <f ca="1">IF(F651,IFERROR(((('Data Schema'!$C$3*(1+B651)^1)*((1-$I$4-$I$5+E651)*(1-$I$10)+$I$6-$I$11)-('Data Schema'!$C$3*(1+B651)^1-'Data Schema'!$C$3)*$I$12)/(1+C651)^1+(('Data Schema'!$C$3*(1+B651)^2)*((1-$I$4-$I$5+E651)*(1-$I$10)+$I$6-$I$11)-('Data Schema'!$C$3*(1+B651)^2-'Data Schema'!$C$3*(1+B651)^1)*$I$12)/(1+C651)^2+(('Data Schema'!$C$3*(1+B651)^3)*((1-$I$4-$I$5+E651)*(1-$I$10)+$I$6-$I$11)-('Data Schema'!$C$3*(1+B651)^3-'Data Schema'!$C$3*(1+B651)^2)*$I$12)/(1+C651)^3+(('Data Schema'!$C$3*(1+B651)^4)*((1-$I$4-$I$5+E651)*(1-$I$10)+$I$6-$I$11)-('Data Schema'!$C$3*(1+B651)^4-'Data Schema'!$C$3*(1+B651)^3)*$I$12)/(1+C651)^4+(('Data Schema'!$C$3*(1+B651)^5)*((1-$I$4-$I$5+E651)*(1-$I$10)+$I$6-$I$11)-('Data Schema'!$C$3*(1+B651)^5-'Data Schema'!$C$3*(1+B651)^4)*$I$12)/(1+C651)^5+((('Data Schema'!$C$3*(1+B651)^5)*((1-$I$4-$I$5+E651)*(1-$I$10)+$I$6-$I$11)-('Data Schema'!$C$3*(1+B651)^5-'Data Schema'!$C$3*(1+B651)^4)*$I$12)*(1+D651)/(C651-D651))/(1+C651)^5-'Data Schema'!$C$31+'Data Schema'!$C$21)/'Data Schema'!$B$17,0),"INVALID")</f>
        <v>155.01427332537901</v>
      </c>
      <c r="H651" s="189" t="b">
        <f t="shared" ca="1" si="74"/>
        <v>1</v>
      </c>
      <c r="I651" s="188">
        <f t="shared" ca="1" si="75"/>
        <v>155.01427332537901</v>
      </c>
      <c r="J651" s="349">
        <f t="shared" ca="1" si="68"/>
        <v>155.01427332537901</v>
      </c>
    </row>
    <row r="652" spans="1:10">
      <c r="A652" s="185">
        <v>473</v>
      </c>
      <c r="B652" s="190">
        <f t="shared" ca="1" si="69"/>
        <v>0.16213813068014482</v>
      </c>
      <c r="C652" s="190">
        <f t="shared" ca="1" si="70"/>
        <v>5.0733493555012818E-2</v>
      </c>
      <c r="D652" s="190">
        <f t="shared" ca="1" si="71"/>
        <v>2.6539406049757824E-2</v>
      </c>
      <c r="E652" s="190">
        <f t="shared" ca="1" si="72"/>
        <v>-3.0238260066453748E-2</v>
      </c>
      <c r="F652" s="189" t="b">
        <f t="shared" ca="1" si="73"/>
        <v>1</v>
      </c>
      <c r="G652" s="188">
        <f ca="1">IF(F652,IFERROR(((('Data Schema'!$C$3*(1+B652)^1)*((1-$I$4-$I$5+E652)*(1-$I$10)+$I$6-$I$11)-('Data Schema'!$C$3*(1+B652)^1-'Data Schema'!$C$3)*$I$12)/(1+C652)^1+(('Data Schema'!$C$3*(1+B652)^2)*((1-$I$4-$I$5+E652)*(1-$I$10)+$I$6-$I$11)-('Data Schema'!$C$3*(1+B652)^2-'Data Schema'!$C$3*(1+B652)^1)*$I$12)/(1+C652)^2+(('Data Schema'!$C$3*(1+B652)^3)*((1-$I$4-$I$5+E652)*(1-$I$10)+$I$6-$I$11)-('Data Schema'!$C$3*(1+B652)^3-'Data Schema'!$C$3*(1+B652)^2)*$I$12)/(1+C652)^3+(('Data Schema'!$C$3*(1+B652)^4)*((1-$I$4-$I$5+E652)*(1-$I$10)+$I$6-$I$11)-('Data Schema'!$C$3*(1+B652)^4-'Data Schema'!$C$3*(1+B652)^3)*$I$12)/(1+C652)^4+(('Data Schema'!$C$3*(1+B652)^5)*((1-$I$4-$I$5+E652)*(1-$I$10)+$I$6-$I$11)-('Data Schema'!$C$3*(1+B652)^5-'Data Schema'!$C$3*(1+B652)^4)*$I$12)/(1+C652)^5+((('Data Schema'!$C$3*(1+B652)^5)*((1-$I$4-$I$5+E652)*(1-$I$10)+$I$6-$I$11)-('Data Schema'!$C$3*(1+B652)^5-'Data Schema'!$C$3*(1+B652)^4)*$I$12)*(1+D652)/(C652-D652))/(1+C652)^5-'Data Schema'!$C$31+'Data Schema'!$C$21)/'Data Schema'!$B$17,0),"INVALID")</f>
        <v>5.1740059415101376</v>
      </c>
      <c r="H652" s="189" t="b">
        <f t="shared" ca="1" si="74"/>
        <v>0</v>
      </c>
      <c r="I652" s="188" t="str">
        <f t="shared" ca="1" si="75"/>
        <v/>
      </c>
      <c r="J652" s="349" t="str">
        <f t="shared" ca="1" si="68"/>
        <v/>
      </c>
    </row>
    <row r="653" spans="1:10">
      <c r="A653" s="184">
        <v>474</v>
      </c>
      <c r="B653" s="190">
        <f t="shared" ca="1" si="69"/>
        <v>5.9543147813390582E-2</v>
      </c>
      <c r="C653" s="190">
        <f t="shared" ca="1" si="70"/>
        <v>6.4968953589946227E-2</v>
      </c>
      <c r="D653" s="190">
        <f t="shared" ca="1" si="71"/>
        <v>1.912443044189626E-2</v>
      </c>
      <c r="E653" s="190">
        <f t="shared" ca="1" si="72"/>
        <v>-2.2160606484737461E-2</v>
      </c>
      <c r="F653" s="189" t="b">
        <f t="shared" ca="1" si="73"/>
        <v>1</v>
      </c>
      <c r="G653" s="188">
        <f ca="1">IF(F653,IFERROR(((('Data Schema'!$C$3*(1+B653)^1)*((1-$I$4-$I$5+E653)*(1-$I$10)+$I$6-$I$11)-('Data Schema'!$C$3*(1+B653)^1-'Data Schema'!$C$3)*$I$12)/(1+C653)^1+(('Data Schema'!$C$3*(1+B653)^2)*((1-$I$4-$I$5+E653)*(1-$I$10)+$I$6-$I$11)-('Data Schema'!$C$3*(1+B653)^2-'Data Schema'!$C$3*(1+B653)^1)*$I$12)/(1+C653)^2+(('Data Schema'!$C$3*(1+B653)^3)*((1-$I$4-$I$5+E653)*(1-$I$10)+$I$6-$I$11)-('Data Schema'!$C$3*(1+B653)^3-'Data Schema'!$C$3*(1+B653)^2)*$I$12)/(1+C653)^3+(('Data Schema'!$C$3*(1+B653)^4)*((1-$I$4-$I$5+E653)*(1-$I$10)+$I$6-$I$11)-('Data Schema'!$C$3*(1+B653)^4-'Data Schema'!$C$3*(1+B653)^3)*$I$12)/(1+C653)^4+(('Data Schema'!$C$3*(1+B653)^5)*((1-$I$4-$I$5+E653)*(1-$I$10)+$I$6-$I$11)-('Data Schema'!$C$3*(1+B653)^5-'Data Schema'!$C$3*(1+B653)^4)*$I$12)/(1+C653)^5+((('Data Schema'!$C$3*(1+B653)^5)*((1-$I$4-$I$5+E653)*(1-$I$10)+$I$6-$I$11)-('Data Schema'!$C$3*(1+B653)^5-'Data Schema'!$C$3*(1+B653)^4)*$I$12)*(1+D653)/(C653-D653))/(1+C653)^5-'Data Schema'!$C$31+'Data Schema'!$C$21)/'Data Schema'!$B$17,0),"INVALID")</f>
        <v>15.446395549824015</v>
      </c>
      <c r="H653" s="189" t="b">
        <f t="shared" ca="1" si="74"/>
        <v>1</v>
      </c>
      <c r="I653" s="188">
        <f t="shared" ca="1" si="75"/>
        <v>15.446395549824015</v>
      </c>
      <c r="J653" s="349" t="str">
        <f t="shared" ca="1" si="68"/>
        <v/>
      </c>
    </row>
    <row r="654" spans="1:10">
      <c r="A654" s="185">
        <v>475</v>
      </c>
      <c r="B654" s="190">
        <f t="shared" ca="1" si="69"/>
        <v>8.7980504140889149E-2</v>
      </c>
      <c r="C654" s="190">
        <f t="shared" ca="1" si="70"/>
        <v>6.9347794367413895E-2</v>
      </c>
      <c r="D654" s="190">
        <f t="shared" ca="1" si="71"/>
        <v>2.199340693769063E-2</v>
      </c>
      <c r="E654" s="190">
        <f t="shared" ca="1" si="72"/>
        <v>-1.0295584770656981E-2</v>
      </c>
      <c r="F654" s="189" t="b">
        <f t="shared" ca="1" si="73"/>
        <v>1</v>
      </c>
      <c r="G654" s="188">
        <f ca="1">IF(F654,IFERROR(((('Data Schema'!$C$3*(1+B654)^1)*((1-$I$4-$I$5+E654)*(1-$I$10)+$I$6-$I$11)-('Data Schema'!$C$3*(1+B654)^1-'Data Schema'!$C$3)*$I$12)/(1+C654)^1+(('Data Schema'!$C$3*(1+B654)^2)*((1-$I$4-$I$5+E654)*(1-$I$10)+$I$6-$I$11)-('Data Schema'!$C$3*(1+B654)^2-'Data Schema'!$C$3*(1+B654)^1)*$I$12)/(1+C654)^2+(('Data Schema'!$C$3*(1+B654)^3)*((1-$I$4-$I$5+E654)*(1-$I$10)+$I$6-$I$11)-('Data Schema'!$C$3*(1+B654)^3-'Data Schema'!$C$3*(1+B654)^2)*$I$12)/(1+C654)^3+(('Data Schema'!$C$3*(1+B654)^4)*((1-$I$4-$I$5+E654)*(1-$I$10)+$I$6-$I$11)-('Data Schema'!$C$3*(1+B654)^4-'Data Schema'!$C$3*(1+B654)^3)*$I$12)/(1+C654)^4+(('Data Schema'!$C$3*(1+B654)^5)*((1-$I$4-$I$5+E654)*(1-$I$10)+$I$6-$I$11)-('Data Schema'!$C$3*(1+B654)^5-'Data Schema'!$C$3*(1+B654)^4)*$I$12)/(1+C654)^5+((('Data Schema'!$C$3*(1+B654)^5)*((1-$I$4-$I$5+E654)*(1-$I$10)+$I$6-$I$11)-('Data Schema'!$C$3*(1+B654)^5-'Data Schema'!$C$3*(1+B654)^4)*$I$12)*(1+D654)/(C654-D654))/(1+C654)^5-'Data Schema'!$C$31+'Data Schema'!$C$21)/'Data Schema'!$B$17,0),"INVALID")</f>
        <v>38.825692190105677</v>
      </c>
      <c r="H654" s="189" t="b">
        <f t="shared" ca="1" si="74"/>
        <v>1</v>
      </c>
      <c r="I654" s="188">
        <f t="shared" ca="1" si="75"/>
        <v>38.825692190105677</v>
      </c>
      <c r="J654" s="349">
        <f t="shared" ca="1" si="68"/>
        <v>38.825692190105677</v>
      </c>
    </row>
    <row r="655" spans="1:10">
      <c r="A655" s="184">
        <v>476</v>
      </c>
      <c r="B655" s="190">
        <f t="shared" ca="1" si="69"/>
        <v>0.13724000618375989</v>
      </c>
      <c r="C655" s="190">
        <f t="shared" ca="1" si="70"/>
        <v>5.4375639677140375E-2</v>
      </c>
      <c r="D655" s="190">
        <f t="shared" ca="1" si="71"/>
        <v>2.4064118661667709E-2</v>
      </c>
      <c r="E655" s="190">
        <f t="shared" ca="1" si="72"/>
        <v>4.8814203869257423E-3</v>
      </c>
      <c r="F655" s="189" t="b">
        <f t="shared" ca="1" si="73"/>
        <v>1</v>
      </c>
      <c r="G655" s="188">
        <f ca="1">IF(F655,IFERROR(((('Data Schema'!$C$3*(1+B655)^1)*((1-$I$4-$I$5+E655)*(1-$I$10)+$I$6-$I$11)-('Data Schema'!$C$3*(1+B655)^1-'Data Schema'!$C$3)*$I$12)/(1+C655)^1+(('Data Schema'!$C$3*(1+B655)^2)*((1-$I$4-$I$5+E655)*(1-$I$10)+$I$6-$I$11)-('Data Schema'!$C$3*(1+B655)^2-'Data Schema'!$C$3*(1+B655)^1)*$I$12)/(1+C655)^2+(('Data Schema'!$C$3*(1+B655)^3)*((1-$I$4-$I$5+E655)*(1-$I$10)+$I$6-$I$11)-('Data Schema'!$C$3*(1+B655)^3-'Data Schema'!$C$3*(1+B655)^2)*$I$12)/(1+C655)^3+(('Data Schema'!$C$3*(1+B655)^4)*((1-$I$4-$I$5+E655)*(1-$I$10)+$I$6-$I$11)-('Data Schema'!$C$3*(1+B655)^4-'Data Schema'!$C$3*(1+B655)^3)*$I$12)/(1+C655)^4+(('Data Schema'!$C$3*(1+B655)^5)*((1-$I$4-$I$5+E655)*(1-$I$10)+$I$6-$I$11)-('Data Schema'!$C$3*(1+B655)^5-'Data Schema'!$C$3*(1+B655)^4)*$I$12)/(1+C655)^5+((('Data Schema'!$C$3*(1+B655)^5)*((1-$I$4-$I$5+E655)*(1-$I$10)+$I$6-$I$11)-('Data Schema'!$C$3*(1+B655)^5-'Data Schema'!$C$3*(1+B655)^4)*$I$12)*(1+D655)/(C655-D655))/(1+C655)^5-'Data Schema'!$C$31+'Data Schema'!$C$21)/'Data Schema'!$B$17,0),"INVALID")</f>
        <v>133.90340896638077</v>
      </c>
      <c r="H655" s="189" t="b">
        <f t="shared" ca="1" si="74"/>
        <v>1</v>
      </c>
      <c r="I655" s="188">
        <f t="shared" ca="1" si="75"/>
        <v>133.90340896638077</v>
      </c>
      <c r="J655" s="349">
        <f t="shared" ca="1" si="68"/>
        <v>133.90340896638077</v>
      </c>
    </row>
    <row r="656" spans="1:10">
      <c r="A656" s="185">
        <v>477</v>
      </c>
      <c r="B656" s="190">
        <f t="shared" ca="1" si="69"/>
        <v>9.1174351816593266E-2</v>
      </c>
      <c r="C656" s="190">
        <f t="shared" ca="1" si="70"/>
        <v>4.6944039876409945E-2</v>
      </c>
      <c r="D656" s="190">
        <f t="shared" ca="1" si="71"/>
        <v>2.4547143568173502E-2</v>
      </c>
      <c r="E656" s="190">
        <f t="shared" ca="1" si="72"/>
        <v>-2.1408000131697576E-2</v>
      </c>
      <c r="F656" s="189" t="b">
        <f t="shared" ca="1" si="73"/>
        <v>1</v>
      </c>
      <c r="G656" s="188">
        <f ca="1">IF(F656,IFERROR(((('Data Schema'!$C$3*(1+B656)^1)*((1-$I$4-$I$5+E656)*(1-$I$10)+$I$6-$I$11)-('Data Schema'!$C$3*(1+B656)^1-'Data Schema'!$C$3)*$I$12)/(1+C656)^1+(('Data Schema'!$C$3*(1+B656)^2)*((1-$I$4-$I$5+E656)*(1-$I$10)+$I$6-$I$11)-('Data Schema'!$C$3*(1+B656)^2-'Data Schema'!$C$3*(1+B656)^1)*$I$12)/(1+C656)^2+(('Data Schema'!$C$3*(1+B656)^3)*((1-$I$4-$I$5+E656)*(1-$I$10)+$I$6-$I$11)-('Data Schema'!$C$3*(1+B656)^3-'Data Schema'!$C$3*(1+B656)^2)*$I$12)/(1+C656)^3+(('Data Schema'!$C$3*(1+B656)^4)*((1-$I$4-$I$5+E656)*(1-$I$10)+$I$6-$I$11)-('Data Schema'!$C$3*(1+B656)^4-'Data Schema'!$C$3*(1+B656)^3)*$I$12)/(1+C656)^4+(('Data Schema'!$C$3*(1+B656)^5)*((1-$I$4-$I$5+E656)*(1-$I$10)+$I$6-$I$11)-('Data Schema'!$C$3*(1+B656)^5-'Data Schema'!$C$3*(1+B656)^4)*$I$12)/(1+C656)^5+((('Data Schema'!$C$3*(1+B656)^5)*((1-$I$4-$I$5+E656)*(1-$I$10)+$I$6-$I$11)-('Data Schema'!$C$3*(1+B656)^5-'Data Schema'!$C$3*(1+B656)^4)*$I$12)*(1+D656)/(C656-D656))/(1+C656)^5-'Data Schema'!$C$31+'Data Schema'!$C$21)/'Data Schema'!$B$17,0),"INVALID")</f>
        <v>45.403006814609498</v>
      </c>
      <c r="H656" s="189" t="b">
        <f t="shared" ca="1" si="74"/>
        <v>1</v>
      </c>
      <c r="I656" s="188">
        <f t="shared" ca="1" si="75"/>
        <v>45.403006814609498</v>
      </c>
      <c r="J656" s="349">
        <f t="shared" ca="1" si="68"/>
        <v>45.403006814609498</v>
      </c>
    </row>
    <row r="657" spans="1:10">
      <c r="A657" s="184">
        <v>478</v>
      </c>
      <c r="B657" s="190">
        <f t="shared" ca="1" si="69"/>
        <v>0.10491514412692717</v>
      </c>
      <c r="C657" s="190">
        <f t="shared" ca="1" si="70"/>
        <v>7.2505817532172889E-2</v>
      </c>
      <c r="D657" s="190">
        <f t="shared" ca="1" si="71"/>
        <v>2.7341154788499564E-2</v>
      </c>
      <c r="E657" s="190">
        <f t="shared" ca="1" si="72"/>
        <v>-1.1250130412699571E-2</v>
      </c>
      <c r="F657" s="189" t="b">
        <f t="shared" ca="1" si="73"/>
        <v>1</v>
      </c>
      <c r="G657" s="188">
        <f ca="1">IF(F657,IFERROR(((('Data Schema'!$C$3*(1+B657)^1)*((1-$I$4-$I$5+E657)*(1-$I$10)+$I$6-$I$11)-('Data Schema'!$C$3*(1+B657)^1-'Data Schema'!$C$3)*$I$12)/(1+C657)^1+(('Data Schema'!$C$3*(1+B657)^2)*((1-$I$4-$I$5+E657)*(1-$I$10)+$I$6-$I$11)-('Data Schema'!$C$3*(1+B657)^2-'Data Schema'!$C$3*(1+B657)^1)*$I$12)/(1+C657)^2+(('Data Schema'!$C$3*(1+B657)^3)*((1-$I$4-$I$5+E657)*(1-$I$10)+$I$6-$I$11)-('Data Schema'!$C$3*(1+B657)^3-'Data Schema'!$C$3*(1+B657)^2)*$I$12)/(1+C657)^3+(('Data Schema'!$C$3*(1+B657)^4)*((1-$I$4-$I$5+E657)*(1-$I$10)+$I$6-$I$11)-('Data Schema'!$C$3*(1+B657)^4-'Data Schema'!$C$3*(1+B657)^3)*$I$12)/(1+C657)^4+(('Data Schema'!$C$3*(1+B657)^5)*((1-$I$4-$I$5+E657)*(1-$I$10)+$I$6-$I$11)-('Data Schema'!$C$3*(1+B657)^5-'Data Schema'!$C$3*(1+B657)^4)*$I$12)/(1+C657)^5+((('Data Schema'!$C$3*(1+B657)^5)*((1-$I$4-$I$5+E657)*(1-$I$10)+$I$6-$I$11)-('Data Schema'!$C$3*(1+B657)^5-'Data Schema'!$C$3*(1+B657)^4)*$I$12)*(1+D657)/(C657-D657))/(1+C657)^5-'Data Schema'!$C$31+'Data Schema'!$C$21)/'Data Schema'!$B$17,0),"INVALID")</f>
        <v>40.892542610411702</v>
      </c>
      <c r="H657" s="189" t="b">
        <f t="shared" ca="1" si="74"/>
        <v>1</v>
      </c>
      <c r="I657" s="188">
        <f t="shared" ca="1" si="75"/>
        <v>40.892542610411702</v>
      </c>
      <c r="J657" s="349">
        <f t="shared" ca="1" si="68"/>
        <v>40.892542610411702</v>
      </c>
    </row>
    <row r="658" spans="1:10">
      <c r="A658" s="185">
        <v>479</v>
      </c>
      <c r="B658" s="190">
        <f t="shared" ca="1" si="69"/>
        <v>8.7139873904624743E-2</v>
      </c>
      <c r="C658" s="190">
        <f t="shared" ca="1" si="70"/>
        <v>5.7345831517852865E-2</v>
      </c>
      <c r="D658" s="190">
        <f t="shared" ca="1" si="71"/>
        <v>2.7513345614171188E-2</v>
      </c>
      <c r="E658" s="190">
        <f t="shared" ca="1" si="72"/>
        <v>-3.5104280216999913E-2</v>
      </c>
      <c r="F658" s="189" t="b">
        <f t="shared" ca="1" si="73"/>
        <v>1</v>
      </c>
      <c r="G658" s="188">
        <f ca="1">IF(F658,IFERROR(((('Data Schema'!$C$3*(1+B658)^1)*((1-$I$4-$I$5+E658)*(1-$I$10)+$I$6-$I$11)-('Data Schema'!$C$3*(1+B658)^1-'Data Schema'!$C$3)*$I$12)/(1+C658)^1+(('Data Schema'!$C$3*(1+B658)^2)*((1-$I$4-$I$5+E658)*(1-$I$10)+$I$6-$I$11)-('Data Schema'!$C$3*(1+B658)^2-'Data Schema'!$C$3*(1+B658)^1)*$I$12)/(1+C658)^2+(('Data Schema'!$C$3*(1+B658)^3)*((1-$I$4-$I$5+E658)*(1-$I$10)+$I$6-$I$11)-('Data Schema'!$C$3*(1+B658)^3-'Data Schema'!$C$3*(1+B658)^2)*$I$12)/(1+C658)^3+(('Data Schema'!$C$3*(1+B658)^4)*((1-$I$4-$I$5+E658)*(1-$I$10)+$I$6-$I$11)-('Data Schema'!$C$3*(1+B658)^4-'Data Schema'!$C$3*(1+B658)^3)*$I$12)/(1+C658)^4+(('Data Schema'!$C$3*(1+B658)^5)*((1-$I$4-$I$5+E658)*(1-$I$10)+$I$6-$I$11)-('Data Schema'!$C$3*(1+B658)^5-'Data Schema'!$C$3*(1+B658)^4)*$I$12)/(1+C658)^5+((('Data Schema'!$C$3*(1+B658)^5)*((1-$I$4-$I$5+E658)*(1-$I$10)+$I$6-$I$11)-('Data Schema'!$C$3*(1+B658)^5-'Data Schema'!$C$3*(1+B658)^4)*$I$12)*(1+D658)/(C658-D658))/(1+C658)^5-'Data Schema'!$C$31+'Data Schema'!$C$21)/'Data Schema'!$B$17,0),"INVALID")</f>
        <v>-9.7532444715448339</v>
      </c>
      <c r="H658" s="189" t="b">
        <f t="shared" ca="1" si="74"/>
        <v>0</v>
      </c>
      <c r="I658" s="188" t="str">
        <f t="shared" ca="1" si="75"/>
        <v/>
      </c>
      <c r="J658" s="349" t="str">
        <f t="shared" ca="1" si="68"/>
        <v/>
      </c>
    </row>
    <row r="659" spans="1:10">
      <c r="A659" s="184">
        <v>480</v>
      </c>
      <c r="B659" s="190">
        <f t="shared" ca="1" si="69"/>
        <v>0.12542060138204253</v>
      </c>
      <c r="C659" s="190">
        <f t="shared" ca="1" si="70"/>
        <v>6.9204445886217006E-2</v>
      </c>
      <c r="D659" s="190">
        <f t="shared" ca="1" si="71"/>
        <v>2.5531927223874405E-2</v>
      </c>
      <c r="E659" s="190">
        <f t="shared" ca="1" si="72"/>
        <v>-1.6750253421887545E-2</v>
      </c>
      <c r="F659" s="189" t="b">
        <f t="shared" ca="1" si="73"/>
        <v>1</v>
      </c>
      <c r="G659" s="188">
        <f ca="1">IF(F659,IFERROR(((('Data Schema'!$C$3*(1+B659)^1)*((1-$I$4-$I$5+E659)*(1-$I$10)+$I$6-$I$11)-('Data Schema'!$C$3*(1+B659)^1-'Data Schema'!$C$3)*$I$12)/(1+C659)^1+(('Data Schema'!$C$3*(1+B659)^2)*((1-$I$4-$I$5+E659)*(1-$I$10)+$I$6-$I$11)-('Data Schema'!$C$3*(1+B659)^2-'Data Schema'!$C$3*(1+B659)^1)*$I$12)/(1+C659)^2+(('Data Schema'!$C$3*(1+B659)^3)*((1-$I$4-$I$5+E659)*(1-$I$10)+$I$6-$I$11)-('Data Schema'!$C$3*(1+B659)^3-'Data Schema'!$C$3*(1+B659)^2)*$I$12)/(1+C659)^3+(('Data Schema'!$C$3*(1+B659)^4)*((1-$I$4-$I$5+E659)*(1-$I$10)+$I$6-$I$11)-('Data Schema'!$C$3*(1+B659)^4-'Data Schema'!$C$3*(1+B659)^3)*$I$12)/(1+C659)^4+(('Data Schema'!$C$3*(1+B659)^5)*((1-$I$4-$I$5+E659)*(1-$I$10)+$I$6-$I$11)-('Data Schema'!$C$3*(1+B659)^5-'Data Schema'!$C$3*(1+B659)^4)*$I$12)/(1+C659)^5+((('Data Schema'!$C$3*(1+B659)^5)*((1-$I$4-$I$5+E659)*(1-$I$10)+$I$6-$I$11)-('Data Schema'!$C$3*(1+B659)^5-'Data Schema'!$C$3*(1+B659)^4)*$I$12)*(1+D659)/(C659-D659))/(1+C659)^5-'Data Schema'!$C$31+'Data Schema'!$C$21)/'Data Schema'!$B$17,0),"INVALID")</f>
        <v>33.051615620249422</v>
      </c>
      <c r="H659" s="189" t="b">
        <f t="shared" ca="1" si="74"/>
        <v>1</v>
      </c>
      <c r="I659" s="188">
        <f t="shared" ca="1" si="75"/>
        <v>33.051615620249422</v>
      </c>
      <c r="J659" s="349">
        <f t="shared" ca="1" si="68"/>
        <v>33.051615620249422</v>
      </c>
    </row>
    <row r="660" spans="1:10">
      <c r="A660" s="185">
        <v>481</v>
      </c>
      <c r="B660" s="190">
        <f t="shared" ca="1" si="69"/>
        <v>9.9052254143682586E-2</v>
      </c>
      <c r="C660" s="190">
        <f t="shared" ca="1" si="70"/>
        <v>6.5711193362777975E-2</v>
      </c>
      <c r="D660" s="190">
        <f t="shared" ca="1" si="71"/>
        <v>3.2614207089708552E-2</v>
      </c>
      <c r="E660" s="190">
        <f t="shared" ca="1" si="72"/>
        <v>1.168024367776975E-2</v>
      </c>
      <c r="F660" s="189" t="b">
        <f t="shared" ca="1" si="73"/>
        <v>1</v>
      </c>
      <c r="G660" s="188">
        <f ca="1">IF(F660,IFERROR(((('Data Schema'!$C$3*(1+B660)^1)*((1-$I$4-$I$5+E660)*(1-$I$10)+$I$6-$I$11)-('Data Schema'!$C$3*(1+B660)^1-'Data Schema'!$C$3)*$I$12)/(1+C660)^1+(('Data Schema'!$C$3*(1+B660)^2)*((1-$I$4-$I$5+E660)*(1-$I$10)+$I$6-$I$11)-('Data Schema'!$C$3*(1+B660)^2-'Data Schema'!$C$3*(1+B660)^1)*$I$12)/(1+C660)^2+(('Data Schema'!$C$3*(1+B660)^3)*((1-$I$4-$I$5+E660)*(1-$I$10)+$I$6-$I$11)-('Data Schema'!$C$3*(1+B660)^3-'Data Schema'!$C$3*(1+B660)^2)*$I$12)/(1+C660)^3+(('Data Schema'!$C$3*(1+B660)^4)*((1-$I$4-$I$5+E660)*(1-$I$10)+$I$6-$I$11)-('Data Schema'!$C$3*(1+B660)^4-'Data Schema'!$C$3*(1+B660)^3)*$I$12)/(1+C660)^4+(('Data Schema'!$C$3*(1+B660)^5)*((1-$I$4-$I$5+E660)*(1-$I$10)+$I$6-$I$11)-('Data Schema'!$C$3*(1+B660)^5-'Data Schema'!$C$3*(1+B660)^4)*$I$12)/(1+C660)^5+((('Data Schema'!$C$3*(1+B660)^5)*((1-$I$4-$I$5+E660)*(1-$I$10)+$I$6-$I$11)-('Data Schema'!$C$3*(1+B660)^5-'Data Schema'!$C$3*(1+B660)^4)*$I$12)*(1+D660)/(C660-D660))/(1+C660)^5-'Data Schema'!$C$31+'Data Schema'!$C$21)/'Data Schema'!$B$17,0),"INVALID")</f>
        <v>120.34795977786342</v>
      </c>
      <c r="H660" s="189" t="b">
        <f t="shared" ca="1" si="74"/>
        <v>1</v>
      </c>
      <c r="I660" s="188">
        <f t="shared" ca="1" si="75"/>
        <v>120.34795977786342</v>
      </c>
      <c r="J660" s="349">
        <f t="shared" ca="1" si="68"/>
        <v>120.34795977786342</v>
      </c>
    </row>
    <row r="661" spans="1:10">
      <c r="A661" s="184">
        <v>482</v>
      </c>
      <c r="B661" s="190">
        <f t="shared" ca="1" si="69"/>
        <v>0.128121120857562</v>
      </c>
      <c r="C661" s="190">
        <f t="shared" ca="1" si="70"/>
        <v>6.4236908029554757E-2</v>
      </c>
      <c r="D661" s="190">
        <f t="shared" ca="1" si="71"/>
        <v>2.3442324746988433E-2</v>
      </c>
      <c r="E661" s="190">
        <f t="shared" ca="1" si="72"/>
        <v>1.8108510135807547E-2</v>
      </c>
      <c r="F661" s="189" t="b">
        <f t="shared" ca="1" si="73"/>
        <v>1</v>
      </c>
      <c r="G661" s="188">
        <f ca="1">IF(F661,IFERROR(((('Data Schema'!$C$3*(1+B661)^1)*((1-$I$4-$I$5+E661)*(1-$I$10)+$I$6-$I$11)-('Data Schema'!$C$3*(1+B661)^1-'Data Schema'!$C$3)*$I$12)/(1+C661)^1+(('Data Schema'!$C$3*(1+B661)^2)*((1-$I$4-$I$5+E661)*(1-$I$10)+$I$6-$I$11)-('Data Schema'!$C$3*(1+B661)^2-'Data Schema'!$C$3*(1+B661)^1)*$I$12)/(1+C661)^2+(('Data Schema'!$C$3*(1+B661)^3)*((1-$I$4-$I$5+E661)*(1-$I$10)+$I$6-$I$11)-('Data Schema'!$C$3*(1+B661)^3-'Data Schema'!$C$3*(1+B661)^2)*$I$12)/(1+C661)^3+(('Data Schema'!$C$3*(1+B661)^4)*((1-$I$4-$I$5+E661)*(1-$I$10)+$I$6-$I$11)-('Data Schema'!$C$3*(1+B661)^4-'Data Schema'!$C$3*(1+B661)^3)*$I$12)/(1+C661)^4+(('Data Schema'!$C$3*(1+B661)^5)*((1-$I$4-$I$5+E661)*(1-$I$10)+$I$6-$I$11)-('Data Schema'!$C$3*(1+B661)^5-'Data Schema'!$C$3*(1+B661)^4)*$I$12)/(1+C661)^5+((('Data Schema'!$C$3*(1+B661)^5)*((1-$I$4-$I$5+E661)*(1-$I$10)+$I$6-$I$11)-('Data Schema'!$C$3*(1+B661)^5-'Data Schema'!$C$3*(1+B661)^4)*$I$12)*(1+D661)/(C661-D661))/(1+C661)^5-'Data Schema'!$C$31+'Data Schema'!$C$21)/'Data Schema'!$B$17,0),"INVALID")</f>
        <v>128.56262221563992</v>
      </c>
      <c r="H661" s="189" t="b">
        <f t="shared" ca="1" si="74"/>
        <v>1</v>
      </c>
      <c r="I661" s="188">
        <f t="shared" ca="1" si="75"/>
        <v>128.56262221563992</v>
      </c>
      <c r="J661" s="349">
        <f t="shared" ca="1" si="68"/>
        <v>128.56262221563992</v>
      </c>
    </row>
    <row r="662" spans="1:10">
      <c r="A662" s="185">
        <v>483</v>
      </c>
      <c r="B662" s="190">
        <f t="shared" ca="1" si="69"/>
        <v>8.9833271238747889E-2</v>
      </c>
      <c r="C662" s="190">
        <f t="shared" ca="1" si="70"/>
        <v>5.2655134986061329E-2</v>
      </c>
      <c r="D662" s="190">
        <f t="shared" ca="1" si="71"/>
        <v>2.2375459297735819E-2</v>
      </c>
      <c r="E662" s="190">
        <f t="shared" ca="1" si="72"/>
        <v>-3.2823644052381112E-2</v>
      </c>
      <c r="F662" s="189" t="b">
        <f t="shared" ca="1" si="73"/>
        <v>1</v>
      </c>
      <c r="G662" s="188">
        <f ca="1">IF(F662,IFERROR(((('Data Schema'!$C$3*(1+B662)^1)*((1-$I$4-$I$5+E662)*(1-$I$10)+$I$6-$I$11)-('Data Schema'!$C$3*(1+B662)^1-'Data Schema'!$C$3)*$I$12)/(1+C662)^1+(('Data Schema'!$C$3*(1+B662)^2)*((1-$I$4-$I$5+E662)*(1-$I$10)+$I$6-$I$11)-('Data Schema'!$C$3*(1+B662)^2-'Data Schema'!$C$3*(1+B662)^1)*$I$12)/(1+C662)^2+(('Data Schema'!$C$3*(1+B662)^3)*((1-$I$4-$I$5+E662)*(1-$I$10)+$I$6-$I$11)-('Data Schema'!$C$3*(1+B662)^3-'Data Schema'!$C$3*(1+B662)^2)*$I$12)/(1+C662)^3+(('Data Schema'!$C$3*(1+B662)^4)*((1-$I$4-$I$5+E662)*(1-$I$10)+$I$6-$I$11)-('Data Schema'!$C$3*(1+B662)^4-'Data Schema'!$C$3*(1+B662)^3)*$I$12)/(1+C662)^4+(('Data Schema'!$C$3*(1+B662)^5)*((1-$I$4-$I$5+E662)*(1-$I$10)+$I$6-$I$11)-('Data Schema'!$C$3*(1+B662)^5-'Data Schema'!$C$3*(1+B662)^4)*$I$12)/(1+C662)^5+((('Data Schema'!$C$3*(1+B662)^5)*((1-$I$4-$I$5+E662)*(1-$I$10)+$I$6-$I$11)-('Data Schema'!$C$3*(1+B662)^5-'Data Schema'!$C$3*(1+B662)^4)*$I$12)*(1+D662)/(C662-D662))/(1+C662)^5-'Data Schema'!$C$31+'Data Schema'!$C$21)/'Data Schema'!$B$17,0),"INVALID")</f>
        <v>-3.0285061112235749</v>
      </c>
      <c r="H662" s="189" t="b">
        <f t="shared" ca="1" si="74"/>
        <v>0</v>
      </c>
      <c r="I662" s="188" t="str">
        <f t="shared" ca="1" si="75"/>
        <v/>
      </c>
      <c r="J662" s="349" t="str">
        <f t="shared" ca="1" si="68"/>
        <v/>
      </c>
    </row>
    <row r="663" spans="1:10">
      <c r="A663" s="184">
        <v>484</v>
      </c>
      <c r="B663" s="190">
        <f t="shared" ca="1" si="69"/>
        <v>8.7158230865006348E-2</v>
      </c>
      <c r="C663" s="190">
        <f t="shared" ca="1" si="70"/>
        <v>7.3502912260617267E-2</v>
      </c>
      <c r="D663" s="190">
        <f t="shared" ca="1" si="71"/>
        <v>2.3710065763048942E-2</v>
      </c>
      <c r="E663" s="190">
        <f t="shared" ca="1" si="72"/>
        <v>3.1483032923032186E-2</v>
      </c>
      <c r="F663" s="189" t="b">
        <f t="shared" ca="1" si="73"/>
        <v>1</v>
      </c>
      <c r="G663" s="188">
        <f ca="1">IF(F663,IFERROR(((('Data Schema'!$C$3*(1+B663)^1)*((1-$I$4-$I$5+E663)*(1-$I$10)+$I$6-$I$11)-('Data Schema'!$C$3*(1+B663)^1-'Data Schema'!$C$3)*$I$12)/(1+C663)^1+(('Data Schema'!$C$3*(1+B663)^2)*((1-$I$4-$I$5+E663)*(1-$I$10)+$I$6-$I$11)-('Data Schema'!$C$3*(1+B663)^2-'Data Schema'!$C$3*(1+B663)^1)*$I$12)/(1+C663)^2+(('Data Schema'!$C$3*(1+B663)^3)*((1-$I$4-$I$5+E663)*(1-$I$10)+$I$6-$I$11)-('Data Schema'!$C$3*(1+B663)^3-'Data Schema'!$C$3*(1+B663)^2)*$I$12)/(1+C663)^3+(('Data Schema'!$C$3*(1+B663)^4)*((1-$I$4-$I$5+E663)*(1-$I$10)+$I$6-$I$11)-('Data Schema'!$C$3*(1+B663)^4-'Data Schema'!$C$3*(1+B663)^3)*$I$12)/(1+C663)^4+(('Data Schema'!$C$3*(1+B663)^5)*((1-$I$4-$I$5+E663)*(1-$I$10)+$I$6-$I$11)-('Data Schema'!$C$3*(1+B663)^5-'Data Schema'!$C$3*(1+B663)^4)*$I$12)/(1+C663)^5+((('Data Schema'!$C$3*(1+B663)^5)*((1-$I$4-$I$5+E663)*(1-$I$10)+$I$6-$I$11)-('Data Schema'!$C$3*(1+B663)^5-'Data Schema'!$C$3*(1+B663)^4)*$I$12)*(1+D663)/(C663-D663))/(1+C663)^5-'Data Schema'!$C$31+'Data Schema'!$C$21)/'Data Schema'!$B$17,0),"INVALID")</f>
        <v>111.6255123202592</v>
      </c>
      <c r="H663" s="189" t="b">
        <f t="shared" ca="1" si="74"/>
        <v>1</v>
      </c>
      <c r="I663" s="188">
        <f t="shared" ca="1" si="75"/>
        <v>111.6255123202592</v>
      </c>
      <c r="J663" s="349">
        <f t="shared" ca="1" si="68"/>
        <v>111.6255123202592</v>
      </c>
    </row>
    <row r="664" spans="1:10">
      <c r="A664" s="185">
        <v>485</v>
      </c>
      <c r="B664" s="190">
        <f t="shared" ca="1" si="69"/>
        <v>7.7348489953476249E-2</v>
      </c>
      <c r="C664" s="190">
        <f t="shared" ca="1" si="70"/>
        <v>6.050501491591196E-2</v>
      </c>
      <c r="D664" s="190">
        <f t="shared" ca="1" si="71"/>
        <v>2.8009076656927714E-2</v>
      </c>
      <c r="E664" s="190">
        <f t="shared" ca="1" si="72"/>
        <v>3.9910834539406442E-2</v>
      </c>
      <c r="F664" s="189" t="b">
        <f t="shared" ca="1" si="73"/>
        <v>1</v>
      </c>
      <c r="G664" s="188">
        <f ca="1">IF(F664,IFERROR(((('Data Schema'!$C$3*(1+B664)^1)*((1-$I$4-$I$5+E664)*(1-$I$10)+$I$6-$I$11)-('Data Schema'!$C$3*(1+B664)^1-'Data Schema'!$C$3)*$I$12)/(1+C664)^1+(('Data Schema'!$C$3*(1+B664)^2)*((1-$I$4-$I$5+E664)*(1-$I$10)+$I$6-$I$11)-('Data Schema'!$C$3*(1+B664)^2-'Data Schema'!$C$3*(1+B664)^1)*$I$12)/(1+C664)^2+(('Data Schema'!$C$3*(1+B664)^3)*((1-$I$4-$I$5+E664)*(1-$I$10)+$I$6-$I$11)-('Data Schema'!$C$3*(1+B664)^3-'Data Schema'!$C$3*(1+B664)^2)*$I$12)/(1+C664)^3+(('Data Schema'!$C$3*(1+B664)^4)*((1-$I$4-$I$5+E664)*(1-$I$10)+$I$6-$I$11)-('Data Schema'!$C$3*(1+B664)^4-'Data Schema'!$C$3*(1+B664)^3)*$I$12)/(1+C664)^4+(('Data Schema'!$C$3*(1+B664)^5)*((1-$I$4-$I$5+E664)*(1-$I$10)+$I$6-$I$11)-('Data Schema'!$C$3*(1+B664)^5-'Data Schema'!$C$3*(1+B664)^4)*$I$12)/(1+C664)^5+((('Data Schema'!$C$3*(1+B664)^5)*((1-$I$4-$I$5+E664)*(1-$I$10)+$I$6-$I$11)-('Data Schema'!$C$3*(1+B664)^5-'Data Schema'!$C$3*(1+B664)^4)*$I$12)*(1+D664)/(C664-D664))/(1+C664)^5-'Data Schema'!$C$31+'Data Schema'!$C$21)/'Data Schema'!$B$17,0),"INVALID")</f>
        <v>188.59389554241469</v>
      </c>
      <c r="H664" s="189" t="b">
        <f t="shared" ca="1" si="74"/>
        <v>1</v>
      </c>
      <c r="I664" s="188">
        <f t="shared" ca="1" si="75"/>
        <v>188.59389554241469</v>
      </c>
      <c r="J664" s="349">
        <f t="shared" ca="1" si="68"/>
        <v>188.59389554241469</v>
      </c>
    </row>
    <row r="665" spans="1:10">
      <c r="A665" s="184">
        <v>486</v>
      </c>
      <c r="B665" s="190">
        <f t="shared" ca="1" si="69"/>
        <v>9.7993717202157438E-2</v>
      </c>
      <c r="C665" s="190">
        <f t="shared" ca="1" si="70"/>
        <v>7.5222218053926287E-2</v>
      </c>
      <c r="D665" s="190">
        <f t="shared" ca="1" si="71"/>
        <v>1.8007827214811152E-2</v>
      </c>
      <c r="E665" s="190">
        <f t="shared" ca="1" si="72"/>
        <v>1.7767532786845532E-2</v>
      </c>
      <c r="F665" s="189" t="b">
        <f t="shared" ca="1" si="73"/>
        <v>1</v>
      </c>
      <c r="G665" s="188">
        <f ca="1">IF(F665,IFERROR(((('Data Schema'!$C$3*(1+B665)^1)*((1-$I$4-$I$5+E665)*(1-$I$10)+$I$6-$I$11)-('Data Schema'!$C$3*(1+B665)^1-'Data Schema'!$C$3)*$I$12)/(1+C665)^1+(('Data Schema'!$C$3*(1+B665)^2)*((1-$I$4-$I$5+E665)*(1-$I$10)+$I$6-$I$11)-('Data Schema'!$C$3*(1+B665)^2-'Data Schema'!$C$3*(1+B665)^1)*$I$12)/(1+C665)^2+(('Data Schema'!$C$3*(1+B665)^3)*((1-$I$4-$I$5+E665)*(1-$I$10)+$I$6-$I$11)-('Data Schema'!$C$3*(1+B665)^3-'Data Schema'!$C$3*(1+B665)^2)*$I$12)/(1+C665)^3+(('Data Schema'!$C$3*(1+B665)^4)*((1-$I$4-$I$5+E665)*(1-$I$10)+$I$6-$I$11)-('Data Schema'!$C$3*(1+B665)^4-'Data Schema'!$C$3*(1+B665)^3)*$I$12)/(1+C665)^4+(('Data Schema'!$C$3*(1+B665)^5)*((1-$I$4-$I$5+E665)*(1-$I$10)+$I$6-$I$11)-('Data Schema'!$C$3*(1+B665)^5-'Data Schema'!$C$3*(1+B665)^4)*$I$12)/(1+C665)^5+((('Data Schema'!$C$3*(1+B665)^5)*((1-$I$4-$I$5+E665)*(1-$I$10)+$I$6-$I$11)-('Data Schema'!$C$3*(1+B665)^5-'Data Schema'!$C$3*(1+B665)^4)*$I$12)*(1+D665)/(C665-D665))/(1+C665)^5-'Data Schema'!$C$31+'Data Schema'!$C$21)/'Data Schema'!$B$17,0),"INVALID")</f>
        <v>79.480627548895399</v>
      </c>
      <c r="H665" s="189" t="b">
        <f t="shared" ca="1" si="74"/>
        <v>1</v>
      </c>
      <c r="I665" s="188">
        <f t="shared" ca="1" si="75"/>
        <v>79.480627548895399</v>
      </c>
      <c r="J665" s="349">
        <f t="shared" ca="1" si="68"/>
        <v>79.480627548895399</v>
      </c>
    </row>
    <row r="666" spans="1:10">
      <c r="A666" s="185">
        <v>487</v>
      </c>
      <c r="B666" s="190">
        <f t="shared" ca="1" si="69"/>
        <v>0.13012563483991535</v>
      </c>
      <c r="C666" s="190">
        <f t="shared" ca="1" si="70"/>
        <v>4.6148391853834222E-2</v>
      </c>
      <c r="D666" s="190">
        <f t="shared" ca="1" si="71"/>
        <v>1.5874404733773495E-2</v>
      </c>
      <c r="E666" s="190">
        <f t="shared" ca="1" si="72"/>
        <v>5.6763873733260755E-3</v>
      </c>
      <c r="F666" s="189" t="b">
        <f t="shared" ca="1" si="73"/>
        <v>1</v>
      </c>
      <c r="G666" s="188">
        <f ca="1">IF(F666,IFERROR(((('Data Schema'!$C$3*(1+B666)^1)*((1-$I$4-$I$5+E666)*(1-$I$10)+$I$6-$I$11)-('Data Schema'!$C$3*(1+B666)^1-'Data Schema'!$C$3)*$I$12)/(1+C666)^1+(('Data Schema'!$C$3*(1+B666)^2)*((1-$I$4-$I$5+E666)*(1-$I$10)+$I$6-$I$11)-('Data Schema'!$C$3*(1+B666)^2-'Data Schema'!$C$3*(1+B666)^1)*$I$12)/(1+C666)^2+(('Data Schema'!$C$3*(1+B666)^3)*((1-$I$4-$I$5+E666)*(1-$I$10)+$I$6-$I$11)-('Data Schema'!$C$3*(1+B666)^3-'Data Schema'!$C$3*(1+B666)^2)*$I$12)/(1+C666)^3+(('Data Schema'!$C$3*(1+B666)^4)*((1-$I$4-$I$5+E666)*(1-$I$10)+$I$6-$I$11)-('Data Schema'!$C$3*(1+B666)^4-'Data Schema'!$C$3*(1+B666)^3)*$I$12)/(1+C666)^4+(('Data Schema'!$C$3*(1+B666)^5)*((1-$I$4-$I$5+E666)*(1-$I$10)+$I$6-$I$11)-('Data Schema'!$C$3*(1+B666)^5-'Data Schema'!$C$3*(1+B666)^4)*$I$12)/(1+C666)^5+((('Data Schema'!$C$3*(1+B666)^5)*((1-$I$4-$I$5+E666)*(1-$I$10)+$I$6-$I$11)-('Data Schema'!$C$3*(1+B666)^5-'Data Schema'!$C$3*(1+B666)^4)*$I$12)*(1+D666)/(C666-D666))/(1+C666)^5-'Data Schema'!$C$31+'Data Schema'!$C$21)/'Data Schema'!$B$17,0),"INVALID")</f>
        <v>137.60823251892211</v>
      </c>
      <c r="H666" s="189" t="b">
        <f t="shared" ca="1" si="74"/>
        <v>1</v>
      </c>
      <c r="I666" s="188">
        <f t="shared" ca="1" si="75"/>
        <v>137.60823251892211</v>
      </c>
      <c r="J666" s="349">
        <f t="shared" ca="1" si="68"/>
        <v>137.60823251892211</v>
      </c>
    </row>
    <row r="667" spans="1:10">
      <c r="A667" s="184">
        <v>488</v>
      </c>
      <c r="B667" s="190">
        <f t="shared" ca="1" si="69"/>
        <v>9.1980537080614669E-2</v>
      </c>
      <c r="C667" s="190">
        <f t="shared" ca="1" si="70"/>
        <v>6.2203231770928527E-2</v>
      </c>
      <c r="D667" s="190">
        <f t="shared" ca="1" si="71"/>
        <v>2.1508160402453555E-2</v>
      </c>
      <c r="E667" s="190">
        <f t="shared" ca="1" si="72"/>
        <v>1.0669302238841993E-2</v>
      </c>
      <c r="F667" s="189" t="b">
        <f t="shared" ca="1" si="73"/>
        <v>1</v>
      </c>
      <c r="G667" s="188">
        <f ca="1">IF(F667,IFERROR(((('Data Schema'!$C$3*(1+B667)^1)*((1-$I$4-$I$5+E667)*(1-$I$10)+$I$6-$I$11)-('Data Schema'!$C$3*(1+B667)^1-'Data Schema'!$C$3)*$I$12)/(1+C667)^1+(('Data Schema'!$C$3*(1+B667)^2)*((1-$I$4-$I$5+E667)*(1-$I$10)+$I$6-$I$11)-('Data Schema'!$C$3*(1+B667)^2-'Data Schema'!$C$3*(1+B667)^1)*$I$12)/(1+C667)^2+(('Data Schema'!$C$3*(1+B667)^3)*((1-$I$4-$I$5+E667)*(1-$I$10)+$I$6-$I$11)-('Data Schema'!$C$3*(1+B667)^3-'Data Schema'!$C$3*(1+B667)^2)*$I$12)/(1+C667)^3+(('Data Schema'!$C$3*(1+B667)^4)*((1-$I$4-$I$5+E667)*(1-$I$10)+$I$6-$I$11)-('Data Schema'!$C$3*(1+B667)^4-'Data Schema'!$C$3*(1+B667)^3)*$I$12)/(1+C667)^4+(('Data Schema'!$C$3*(1+B667)^5)*((1-$I$4-$I$5+E667)*(1-$I$10)+$I$6-$I$11)-('Data Schema'!$C$3*(1+B667)^5-'Data Schema'!$C$3*(1+B667)^4)*$I$12)/(1+C667)^5+((('Data Schema'!$C$3*(1+B667)^5)*((1-$I$4-$I$5+E667)*(1-$I$10)+$I$6-$I$11)-('Data Schema'!$C$3*(1+B667)^5-'Data Schema'!$C$3*(1+B667)^4)*$I$12)*(1+D667)/(C667-D667))/(1+C667)^5-'Data Schema'!$C$31+'Data Schema'!$C$21)/'Data Schema'!$B$17,0),"INVALID")</f>
        <v>95.208941087373788</v>
      </c>
      <c r="H667" s="189" t="b">
        <f t="shared" ca="1" si="74"/>
        <v>1</v>
      </c>
      <c r="I667" s="188">
        <f t="shared" ca="1" si="75"/>
        <v>95.208941087373788</v>
      </c>
      <c r="J667" s="349">
        <f t="shared" ca="1" si="68"/>
        <v>95.208941087373788</v>
      </c>
    </row>
    <row r="668" spans="1:10">
      <c r="A668" s="185">
        <v>489</v>
      </c>
      <c r="B668" s="190">
        <f t="shared" ca="1" si="69"/>
        <v>0.10823936382575249</v>
      </c>
      <c r="C668" s="190">
        <f t="shared" ca="1" si="70"/>
        <v>5.7920213909278997E-2</v>
      </c>
      <c r="D668" s="190">
        <f t="shared" ca="1" si="71"/>
        <v>3.0139952725884329E-2</v>
      </c>
      <c r="E668" s="190">
        <f t="shared" ca="1" si="72"/>
        <v>1.7385394989842876E-2</v>
      </c>
      <c r="F668" s="189" t="b">
        <f t="shared" ca="1" si="73"/>
        <v>1</v>
      </c>
      <c r="G668" s="188">
        <f ca="1">IF(F668,IFERROR(((('Data Schema'!$C$3*(1+B668)^1)*((1-$I$4-$I$5+E668)*(1-$I$10)+$I$6-$I$11)-('Data Schema'!$C$3*(1+B668)^1-'Data Schema'!$C$3)*$I$12)/(1+C668)^1+(('Data Schema'!$C$3*(1+B668)^2)*((1-$I$4-$I$5+E668)*(1-$I$10)+$I$6-$I$11)-('Data Schema'!$C$3*(1+B668)^2-'Data Schema'!$C$3*(1+B668)^1)*$I$12)/(1+C668)^2+(('Data Schema'!$C$3*(1+B668)^3)*((1-$I$4-$I$5+E668)*(1-$I$10)+$I$6-$I$11)-('Data Schema'!$C$3*(1+B668)^3-'Data Schema'!$C$3*(1+B668)^2)*$I$12)/(1+C668)^3+(('Data Schema'!$C$3*(1+B668)^4)*((1-$I$4-$I$5+E668)*(1-$I$10)+$I$6-$I$11)-('Data Schema'!$C$3*(1+B668)^4-'Data Schema'!$C$3*(1+B668)^3)*$I$12)/(1+C668)^4+(('Data Schema'!$C$3*(1+B668)^5)*((1-$I$4-$I$5+E668)*(1-$I$10)+$I$6-$I$11)-('Data Schema'!$C$3*(1+B668)^5-'Data Schema'!$C$3*(1+B668)^4)*$I$12)/(1+C668)^5+((('Data Schema'!$C$3*(1+B668)^5)*((1-$I$4-$I$5+E668)*(1-$I$10)+$I$6-$I$11)-('Data Schema'!$C$3*(1+B668)^5-'Data Schema'!$C$3*(1+B668)^4)*$I$12)*(1+D668)/(C668-D668))/(1+C668)^5-'Data Schema'!$C$31+'Data Schema'!$C$21)/'Data Schema'!$B$17,0),"INVALID")</f>
        <v>172.03600017794204</v>
      </c>
      <c r="H668" s="189" t="b">
        <f t="shared" ca="1" si="74"/>
        <v>1</v>
      </c>
      <c r="I668" s="188">
        <f t="shared" ca="1" si="75"/>
        <v>172.03600017794204</v>
      </c>
      <c r="J668" s="349">
        <f t="shared" ca="1" si="68"/>
        <v>172.03600017794204</v>
      </c>
    </row>
    <row r="669" spans="1:10">
      <c r="A669" s="184">
        <v>490</v>
      </c>
      <c r="B669" s="190">
        <f t="shared" ca="1" si="69"/>
        <v>7.8644209142792978E-2</v>
      </c>
      <c r="C669" s="190">
        <f t="shared" ca="1" si="70"/>
        <v>7.4484207867097862E-2</v>
      </c>
      <c r="D669" s="190">
        <f t="shared" ca="1" si="71"/>
        <v>2.4218773727900874E-2</v>
      </c>
      <c r="E669" s="190">
        <f t="shared" ca="1" si="72"/>
        <v>1.4370784835045797E-2</v>
      </c>
      <c r="F669" s="189" t="b">
        <f t="shared" ca="1" si="73"/>
        <v>1</v>
      </c>
      <c r="G669" s="188">
        <f ca="1">IF(F669,IFERROR(((('Data Schema'!$C$3*(1+B669)^1)*((1-$I$4-$I$5+E669)*(1-$I$10)+$I$6-$I$11)-('Data Schema'!$C$3*(1+B669)^1-'Data Schema'!$C$3)*$I$12)/(1+C669)^1+(('Data Schema'!$C$3*(1+B669)^2)*((1-$I$4-$I$5+E669)*(1-$I$10)+$I$6-$I$11)-('Data Schema'!$C$3*(1+B669)^2-'Data Schema'!$C$3*(1+B669)^1)*$I$12)/(1+C669)^2+(('Data Schema'!$C$3*(1+B669)^3)*((1-$I$4-$I$5+E669)*(1-$I$10)+$I$6-$I$11)-('Data Schema'!$C$3*(1+B669)^3-'Data Schema'!$C$3*(1+B669)^2)*$I$12)/(1+C669)^3+(('Data Schema'!$C$3*(1+B669)^4)*((1-$I$4-$I$5+E669)*(1-$I$10)+$I$6-$I$11)-('Data Schema'!$C$3*(1+B669)^4-'Data Schema'!$C$3*(1+B669)^3)*$I$12)/(1+C669)^4+(('Data Schema'!$C$3*(1+B669)^5)*((1-$I$4-$I$5+E669)*(1-$I$10)+$I$6-$I$11)-('Data Schema'!$C$3*(1+B669)^5-'Data Schema'!$C$3*(1+B669)^4)*$I$12)/(1+C669)^5+((('Data Schema'!$C$3*(1+B669)^5)*((1-$I$4-$I$5+E669)*(1-$I$10)+$I$6-$I$11)-('Data Schema'!$C$3*(1+B669)^5-'Data Schema'!$C$3*(1+B669)^4)*$I$12)*(1+D669)/(C669-D669))/(1+C669)^5-'Data Schema'!$C$31+'Data Schema'!$C$21)/'Data Schema'!$B$17,0),"INVALID")</f>
        <v>76.955918333848146</v>
      </c>
      <c r="H669" s="189" t="b">
        <f t="shared" ca="1" si="74"/>
        <v>1</v>
      </c>
      <c r="I669" s="188">
        <f t="shared" ca="1" si="75"/>
        <v>76.955918333848146</v>
      </c>
      <c r="J669" s="349">
        <f t="shared" ca="1" si="68"/>
        <v>76.955918333848146</v>
      </c>
    </row>
    <row r="670" spans="1:10">
      <c r="A670" s="185">
        <v>491</v>
      </c>
      <c r="B670" s="190">
        <f t="shared" ca="1" si="69"/>
        <v>3.229160213348041E-2</v>
      </c>
      <c r="C670" s="190">
        <f t="shared" ca="1" si="70"/>
        <v>6.2952677537909257E-2</v>
      </c>
      <c r="D670" s="190">
        <f t="shared" ca="1" si="71"/>
        <v>2.0900107895039106E-2</v>
      </c>
      <c r="E670" s="190">
        <f t="shared" ca="1" si="72"/>
        <v>-9.3917726296368041E-3</v>
      </c>
      <c r="F670" s="189" t="b">
        <f t="shared" ca="1" si="73"/>
        <v>1</v>
      </c>
      <c r="G670" s="188">
        <f ca="1">IF(F670,IFERROR(((('Data Schema'!$C$3*(1+B670)^1)*((1-$I$4-$I$5+E670)*(1-$I$10)+$I$6-$I$11)-('Data Schema'!$C$3*(1+B670)^1-'Data Schema'!$C$3)*$I$12)/(1+C670)^1+(('Data Schema'!$C$3*(1+B670)^2)*((1-$I$4-$I$5+E670)*(1-$I$10)+$I$6-$I$11)-('Data Schema'!$C$3*(1+B670)^2-'Data Schema'!$C$3*(1+B670)^1)*$I$12)/(1+C670)^2+(('Data Schema'!$C$3*(1+B670)^3)*((1-$I$4-$I$5+E670)*(1-$I$10)+$I$6-$I$11)-('Data Schema'!$C$3*(1+B670)^3-'Data Schema'!$C$3*(1+B670)^2)*$I$12)/(1+C670)^3+(('Data Schema'!$C$3*(1+B670)^4)*((1-$I$4-$I$5+E670)*(1-$I$10)+$I$6-$I$11)-('Data Schema'!$C$3*(1+B670)^4-'Data Schema'!$C$3*(1+B670)^3)*$I$12)/(1+C670)^4+(('Data Schema'!$C$3*(1+B670)^5)*((1-$I$4-$I$5+E670)*(1-$I$10)+$I$6-$I$11)-('Data Schema'!$C$3*(1+B670)^5-'Data Schema'!$C$3*(1+B670)^4)*$I$12)/(1+C670)^5+((('Data Schema'!$C$3*(1+B670)^5)*((1-$I$4-$I$5+E670)*(1-$I$10)+$I$6-$I$11)-('Data Schema'!$C$3*(1+B670)^5-'Data Schema'!$C$3*(1+B670)^4)*$I$12)*(1+D670)/(C670-D670))/(1+C670)^5-'Data Schema'!$C$31+'Data Schema'!$C$21)/'Data Schema'!$B$17,0),"INVALID")</f>
        <v>37.45810284216482</v>
      </c>
      <c r="H670" s="189" t="b">
        <f t="shared" ca="1" si="74"/>
        <v>1</v>
      </c>
      <c r="I670" s="188">
        <f t="shared" ca="1" si="75"/>
        <v>37.45810284216482</v>
      </c>
      <c r="J670" s="349">
        <f t="shared" ca="1" si="68"/>
        <v>37.45810284216482</v>
      </c>
    </row>
    <row r="671" spans="1:10">
      <c r="A671" s="184">
        <v>492</v>
      </c>
      <c r="B671" s="190">
        <f t="shared" ca="1" si="69"/>
        <v>0.1179099843997691</v>
      </c>
      <c r="C671" s="190">
        <f t="shared" ca="1" si="70"/>
        <v>7.1954799091252894E-2</v>
      </c>
      <c r="D671" s="190">
        <f t="shared" ca="1" si="71"/>
        <v>3.4203489603004046E-2</v>
      </c>
      <c r="E671" s="190">
        <f t="shared" ca="1" si="72"/>
        <v>9.877123175283122E-4</v>
      </c>
      <c r="F671" s="189" t="b">
        <f t="shared" ca="1" si="73"/>
        <v>1</v>
      </c>
      <c r="G671" s="188">
        <f ca="1">IF(F671,IFERROR(((('Data Schema'!$C$3*(1+B671)^1)*((1-$I$4-$I$5+E671)*(1-$I$10)+$I$6-$I$11)-('Data Schema'!$C$3*(1+B671)^1-'Data Schema'!$C$3)*$I$12)/(1+C671)^1+(('Data Schema'!$C$3*(1+B671)^2)*((1-$I$4-$I$5+E671)*(1-$I$10)+$I$6-$I$11)-('Data Schema'!$C$3*(1+B671)^2-'Data Schema'!$C$3*(1+B671)^1)*$I$12)/(1+C671)^2+(('Data Schema'!$C$3*(1+B671)^3)*((1-$I$4-$I$5+E671)*(1-$I$10)+$I$6-$I$11)-('Data Schema'!$C$3*(1+B671)^3-'Data Schema'!$C$3*(1+B671)^2)*$I$12)/(1+C671)^3+(('Data Schema'!$C$3*(1+B671)^4)*((1-$I$4-$I$5+E671)*(1-$I$10)+$I$6-$I$11)-('Data Schema'!$C$3*(1+B671)^4-'Data Schema'!$C$3*(1+B671)^3)*$I$12)/(1+C671)^4+(('Data Schema'!$C$3*(1+B671)^5)*((1-$I$4-$I$5+E671)*(1-$I$10)+$I$6-$I$11)-('Data Schema'!$C$3*(1+B671)^5-'Data Schema'!$C$3*(1+B671)^4)*$I$12)/(1+C671)^5+((('Data Schema'!$C$3*(1+B671)^5)*((1-$I$4-$I$5+E671)*(1-$I$10)+$I$6-$I$11)-('Data Schema'!$C$3*(1+B671)^5-'Data Schema'!$C$3*(1+B671)^4)*$I$12)*(1+D671)/(C671-D671))/(1+C671)^5-'Data Schema'!$C$31+'Data Schema'!$C$21)/'Data Schema'!$B$17,0),"INVALID")</f>
        <v>83.797806825979748</v>
      </c>
      <c r="H671" s="189" t="b">
        <f t="shared" ca="1" si="74"/>
        <v>1</v>
      </c>
      <c r="I671" s="188">
        <f t="shared" ca="1" si="75"/>
        <v>83.797806825979748</v>
      </c>
      <c r="J671" s="349">
        <f t="shared" ca="1" si="68"/>
        <v>83.797806825979748</v>
      </c>
    </row>
    <row r="672" spans="1:10">
      <c r="A672" s="185">
        <v>493</v>
      </c>
      <c r="B672" s="190">
        <f t="shared" ca="1" si="69"/>
        <v>0.10794329516981607</v>
      </c>
      <c r="C672" s="190">
        <f t="shared" ca="1" si="70"/>
        <v>8.3701070585393084E-2</v>
      </c>
      <c r="D672" s="190">
        <f t="shared" ca="1" si="71"/>
        <v>2.7524530584813404E-2</v>
      </c>
      <c r="E672" s="190">
        <f t="shared" ca="1" si="72"/>
        <v>-9.544914505259218E-3</v>
      </c>
      <c r="F672" s="189" t="b">
        <f t="shared" ca="1" si="73"/>
        <v>1</v>
      </c>
      <c r="G672" s="188">
        <f ca="1">IF(F672,IFERROR(((('Data Schema'!$C$3*(1+B672)^1)*((1-$I$4-$I$5+E672)*(1-$I$10)+$I$6-$I$11)-('Data Schema'!$C$3*(1+B672)^1-'Data Schema'!$C$3)*$I$12)/(1+C672)^1+(('Data Schema'!$C$3*(1+B672)^2)*((1-$I$4-$I$5+E672)*(1-$I$10)+$I$6-$I$11)-('Data Schema'!$C$3*(1+B672)^2-'Data Schema'!$C$3*(1+B672)^1)*$I$12)/(1+C672)^2+(('Data Schema'!$C$3*(1+B672)^3)*((1-$I$4-$I$5+E672)*(1-$I$10)+$I$6-$I$11)-('Data Schema'!$C$3*(1+B672)^3-'Data Schema'!$C$3*(1+B672)^2)*$I$12)/(1+C672)^3+(('Data Schema'!$C$3*(1+B672)^4)*((1-$I$4-$I$5+E672)*(1-$I$10)+$I$6-$I$11)-('Data Schema'!$C$3*(1+B672)^4-'Data Schema'!$C$3*(1+B672)^3)*$I$12)/(1+C672)^4+(('Data Schema'!$C$3*(1+B672)^5)*((1-$I$4-$I$5+E672)*(1-$I$10)+$I$6-$I$11)-('Data Schema'!$C$3*(1+B672)^5-'Data Schema'!$C$3*(1+B672)^4)*$I$12)/(1+C672)^5+((('Data Schema'!$C$3*(1+B672)^5)*((1-$I$4-$I$5+E672)*(1-$I$10)+$I$6-$I$11)-('Data Schema'!$C$3*(1+B672)^5-'Data Schema'!$C$3*(1+B672)^4)*$I$12)*(1+D672)/(C672-D672))/(1+C672)^5-'Data Schema'!$C$31+'Data Schema'!$C$21)/'Data Schema'!$B$17,0),"INVALID")</f>
        <v>34.547915409800972</v>
      </c>
      <c r="H672" s="189" t="b">
        <f t="shared" ca="1" si="74"/>
        <v>1</v>
      </c>
      <c r="I672" s="188">
        <f t="shared" ca="1" si="75"/>
        <v>34.547915409800972</v>
      </c>
      <c r="J672" s="349">
        <f t="shared" ca="1" si="68"/>
        <v>34.547915409800972</v>
      </c>
    </row>
    <row r="673" spans="1:10">
      <c r="A673" s="184">
        <v>494</v>
      </c>
      <c r="B673" s="190">
        <f t="shared" ca="1" si="69"/>
        <v>0.101607537814921</v>
      </c>
      <c r="C673" s="190">
        <f t="shared" ca="1" si="70"/>
        <v>4.4769852847615713E-2</v>
      </c>
      <c r="D673" s="190">
        <f t="shared" ca="1" si="71"/>
        <v>1.8251737957716788E-2</v>
      </c>
      <c r="E673" s="190">
        <f t="shared" ca="1" si="72"/>
        <v>7.9674263129370388E-3</v>
      </c>
      <c r="F673" s="189" t="b">
        <f t="shared" ca="1" si="73"/>
        <v>1</v>
      </c>
      <c r="G673" s="188">
        <f ca="1">IF(F673,IFERROR(((('Data Schema'!$C$3*(1+B673)^1)*((1-$I$4-$I$5+E673)*(1-$I$10)+$I$6-$I$11)-('Data Schema'!$C$3*(1+B673)^1-'Data Schema'!$C$3)*$I$12)/(1+C673)^1+(('Data Schema'!$C$3*(1+B673)^2)*((1-$I$4-$I$5+E673)*(1-$I$10)+$I$6-$I$11)-('Data Schema'!$C$3*(1+B673)^2-'Data Schema'!$C$3*(1+B673)^1)*$I$12)/(1+C673)^2+(('Data Schema'!$C$3*(1+B673)^3)*((1-$I$4-$I$5+E673)*(1-$I$10)+$I$6-$I$11)-('Data Schema'!$C$3*(1+B673)^3-'Data Schema'!$C$3*(1+B673)^2)*$I$12)/(1+C673)^3+(('Data Schema'!$C$3*(1+B673)^4)*((1-$I$4-$I$5+E673)*(1-$I$10)+$I$6-$I$11)-('Data Schema'!$C$3*(1+B673)^4-'Data Schema'!$C$3*(1+B673)^3)*$I$12)/(1+C673)^4+(('Data Schema'!$C$3*(1+B673)^5)*((1-$I$4-$I$5+E673)*(1-$I$10)+$I$6-$I$11)-('Data Schema'!$C$3*(1+B673)^5-'Data Schema'!$C$3*(1+B673)^4)*$I$12)/(1+C673)^5+((('Data Schema'!$C$3*(1+B673)^5)*((1-$I$4-$I$5+E673)*(1-$I$10)+$I$6-$I$11)-('Data Schema'!$C$3*(1+B673)^5-'Data Schema'!$C$3*(1+B673)^4)*$I$12)*(1+D673)/(C673-D673))/(1+C673)^5-'Data Schema'!$C$31+'Data Schema'!$C$21)/'Data Schema'!$B$17,0),"INVALID")</f>
        <v>148.98026295499446</v>
      </c>
      <c r="H673" s="189" t="b">
        <f t="shared" ca="1" si="74"/>
        <v>1</v>
      </c>
      <c r="I673" s="188">
        <f t="shared" ca="1" si="75"/>
        <v>148.98026295499446</v>
      </c>
      <c r="J673" s="349">
        <f t="shared" ca="1" si="68"/>
        <v>148.98026295499446</v>
      </c>
    </row>
    <row r="674" spans="1:10">
      <c r="A674" s="185">
        <v>495</v>
      </c>
      <c r="B674" s="190">
        <f t="shared" ca="1" si="69"/>
        <v>0.13768556974366555</v>
      </c>
      <c r="C674" s="190">
        <f t="shared" ca="1" si="70"/>
        <v>5.999319349538388E-2</v>
      </c>
      <c r="D674" s="190">
        <f t="shared" ca="1" si="71"/>
        <v>2.0983183390535853E-2</v>
      </c>
      <c r="E674" s="190">
        <f t="shared" ca="1" si="72"/>
        <v>-2.3969840775340902E-2</v>
      </c>
      <c r="F674" s="189" t="b">
        <f t="shared" ca="1" si="73"/>
        <v>1</v>
      </c>
      <c r="G674" s="188">
        <f ca="1">IF(F674,IFERROR(((('Data Schema'!$C$3*(1+B674)^1)*((1-$I$4-$I$5+E674)*(1-$I$10)+$I$6-$I$11)-('Data Schema'!$C$3*(1+B674)^1-'Data Schema'!$C$3)*$I$12)/(1+C674)^1+(('Data Schema'!$C$3*(1+B674)^2)*((1-$I$4-$I$5+E674)*(1-$I$10)+$I$6-$I$11)-('Data Schema'!$C$3*(1+B674)^2-'Data Schema'!$C$3*(1+B674)^1)*$I$12)/(1+C674)^2+(('Data Schema'!$C$3*(1+B674)^3)*((1-$I$4-$I$5+E674)*(1-$I$10)+$I$6-$I$11)-('Data Schema'!$C$3*(1+B674)^3-'Data Schema'!$C$3*(1+B674)^2)*$I$12)/(1+C674)^3+(('Data Schema'!$C$3*(1+B674)^4)*((1-$I$4-$I$5+E674)*(1-$I$10)+$I$6-$I$11)-('Data Schema'!$C$3*(1+B674)^4-'Data Schema'!$C$3*(1+B674)^3)*$I$12)/(1+C674)^4+(('Data Schema'!$C$3*(1+B674)^5)*((1-$I$4-$I$5+E674)*(1-$I$10)+$I$6-$I$11)-('Data Schema'!$C$3*(1+B674)^5-'Data Schema'!$C$3*(1+B674)^4)*$I$12)/(1+C674)^5+((('Data Schema'!$C$3*(1+B674)^5)*((1-$I$4-$I$5+E674)*(1-$I$10)+$I$6-$I$11)-('Data Schema'!$C$3*(1+B674)^5-'Data Schema'!$C$3*(1+B674)^4)*$I$12)*(1+D674)/(C674-D674))/(1+C674)^5-'Data Schema'!$C$31+'Data Schema'!$C$21)/'Data Schema'!$B$17,0),"INVALID")</f>
        <v>19.465702207370605</v>
      </c>
      <c r="H674" s="189" t="b">
        <f t="shared" ca="1" si="74"/>
        <v>1</v>
      </c>
      <c r="I674" s="188">
        <f t="shared" ca="1" si="75"/>
        <v>19.465702207370605</v>
      </c>
      <c r="J674" s="349" t="str">
        <f t="shared" ca="1" si="68"/>
        <v/>
      </c>
    </row>
    <row r="675" spans="1:10">
      <c r="A675" s="184">
        <v>496</v>
      </c>
      <c r="B675" s="190">
        <f t="shared" ca="1" si="69"/>
        <v>9.2832640157445953E-2</v>
      </c>
      <c r="C675" s="190">
        <f t="shared" ca="1" si="70"/>
        <v>4.5438761182882599E-2</v>
      </c>
      <c r="D675" s="190">
        <f t="shared" ca="1" si="71"/>
        <v>3.1667143071490017E-2</v>
      </c>
      <c r="E675" s="190">
        <f t="shared" ca="1" si="72"/>
        <v>3.0305570855024049E-2</v>
      </c>
      <c r="F675" s="189" t="b">
        <f t="shared" ca="1" si="73"/>
        <v>0</v>
      </c>
      <c r="G675" s="188" t="str">
        <f ca="1">IF(F675,IFERROR(((('Data Schema'!$C$3*(1+B675)^1)*((1-$I$4-$I$5+E675)*(1-$I$10)+$I$6-$I$11)-('Data Schema'!$C$3*(1+B675)^1-'Data Schema'!$C$3)*$I$12)/(1+C675)^1+(('Data Schema'!$C$3*(1+B675)^2)*((1-$I$4-$I$5+E675)*(1-$I$10)+$I$6-$I$11)-('Data Schema'!$C$3*(1+B675)^2-'Data Schema'!$C$3*(1+B675)^1)*$I$12)/(1+C675)^2+(('Data Schema'!$C$3*(1+B675)^3)*((1-$I$4-$I$5+E675)*(1-$I$10)+$I$6-$I$11)-('Data Schema'!$C$3*(1+B675)^3-'Data Schema'!$C$3*(1+B675)^2)*$I$12)/(1+C675)^3+(('Data Schema'!$C$3*(1+B675)^4)*((1-$I$4-$I$5+E675)*(1-$I$10)+$I$6-$I$11)-('Data Schema'!$C$3*(1+B675)^4-'Data Schema'!$C$3*(1+B675)^3)*$I$12)/(1+C675)^4+(('Data Schema'!$C$3*(1+B675)^5)*((1-$I$4-$I$5+E675)*(1-$I$10)+$I$6-$I$11)-('Data Schema'!$C$3*(1+B675)^5-'Data Schema'!$C$3*(1+B675)^4)*$I$12)/(1+C675)^5+((('Data Schema'!$C$3*(1+B675)^5)*((1-$I$4-$I$5+E675)*(1-$I$10)+$I$6-$I$11)-('Data Schema'!$C$3*(1+B675)^5-'Data Schema'!$C$3*(1+B675)^4)*$I$12)*(1+D675)/(C675-D675))/(1+C675)^5-'Data Schema'!$C$31+'Data Schema'!$C$21)/'Data Schema'!$B$17,0),"INVALID")</f>
        <v>INVALID</v>
      </c>
      <c r="H675" s="189" t="b">
        <f t="shared" ca="1" si="74"/>
        <v>0</v>
      </c>
      <c r="I675" s="188" t="str">
        <f t="shared" ca="1" si="75"/>
        <v/>
      </c>
      <c r="J675" s="349" t="str">
        <f t="shared" ca="1" si="68"/>
        <v/>
      </c>
    </row>
    <row r="676" spans="1:10">
      <c r="A676" s="185">
        <v>497</v>
      </c>
      <c r="B676" s="190">
        <f t="shared" ca="1" si="69"/>
        <v>0.10640457780754715</v>
      </c>
      <c r="C676" s="190">
        <f t="shared" ca="1" si="70"/>
        <v>5.6254405149423002E-2</v>
      </c>
      <c r="D676" s="190">
        <f t="shared" ca="1" si="71"/>
        <v>2.2954410777601939E-2</v>
      </c>
      <c r="E676" s="190">
        <f t="shared" ca="1" si="72"/>
        <v>-3.1311489681539337E-2</v>
      </c>
      <c r="F676" s="189" t="b">
        <f t="shared" ca="1" si="73"/>
        <v>1</v>
      </c>
      <c r="G676" s="188">
        <f ca="1">IF(F676,IFERROR(((('Data Schema'!$C$3*(1+B676)^1)*((1-$I$4-$I$5+E676)*(1-$I$10)+$I$6-$I$11)-('Data Schema'!$C$3*(1+B676)^1-'Data Schema'!$C$3)*$I$12)/(1+C676)^1+(('Data Schema'!$C$3*(1+B676)^2)*((1-$I$4-$I$5+E676)*(1-$I$10)+$I$6-$I$11)-('Data Schema'!$C$3*(1+B676)^2-'Data Schema'!$C$3*(1+B676)^1)*$I$12)/(1+C676)^2+(('Data Schema'!$C$3*(1+B676)^3)*((1-$I$4-$I$5+E676)*(1-$I$10)+$I$6-$I$11)-('Data Schema'!$C$3*(1+B676)^3-'Data Schema'!$C$3*(1+B676)^2)*$I$12)/(1+C676)^3+(('Data Schema'!$C$3*(1+B676)^4)*((1-$I$4-$I$5+E676)*(1-$I$10)+$I$6-$I$11)-('Data Schema'!$C$3*(1+B676)^4-'Data Schema'!$C$3*(1+B676)^3)*$I$12)/(1+C676)^4+(('Data Schema'!$C$3*(1+B676)^5)*((1-$I$4-$I$5+E676)*(1-$I$10)+$I$6-$I$11)-('Data Schema'!$C$3*(1+B676)^5-'Data Schema'!$C$3*(1+B676)^4)*$I$12)/(1+C676)^5+((('Data Schema'!$C$3*(1+B676)^5)*((1-$I$4-$I$5+E676)*(1-$I$10)+$I$6-$I$11)-('Data Schema'!$C$3*(1+B676)^5-'Data Schema'!$C$3*(1+B676)^4)*$I$12)*(1+D676)/(C676-D676))/(1+C676)^5-'Data Schema'!$C$31+'Data Schema'!$C$21)/'Data Schema'!$B$17,0),"INVALID")</f>
        <v>0.26373508132270662</v>
      </c>
      <c r="H676" s="189" t="b">
        <f t="shared" ca="1" si="74"/>
        <v>0</v>
      </c>
      <c r="I676" s="188" t="str">
        <f t="shared" ca="1" si="75"/>
        <v/>
      </c>
      <c r="J676" s="349" t="str">
        <f t="shared" ca="1" si="68"/>
        <v/>
      </c>
    </row>
    <row r="677" spans="1:10">
      <c r="A677" s="184">
        <v>498</v>
      </c>
      <c r="B677" s="190">
        <f t="shared" ca="1" si="69"/>
        <v>7.9981490214239837E-2</v>
      </c>
      <c r="C677" s="190">
        <f t="shared" ca="1" si="70"/>
        <v>5.2034765082422788E-2</v>
      </c>
      <c r="D677" s="190">
        <f t="shared" ca="1" si="71"/>
        <v>1.987971355348812E-2</v>
      </c>
      <c r="E677" s="190">
        <f t="shared" ca="1" si="72"/>
        <v>-3.8381205276574113E-4</v>
      </c>
      <c r="F677" s="189" t="b">
        <f t="shared" ca="1" si="73"/>
        <v>1</v>
      </c>
      <c r="G677" s="188">
        <f ca="1">IF(F677,IFERROR(((('Data Schema'!$C$3*(1+B677)^1)*((1-$I$4-$I$5+E677)*(1-$I$10)+$I$6-$I$11)-('Data Schema'!$C$3*(1+B677)^1-'Data Schema'!$C$3)*$I$12)/(1+C677)^1+(('Data Schema'!$C$3*(1+B677)^2)*((1-$I$4-$I$5+E677)*(1-$I$10)+$I$6-$I$11)-('Data Schema'!$C$3*(1+B677)^2-'Data Schema'!$C$3*(1+B677)^1)*$I$12)/(1+C677)^2+(('Data Schema'!$C$3*(1+B677)^3)*((1-$I$4-$I$5+E677)*(1-$I$10)+$I$6-$I$11)-('Data Schema'!$C$3*(1+B677)^3-'Data Schema'!$C$3*(1+B677)^2)*$I$12)/(1+C677)^3+(('Data Schema'!$C$3*(1+B677)^4)*((1-$I$4-$I$5+E677)*(1-$I$10)+$I$6-$I$11)-('Data Schema'!$C$3*(1+B677)^4-'Data Schema'!$C$3*(1+B677)^3)*$I$12)/(1+C677)^4+(('Data Schema'!$C$3*(1+B677)^5)*((1-$I$4-$I$5+E677)*(1-$I$10)+$I$6-$I$11)-('Data Schema'!$C$3*(1+B677)^5-'Data Schema'!$C$3*(1+B677)^4)*$I$12)/(1+C677)^5+((('Data Schema'!$C$3*(1+B677)^5)*((1-$I$4-$I$5+E677)*(1-$I$10)+$I$6-$I$11)-('Data Schema'!$C$3*(1+B677)^5-'Data Schema'!$C$3*(1+B677)^4)*$I$12)*(1+D677)/(C677-D677))/(1+C677)^5-'Data Schema'!$C$31+'Data Schema'!$C$21)/'Data Schema'!$B$17,0),"INVALID")</f>
        <v>87.1480300629905</v>
      </c>
      <c r="H677" s="189" t="b">
        <f t="shared" ca="1" si="74"/>
        <v>1</v>
      </c>
      <c r="I677" s="188">
        <f t="shared" ca="1" si="75"/>
        <v>87.1480300629905</v>
      </c>
      <c r="J677" s="349">
        <f t="shared" ca="1" si="68"/>
        <v>87.1480300629905</v>
      </c>
    </row>
    <row r="678" spans="1:10">
      <c r="A678" s="185">
        <v>499</v>
      </c>
      <c r="B678" s="190">
        <f t="shared" ca="1" si="69"/>
        <v>0.10142511255512775</v>
      </c>
      <c r="C678" s="190">
        <f t="shared" ca="1" si="70"/>
        <v>7.3873254585250431E-2</v>
      </c>
      <c r="D678" s="190">
        <f t="shared" ca="1" si="71"/>
        <v>1.2442412225544873E-2</v>
      </c>
      <c r="E678" s="190">
        <f t="shared" ca="1" si="72"/>
        <v>1.439903382286248E-2</v>
      </c>
      <c r="F678" s="189" t="b">
        <f t="shared" ca="1" si="73"/>
        <v>1</v>
      </c>
      <c r="G678" s="188">
        <f ca="1">IF(F678,IFERROR(((('Data Schema'!$C$3*(1+B678)^1)*((1-$I$4-$I$5+E678)*(1-$I$10)+$I$6-$I$11)-('Data Schema'!$C$3*(1+B678)^1-'Data Schema'!$C$3)*$I$12)/(1+C678)^1+(('Data Schema'!$C$3*(1+B678)^2)*((1-$I$4-$I$5+E678)*(1-$I$10)+$I$6-$I$11)-('Data Schema'!$C$3*(1+B678)^2-'Data Schema'!$C$3*(1+B678)^1)*$I$12)/(1+C678)^2+(('Data Schema'!$C$3*(1+B678)^3)*((1-$I$4-$I$5+E678)*(1-$I$10)+$I$6-$I$11)-('Data Schema'!$C$3*(1+B678)^3-'Data Schema'!$C$3*(1+B678)^2)*$I$12)/(1+C678)^3+(('Data Schema'!$C$3*(1+B678)^4)*((1-$I$4-$I$5+E678)*(1-$I$10)+$I$6-$I$11)-('Data Schema'!$C$3*(1+B678)^4-'Data Schema'!$C$3*(1+B678)^3)*$I$12)/(1+C678)^4+(('Data Schema'!$C$3*(1+B678)^5)*((1-$I$4-$I$5+E678)*(1-$I$10)+$I$6-$I$11)-('Data Schema'!$C$3*(1+B678)^5-'Data Schema'!$C$3*(1+B678)^4)*$I$12)/(1+C678)^5+((('Data Schema'!$C$3*(1+B678)^5)*((1-$I$4-$I$5+E678)*(1-$I$10)+$I$6-$I$11)-('Data Schema'!$C$3*(1+B678)^5-'Data Schema'!$C$3*(1+B678)^4)*$I$12)*(1+D678)/(C678-D678))/(1+C678)^5-'Data Schema'!$C$31+'Data Schema'!$C$21)/'Data Schema'!$B$17,0),"INVALID")</f>
        <v>70.563957840654041</v>
      </c>
      <c r="H678" s="189" t="b">
        <f t="shared" ca="1" si="74"/>
        <v>1</v>
      </c>
      <c r="I678" s="188">
        <f t="shared" ca="1" si="75"/>
        <v>70.563957840654041</v>
      </c>
      <c r="J678" s="349">
        <f t="shared" ca="1" si="68"/>
        <v>70.563957840654041</v>
      </c>
    </row>
    <row r="679" spans="1:10">
      <c r="A679" s="184">
        <v>500</v>
      </c>
      <c r="B679" s="190">
        <f t="shared" ca="1" si="69"/>
        <v>7.0991205908021923E-2</v>
      </c>
      <c r="C679" s="190">
        <f t="shared" ca="1" si="70"/>
        <v>7.0657219223504417E-2</v>
      </c>
      <c r="D679" s="190">
        <f t="shared" ca="1" si="71"/>
        <v>2.5009330295395336E-2</v>
      </c>
      <c r="E679" s="190">
        <f t="shared" ca="1" si="72"/>
        <v>1.354169911190359E-2</v>
      </c>
      <c r="F679" s="189" t="b">
        <f t="shared" ca="1" si="73"/>
        <v>1</v>
      </c>
      <c r="G679" s="188">
        <f ca="1">IF(F679,IFERROR(((('Data Schema'!$C$3*(1+B679)^1)*((1-$I$4-$I$5+E679)*(1-$I$10)+$I$6-$I$11)-('Data Schema'!$C$3*(1+B679)^1-'Data Schema'!$C$3)*$I$12)/(1+C679)^1+(('Data Schema'!$C$3*(1+B679)^2)*((1-$I$4-$I$5+E679)*(1-$I$10)+$I$6-$I$11)-('Data Schema'!$C$3*(1+B679)^2-'Data Schema'!$C$3*(1+B679)^1)*$I$12)/(1+C679)^2+(('Data Schema'!$C$3*(1+B679)^3)*((1-$I$4-$I$5+E679)*(1-$I$10)+$I$6-$I$11)-('Data Schema'!$C$3*(1+B679)^3-'Data Schema'!$C$3*(1+B679)^2)*$I$12)/(1+C679)^3+(('Data Schema'!$C$3*(1+B679)^4)*((1-$I$4-$I$5+E679)*(1-$I$10)+$I$6-$I$11)-('Data Schema'!$C$3*(1+B679)^4-'Data Schema'!$C$3*(1+B679)^3)*$I$12)/(1+C679)^4+(('Data Schema'!$C$3*(1+B679)^5)*((1-$I$4-$I$5+E679)*(1-$I$10)+$I$6-$I$11)-('Data Schema'!$C$3*(1+B679)^5-'Data Schema'!$C$3*(1+B679)^4)*$I$12)/(1+C679)^5+((('Data Schema'!$C$3*(1+B679)^5)*((1-$I$4-$I$5+E679)*(1-$I$10)+$I$6-$I$11)-('Data Schema'!$C$3*(1+B679)^5-'Data Schema'!$C$3*(1+B679)^4)*$I$12)*(1+D679)/(C679-D679))/(1+C679)^5-'Data Schema'!$C$31+'Data Schema'!$C$21)/'Data Schema'!$B$17,0),"INVALID")</f>
        <v>81.164271619912896</v>
      </c>
      <c r="H679" s="189" t="b">
        <f t="shared" ca="1" si="74"/>
        <v>1</v>
      </c>
      <c r="I679" s="188">
        <f t="shared" ca="1" si="75"/>
        <v>81.164271619912896</v>
      </c>
      <c r="J679" s="349">
        <f t="shared" ca="1" si="68"/>
        <v>81.164271619912896</v>
      </c>
    </row>
    <row r="680" spans="1:10">
      <c r="A680" s="185">
        <v>501</v>
      </c>
      <c r="B680" s="190">
        <f t="shared" ca="1" si="69"/>
        <v>0.10202397139361771</v>
      </c>
      <c r="C680" s="190">
        <f t="shared" ca="1" si="70"/>
        <v>7.1987579476635949E-2</v>
      </c>
      <c r="D680" s="190">
        <f t="shared" ca="1" si="71"/>
        <v>2.5820128167514896E-2</v>
      </c>
      <c r="E680" s="190">
        <f t="shared" ca="1" si="72"/>
        <v>2.3693879421734298E-2</v>
      </c>
      <c r="F680" s="189" t="b">
        <f t="shared" ca="1" si="73"/>
        <v>1</v>
      </c>
      <c r="G680" s="188">
        <f ca="1">IF(F680,IFERROR(((('Data Schema'!$C$3*(1+B680)^1)*((1-$I$4-$I$5+E680)*(1-$I$10)+$I$6-$I$11)-('Data Schema'!$C$3*(1+B680)^1-'Data Schema'!$C$3)*$I$12)/(1+C680)^1+(('Data Schema'!$C$3*(1+B680)^2)*((1-$I$4-$I$5+E680)*(1-$I$10)+$I$6-$I$11)-('Data Schema'!$C$3*(1+B680)^2-'Data Schema'!$C$3*(1+B680)^1)*$I$12)/(1+C680)^2+(('Data Schema'!$C$3*(1+B680)^3)*((1-$I$4-$I$5+E680)*(1-$I$10)+$I$6-$I$11)-('Data Schema'!$C$3*(1+B680)^3-'Data Schema'!$C$3*(1+B680)^2)*$I$12)/(1+C680)^3+(('Data Schema'!$C$3*(1+B680)^4)*((1-$I$4-$I$5+E680)*(1-$I$10)+$I$6-$I$11)-('Data Schema'!$C$3*(1+B680)^4-'Data Schema'!$C$3*(1+B680)^3)*$I$12)/(1+C680)^4+(('Data Schema'!$C$3*(1+B680)^5)*((1-$I$4-$I$5+E680)*(1-$I$10)+$I$6-$I$11)-('Data Schema'!$C$3*(1+B680)^5-'Data Schema'!$C$3*(1+B680)^4)*$I$12)/(1+C680)^5+((('Data Schema'!$C$3*(1+B680)^5)*((1-$I$4-$I$5+E680)*(1-$I$10)+$I$6-$I$11)-('Data Schema'!$C$3*(1+B680)^5-'Data Schema'!$C$3*(1+B680)^4)*$I$12)*(1+D680)/(C680-D680))/(1+C680)^5-'Data Schema'!$C$31+'Data Schema'!$C$21)/'Data Schema'!$B$17,0),"INVALID")</f>
        <v>111.7445837710562</v>
      </c>
      <c r="H680" s="189" t="b">
        <f t="shared" ca="1" si="74"/>
        <v>1</v>
      </c>
      <c r="I680" s="188">
        <f t="shared" ca="1" si="75"/>
        <v>111.7445837710562</v>
      </c>
      <c r="J680" s="349">
        <f t="shared" ca="1" si="68"/>
        <v>111.7445837710562</v>
      </c>
    </row>
    <row r="681" spans="1:10">
      <c r="A681" s="184">
        <v>502</v>
      </c>
      <c r="B681" s="190">
        <f t="shared" ca="1" si="69"/>
        <v>0.12771278635919936</v>
      </c>
      <c r="C681" s="190">
        <f t="shared" ca="1" si="70"/>
        <v>6.3862917425361751E-2</v>
      </c>
      <c r="D681" s="190">
        <f t="shared" ca="1" si="71"/>
        <v>2.34427196144373E-2</v>
      </c>
      <c r="E681" s="190">
        <f t="shared" ca="1" si="72"/>
        <v>3.258412651982371E-2</v>
      </c>
      <c r="F681" s="189" t="b">
        <f t="shared" ca="1" si="73"/>
        <v>1</v>
      </c>
      <c r="G681" s="188">
        <f ca="1">IF(F681,IFERROR(((('Data Schema'!$C$3*(1+B681)^1)*((1-$I$4-$I$5+E681)*(1-$I$10)+$I$6-$I$11)-('Data Schema'!$C$3*(1+B681)^1-'Data Schema'!$C$3)*$I$12)/(1+C681)^1+(('Data Schema'!$C$3*(1+B681)^2)*((1-$I$4-$I$5+E681)*(1-$I$10)+$I$6-$I$11)-('Data Schema'!$C$3*(1+B681)^2-'Data Schema'!$C$3*(1+B681)^1)*$I$12)/(1+C681)^2+(('Data Schema'!$C$3*(1+B681)^3)*((1-$I$4-$I$5+E681)*(1-$I$10)+$I$6-$I$11)-('Data Schema'!$C$3*(1+B681)^3-'Data Schema'!$C$3*(1+B681)^2)*$I$12)/(1+C681)^3+(('Data Schema'!$C$3*(1+B681)^4)*((1-$I$4-$I$5+E681)*(1-$I$10)+$I$6-$I$11)-('Data Schema'!$C$3*(1+B681)^4-'Data Schema'!$C$3*(1+B681)^3)*$I$12)/(1+C681)^4+(('Data Schema'!$C$3*(1+B681)^5)*((1-$I$4-$I$5+E681)*(1-$I$10)+$I$6-$I$11)-('Data Schema'!$C$3*(1+B681)^5-'Data Schema'!$C$3*(1+B681)^4)*$I$12)/(1+C681)^5+((('Data Schema'!$C$3*(1+B681)^5)*((1-$I$4-$I$5+E681)*(1-$I$10)+$I$6-$I$11)-('Data Schema'!$C$3*(1+B681)^5-'Data Schema'!$C$3*(1+B681)^4)*$I$12)*(1+D681)/(C681-D681))/(1+C681)^5-'Data Schema'!$C$31+'Data Schema'!$C$21)/'Data Schema'!$B$17,0),"INVALID")</f>
        <v>168.11872059998083</v>
      </c>
      <c r="H681" s="189" t="b">
        <f t="shared" ca="1" si="74"/>
        <v>1</v>
      </c>
      <c r="I681" s="188">
        <f t="shared" ca="1" si="75"/>
        <v>168.11872059998083</v>
      </c>
      <c r="J681" s="349">
        <f t="shared" ca="1" si="68"/>
        <v>168.11872059998083</v>
      </c>
    </row>
    <row r="682" spans="1:10">
      <c r="A682" s="185">
        <v>503</v>
      </c>
      <c r="B682" s="190">
        <f t="shared" ca="1" si="69"/>
        <v>9.8938354479394808E-2</v>
      </c>
      <c r="C682" s="190">
        <f t="shared" ca="1" si="70"/>
        <v>6.5661509532075835E-2</v>
      </c>
      <c r="D682" s="190">
        <f t="shared" ca="1" si="71"/>
        <v>3.3419176025659095E-2</v>
      </c>
      <c r="E682" s="190">
        <f t="shared" ca="1" si="72"/>
        <v>-5.1971039965814474E-3</v>
      </c>
      <c r="F682" s="189" t="b">
        <f t="shared" ca="1" si="73"/>
        <v>1</v>
      </c>
      <c r="G682" s="188">
        <f ca="1">IF(F682,IFERROR(((('Data Schema'!$C$3*(1+B682)^1)*((1-$I$4-$I$5+E682)*(1-$I$10)+$I$6-$I$11)-('Data Schema'!$C$3*(1+B682)^1-'Data Schema'!$C$3)*$I$12)/(1+C682)^1+(('Data Schema'!$C$3*(1+B682)^2)*((1-$I$4-$I$5+E682)*(1-$I$10)+$I$6-$I$11)-('Data Schema'!$C$3*(1+B682)^2-'Data Schema'!$C$3*(1+B682)^1)*$I$12)/(1+C682)^2+(('Data Schema'!$C$3*(1+B682)^3)*((1-$I$4-$I$5+E682)*(1-$I$10)+$I$6-$I$11)-('Data Schema'!$C$3*(1+B682)^3-'Data Schema'!$C$3*(1+B682)^2)*$I$12)/(1+C682)^3+(('Data Schema'!$C$3*(1+B682)^4)*((1-$I$4-$I$5+E682)*(1-$I$10)+$I$6-$I$11)-('Data Schema'!$C$3*(1+B682)^4-'Data Schema'!$C$3*(1+B682)^3)*$I$12)/(1+C682)^4+(('Data Schema'!$C$3*(1+B682)^5)*((1-$I$4-$I$5+E682)*(1-$I$10)+$I$6-$I$11)-('Data Schema'!$C$3*(1+B682)^5-'Data Schema'!$C$3*(1+B682)^4)*$I$12)/(1+C682)^5+((('Data Schema'!$C$3*(1+B682)^5)*((1-$I$4-$I$5+E682)*(1-$I$10)+$I$6-$I$11)-('Data Schema'!$C$3*(1+B682)^5-'Data Schema'!$C$3*(1+B682)^4)*$I$12)*(1+D682)/(C682-D682))/(1+C682)^5-'Data Schema'!$C$31+'Data Schema'!$C$21)/'Data Schema'!$B$17,0),"INVALID")</f>
        <v>75.103939352614503</v>
      </c>
      <c r="H682" s="189" t="b">
        <f t="shared" ca="1" si="74"/>
        <v>1</v>
      </c>
      <c r="I682" s="188">
        <f t="shared" ca="1" si="75"/>
        <v>75.103939352614503</v>
      </c>
      <c r="J682" s="349">
        <f t="shared" ca="1" si="68"/>
        <v>75.103939352614503</v>
      </c>
    </row>
    <row r="683" spans="1:10">
      <c r="A683" s="184">
        <v>504</v>
      </c>
      <c r="B683" s="190">
        <f t="shared" ca="1" si="69"/>
        <v>0.10998649007707258</v>
      </c>
      <c r="C683" s="190">
        <f t="shared" ca="1" si="70"/>
        <v>6.1272529487170616E-2</v>
      </c>
      <c r="D683" s="190">
        <f t="shared" ca="1" si="71"/>
        <v>2.3364703913007902E-2</v>
      </c>
      <c r="E683" s="190">
        <f t="shared" ca="1" si="72"/>
        <v>-1.5000332627877786E-2</v>
      </c>
      <c r="F683" s="189" t="b">
        <f t="shared" ca="1" si="73"/>
        <v>1</v>
      </c>
      <c r="G683" s="188">
        <f ca="1">IF(F683,IFERROR(((('Data Schema'!$C$3*(1+B683)^1)*((1-$I$4-$I$5+E683)*(1-$I$10)+$I$6-$I$11)-('Data Schema'!$C$3*(1+B683)^1-'Data Schema'!$C$3)*$I$12)/(1+C683)^1+(('Data Schema'!$C$3*(1+B683)^2)*((1-$I$4-$I$5+E683)*(1-$I$10)+$I$6-$I$11)-('Data Schema'!$C$3*(1+B683)^2-'Data Schema'!$C$3*(1+B683)^1)*$I$12)/(1+C683)^2+(('Data Schema'!$C$3*(1+B683)^3)*((1-$I$4-$I$5+E683)*(1-$I$10)+$I$6-$I$11)-('Data Schema'!$C$3*(1+B683)^3-'Data Schema'!$C$3*(1+B683)^2)*$I$12)/(1+C683)^3+(('Data Schema'!$C$3*(1+B683)^4)*((1-$I$4-$I$5+E683)*(1-$I$10)+$I$6-$I$11)-('Data Schema'!$C$3*(1+B683)^4-'Data Schema'!$C$3*(1+B683)^3)*$I$12)/(1+C683)^4+(('Data Schema'!$C$3*(1+B683)^5)*((1-$I$4-$I$5+E683)*(1-$I$10)+$I$6-$I$11)-('Data Schema'!$C$3*(1+B683)^5-'Data Schema'!$C$3*(1+B683)^4)*$I$12)/(1+C683)^5+((('Data Schema'!$C$3*(1+B683)^5)*((1-$I$4-$I$5+E683)*(1-$I$10)+$I$6-$I$11)-('Data Schema'!$C$3*(1+B683)^5-'Data Schema'!$C$3*(1+B683)^4)*$I$12)*(1+D683)/(C683-D683))/(1+C683)^5-'Data Schema'!$C$31+'Data Schema'!$C$21)/'Data Schema'!$B$17,0),"INVALID")</f>
        <v>42.2230962355613</v>
      </c>
      <c r="H683" s="189" t="b">
        <f t="shared" ca="1" si="74"/>
        <v>1</v>
      </c>
      <c r="I683" s="188">
        <f t="shared" ca="1" si="75"/>
        <v>42.2230962355613</v>
      </c>
      <c r="J683" s="349">
        <f t="shared" ca="1" si="68"/>
        <v>42.2230962355613</v>
      </c>
    </row>
    <row r="684" spans="1:10">
      <c r="A684" s="185">
        <v>505</v>
      </c>
      <c r="B684" s="190">
        <f t="shared" ca="1" si="69"/>
        <v>0.12926758012943779</v>
      </c>
      <c r="C684" s="190">
        <f t="shared" ca="1" si="70"/>
        <v>3.9275698215310434E-2</v>
      </c>
      <c r="D684" s="190">
        <f t="shared" ca="1" si="71"/>
        <v>2.302925121027356E-2</v>
      </c>
      <c r="E684" s="190">
        <f t="shared" ca="1" si="72"/>
        <v>9.7635625545371505E-3</v>
      </c>
      <c r="F684" s="189" t="b">
        <f t="shared" ca="1" si="73"/>
        <v>1</v>
      </c>
      <c r="G684" s="188">
        <f ca="1">IF(F684,IFERROR(((('Data Schema'!$C$3*(1+B684)^1)*((1-$I$4-$I$5+E684)*(1-$I$10)+$I$6-$I$11)-('Data Schema'!$C$3*(1+B684)^1-'Data Schema'!$C$3)*$I$12)/(1+C684)^1+(('Data Schema'!$C$3*(1+B684)^2)*((1-$I$4-$I$5+E684)*(1-$I$10)+$I$6-$I$11)-('Data Schema'!$C$3*(1+B684)^2-'Data Schema'!$C$3*(1+B684)^1)*$I$12)/(1+C684)^2+(('Data Schema'!$C$3*(1+B684)^3)*((1-$I$4-$I$5+E684)*(1-$I$10)+$I$6-$I$11)-('Data Schema'!$C$3*(1+B684)^3-'Data Schema'!$C$3*(1+B684)^2)*$I$12)/(1+C684)^3+(('Data Schema'!$C$3*(1+B684)^4)*((1-$I$4-$I$5+E684)*(1-$I$10)+$I$6-$I$11)-('Data Schema'!$C$3*(1+B684)^4-'Data Schema'!$C$3*(1+B684)^3)*$I$12)/(1+C684)^4+(('Data Schema'!$C$3*(1+B684)^5)*((1-$I$4-$I$5+E684)*(1-$I$10)+$I$6-$I$11)-('Data Schema'!$C$3*(1+B684)^5-'Data Schema'!$C$3*(1+B684)^4)*$I$12)/(1+C684)^5+((('Data Schema'!$C$3*(1+B684)^5)*((1-$I$4-$I$5+E684)*(1-$I$10)+$I$6-$I$11)-('Data Schema'!$C$3*(1+B684)^5-'Data Schema'!$C$3*(1+B684)^4)*$I$12)*(1+D684)/(C684-D684))/(1+C684)^5-'Data Schema'!$C$31+'Data Schema'!$C$21)/'Data Schema'!$B$17,0),"INVALID")</f>
        <v>285.25388678399207</v>
      </c>
      <c r="H684" s="189" t="b">
        <f t="shared" ca="1" si="74"/>
        <v>1</v>
      </c>
      <c r="I684" s="188">
        <f t="shared" ca="1" si="75"/>
        <v>285.25388678399207</v>
      </c>
      <c r="J684" s="349" t="str">
        <f t="shared" ca="1" si="68"/>
        <v/>
      </c>
    </row>
    <row r="685" spans="1:10">
      <c r="A685" s="184">
        <v>506</v>
      </c>
      <c r="B685" s="190">
        <f t="shared" ca="1" si="69"/>
        <v>8.2038590900435235E-2</v>
      </c>
      <c r="C685" s="190">
        <f t="shared" ca="1" si="70"/>
        <v>6.5312461777978045E-2</v>
      </c>
      <c r="D685" s="190">
        <f t="shared" ca="1" si="71"/>
        <v>2.6983308539045299E-2</v>
      </c>
      <c r="E685" s="190">
        <f t="shared" ca="1" si="72"/>
        <v>-1.3198876944353793E-2</v>
      </c>
      <c r="F685" s="189" t="b">
        <f t="shared" ca="1" si="73"/>
        <v>1</v>
      </c>
      <c r="G685" s="188">
        <f ca="1">IF(F685,IFERROR(((('Data Schema'!$C$3*(1+B685)^1)*((1-$I$4-$I$5+E685)*(1-$I$10)+$I$6-$I$11)-('Data Schema'!$C$3*(1+B685)^1-'Data Schema'!$C$3)*$I$12)/(1+C685)^1+(('Data Schema'!$C$3*(1+B685)^2)*((1-$I$4-$I$5+E685)*(1-$I$10)+$I$6-$I$11)-('Data Schema'!$C$3*(1+B685)^2-'Data Schema'!$C$3*(1+B685)^1)*$I$12)/(1+C685)^2+(('Data Schema'!$C$3*(1+B685)^3)*((1-$I$4-$I$5+E685)*(1-$I$10)+$I$6-$I$11)-('Data Schema'!$C$3*(1+B685)^3-'Data Schema'!$C$3*(1+B685)^2)*$I$12)/(1+C685)^3+(('Data Schema'!$C$3*(1+B685)^4)*((1-$I$4-$I$5+E685)*(1-$I$10)+$I$6-$I$11)-('Data Schema'!$C$3*(1+B685)^4-'Data Schema'!$C$3*(1+B685)^3)*$I$12)/(1+C685)^4+(('Data Schema'!$C$3*(1+B685)^5)*((1-$I$4-$I$5+E685)*(1-$I$10)+$I$6-$I$11)-('Data Schema'!$C$3*(1+B685)^5-'Data Schema'!$C$3*(1+B685)^4)*$I$12)/(1+C685)^5+((('Data Schema'!$C$3*(1+B685)^5)*((1-$I$4-$I$5+E685)*(1-$I$10)+$I$6-$I$11)-('Data Schema'!$C$3*(1+B685)^5-'Data Schema'!$C$3*(1+B685)^4)*$I$12)*(1+D685)/(C685-D685))/(1+C685)^5-'Data Schema'!$C$31+'Data Schema'!$C$21)/'Data Schema'!$B$17,0),"INVALID")</f>
        <v>41.123359606278903</v>
      </c>
      <c r="H685" s="189" t="b">
        <f t="shared" ca="1" si="74"/>
        <v>1</v>
      </c>
      <c r="I685" s="188">
        <f t="shared" ca="1" si="75"/>
        <v>41.123359606278903</v>
      </c>
      <c r="J685" s="349">
        <f t="shared" ca="1" si="68"/>
        <v>41.123359606278903</v>
      </c>
    </row>
    <row r="686" spans="1:10">
      <c r="A686" s="185">
        <v>507</v>
      </c>
      <c r="B686" s="190">
        <f t="shared" ca="1" si="69"/>
        <v>7.5078110538553788E-2</v>
      </c>
      <c r="C686" s="190">
        <f t="shared" ca="1" si="70"/>
        <v>6.339535132140825E-2</v>
      </c>
      <c r="D686" s="190">
        <f t="shared" ca="1" si="71"/>
        <v>2.2031241819893545E-2</v>
      </c>
      <c r="E686" s="190">
        <f t="shared" ca="1" si="72"/>
        <v>1.3546925065119422E-2</v>
      </c>
      <c r="F686" s="189" t="b">
        <f t="shared" ca="1" si="73"/>
        <v>1</v>
      </c>
      <c r="G686" s="188">
        <f ca="1">IF(F686,IFERROR(((('Data Schema'!$C$3*(1+B686)^1)*((1-$I$4-$I$5+E686)*(1-$I$10)+$I$6-$I$11)-('Data Schema'!$C$3*(1+B686)^1-'Data Schema'!$C$3)*$I$12)/(1+C686)^1+(('Data Schema'!$C$3*(1+B686)^2)*((1-$I$4-$I$5+E686)*(1-$I$10)+$I$6-$I$11)-('Data Schema'!$C$3*(1+B686)^2-'Data Schema'!$C$3*(1+B686)^1)*$I$12)/(1+C686)^2+(('Data Schema'!$C$3*(1+B686)^3)*((1-$I$4-$I$5+E686)*(1-$I$10)+$I$6-$I$11)-('Data Schema'!$C$3*(1+B686)^3-'Data Schema'!$C$3*(1+B686)^2)*$I$12)/(1+C686)^3+(('Data Schema'!$C$3*(1+B686)^4)*((1-$I$4-$I$5+E686)*(1-$I$10)+$I$6-$I$11)-('Data Schema'!$C$3*(1+B686)^4-'Data Schema'!$C$3*(1+B686)^3)*$I$12)/(1+C686)^4+(('Data Schema'!$C$3*(1+B686)^5)*((1-$I$4-$I$5+E686)*(1-$I$10)+$I$6-$I$11)-('Data Schema'!$C$3*(1+B686)^5-'Data Schema'!$C$3*(1+B686)^4)*$I$12)/(1+C686)^5+((('Data Schema'!$C$3*(1+B686)^5)*((1-$I$4-$I$5+E686)*(1-$I$10)+$I$6-$I$11)-('Data Schema'!$C$3*(1+B686)^5-'Data Schema'!$C$3*(1+B686)^4)*$I$12)*(1+D686)/(C686-D686))/(1+C686)^5-'Data Schema'!$C$31+'Data Schema'!$C$21)/'Data Schema'!$B$17,0),"INVALID")</f>
        <v>93.065297102066353</v>
      </c>
      <c r="H686" s="189" t="b">
        <f t="shared" ca="1" si="74"/>
        <v>1</v>
      </c>
      <c r="I686" s="188">
        <f t="shared" ca="1" si="75"/>
        <v>93.065297102066353</v>
      </c>
      <c r="J686" s="349">
        <f t="shared" ca="1" si="68"/>
        <v>93.065297102066353</v>
      </c>
    </row>
    <row r="687" spans="1:10">
      <c r="A687" s="184">
        <v>508</v>
      </c>
      <c r="B687" s="190">
        <f t="shared" ca="1" si="69"/>
        <v>7.1611004043077922E-2</v>
      </c>
      <c r="C687" s="190">
        <f t="shared" ca="1" si="70"/>
        <v>5.5985424048892063E-2</v>
      </c>
      <c r="D687" s="190">
        <f t="shared" ca="1" si="71"/>
        <v>2.746804080719463E-2</v>
      </c>
      <c r="E687" s="190">
        <f t="shared" ca="1" si="72"/>
        <v>-2.7325101717709691E-2</v>
      </c>
      <c r="F687" s="189" t="b">
        <f t="shared" ca="1" si="73"/>
        <v>1</v>
      </c>
      <c r="G687" s="188">
        <f ca="1">IF(F687,IFERROR(((('Data Schema'!$C$3*(1+B687)^1)*((1-$I$4-$I$5+E687)*(1-$I$10)+$I$6-$I$11)-('Data Schema'!$C$3*(1+B687)^1-'Data Schema'!$C$3)*$I$12)/(1+C687)^1+(('Data Schema'!$C$3*(1+B687)^2)*((1-$I$4-$I$5+E687)*(1-$I$10)+$I$6-$I$11)-('Data Schema'!$C$3*(1+B687)^2-'Data Schema'!$C$3*(1+B687)^1)*$I$12)/(1+C687)^2+(('Data Schema'!$C$3*(1+B687)^3)*((1-$I$4-$I$5+E687)*(1-$I$10)+$I$6-$I$11)-('Data Schema'!$C$3*(1+B687)^3-'Data Schema'!$C$3*(1+B687)^2)*$I$12)/(1+C687)^3+(('Data Schema'!$C$3*(1+B687)^4)*((1-$I$4-$I$5+E687)*(1-$I$10)+$I$6-$I$11)-('Data Schema'!$C$3*(1+B687)^4-'Data Schema'!$C$3*(1+B687)^3)*$I$12)/(1+C687)^4+(('Data Schema'!$C$3*(1+B687)^5)*((1-$I$4-$I$5+E687)*(1-$I$10)+$I$6-$I$11)-('Data Schema'!$C$3*(1+B687)^5-'Data Schema'!$C$3*(1+B687)^4)*$I$12)/(1+C687)^5+((('Data Schema'!$C$3*(1+B687)^5)*((1-$I$4-$I$5+E687)*(1-$I$10)+$I$6-$I$11)-('Data Schema'!$C$3*(1+B687)^5-'Data Schema'!$C$3*(1+B687)^4)*$I$12)*(1+D687)/(C687-D687))/(1+C687)^5-'Data Schema'!$C$31+'Data Schema'!$C$21)/'Data Schema'!$B$17,0),"INVALID")</f>
        <v>14.173887983568921</v>
      </c>
      <c r="H687" s="189" t="b">
        <f t="shared" ca="1" si="74"/>
        <v>1</v>
      </c>
      <c r="I687" s="188">
        <f t="shared" ca="1" si="75"/>
        <v>14.173887983568921</v>
      </c>
      <c r="J687" s="349" t="str">
        <f t="shared" ca="1" si="68"/>
        <v/>
      </c>
    </row>
    <row r="688" spans="1:10">
      <c r="A688" s="185">
        <v>509</v>
      </c>
      <c r="B688" s="190">
        <f t="shared" ca="1" si="69"/>
        <v>8.4597610630413933E-2</v>
      </c>
      <c r="C688" s="190">
        <f t="shared" ca="1" si="70"/>
        <v>6.3904407838786259E-2</v>
      </c>
      <c r="D688" s="190">
        <f t="shared" ca="1" si="71"/>
        <v>2.7269590363414996E-2</v>
      </c>
      <c r="E688" s="190">
        <f t="shared" ca="1" si="72"/>
        <v>2.6497710142413814E-2</v>
      </c>
      <c r="F688" s="189" t="b">
        <f t="shared" ca="1" si="73"/>
        <v>1</v>
      </c>
      <c r="G688" s="188">
        <f ca="1">IF(F688,IFERROR(((('Data Schema'!$C$3*(1+B688)^1)*((1-$I$4-$I$5+E688)*(1-$I$10)+$I$6-$I$11)-('Data Schema'!$C$3*(1+B688)^1-'Data Schema'!$C$3)*$I$12)/(1+C688)^1+(('Data Schema'!$C$3*(1+B688)^2)*((1-$I$4-$I$5+E688)*(1-$I$10)+$I$6-$I$11)-('Data Schema'!$C$3*(1+B688)^2-'Data Schema'!$C$3*(1+B688)^1)*$I$12)/(1+C688)^2+(('Data Schema'!$C$3*(1+B688)^3)*((1-$I$4-$I$5+E688)*(1-$I$10)+$I$6-$I$11)-('Data Schema'!$C$3*(1+B688)^3-'Data Schema'!$C$3*(1+B688)^2)*$I$12)/(1+C688)^3+(('Data Schema'!$C$3*(1+B688)^4)*((1-$I$4-$I$5+E688)*(1-$I$10)+$I$6-$I$11)-('Data Schema'!$C$3*(1+B688)^4-'Data Schema'!$C$3*(1+B688)^3)*$I$12)/(1+C688)^4+(('Data Schema'!$C$3*(1+B688)^5)*((1-$I$4-$I$5+E688)*(1-$I$10)+$I$6-$I$11)-('Data Schema'!$C$3*(1+B688)^5-'Data Schema'!$C$3*(1+B688)^4)*$I$12)/(1+C688)^5+((('Data Schema'!$C$3*(1+B688)^5)*((1-$I$4-$I$5+E688)*(1-$I$10)+$I$6-$I$11)-('Data Schema'!$C$3*(1+B688)^5-'Data Schema'!$C$3*(1+B688)^4)*$I$12)*(1+D688)/(C688-D688))/(1+C688)^5-'Data Schema'!$C$31+'Data Schema'!$C$21)/'Data Schema'!$B$17,0),"INVALID")</f>
        <v>139.50605766967584</v>
      </c>
      <c r="H688" s="189" t="b">
        <f t="shared" ca="1" si="74"/>
        <v>1</v>
      </c>
      <c r="I688" s="188">
        <f t="shared" ca="1" si="75"/>
        <v>139.50605766967584</v>
      </c>
      <c r="J688" s="349">
        <f t="shared" ca="1" si="68"/>
        <v>139.50605766967584</v>
      </c>
    </row>
    <row r="689" spans="1:10">
      <c r="A689" s="184">
        <v>510</v>
      </c>
      <c r="B689" s="190">
        <f t="shared" ca="1" si="69"/>
        <v>9.352371860867445E-2</v>
      </c>
      <c r="C689" s="190">
        <f t="shared" ca="1" si="70"/>
        <v>5.5639660880139899E-2</v>
      </c>
      <c r="D689" s="190">
        <f t="shared" ca="1" si="71"/>
        <v>1.9715525748823935E-2</v>
      </c>
      <c r="E689" s="190">
        <f t="shared" ca="1" si="72"/>
        <v>-1.3206747631022957E-3</v>
      </c>
      <c r="F689" s="189" t="b">
        <f t="shared" ca="1" si="73"/>
        <v>1</v>
      </c>
      <c r="G689" s="188">
        <f ca="1">IF(F689,IFERROR(((('Data Schema'!$C$3*(1+B689)^1)*((1-$I$4-$I$5+E689)*(1-$I$10)+$I$6-$I$11)-('Data Schema'!$C$3*(1+B689)^1-'Data Schema'!$C$3)*$I$12)/(1+C689)^1+(('Data Schema'!$C$3*(1+B689)^2)*((1-$I$4-$I$5+E689)*(1-$I$10)+$I$6-$I$11)-('Data Schema'!$C$3*(1+B689)^2-'Data Schema'!$C$3*(1+B689)^1)*$I$12)/(1+C689)^2+(('Data Schema'!$C$3*(1+B689)^3)*((1-$I$4-$I$5+E689)*(1-$I$10)+$I$6-$I$11)-('Data Schema'!$C$3*(1+B689)^3-'Data Schema'!$C$3*(1+B689)^2)*$I$12)/(1+C689)^3+(('Data Schema'!$C$3*(1+B689)^4)*((1-$I$4-$I$5+E689)*(1-$I$10)+$I$6-$I$11)-('Data Schema'!$C$3*(1+B689)^4-'Data Schema'!$C$3*(1+B689)^3)*$I$12)/(1+C689)^4+(('Data Schema'!$C$3*(1+B689)^5)*((1-$I$4-$I$5+E689)*(1-$I$10)+$I$6-$I$11)-('Data Schema'!$C$3*(1+B689)^5-'Data Schema'!$C$3*(1+B689)^4)*$I$12)/(1+C689)^5+((('Data Schema'!$C$3*(1+B689)^5)*((1-$I$4-$I$5+E689)*(1-$I$10)+$I$6-$I$11)-('Data Schema'!$C$3*(1+B689)^5-'Data Schema'!$C$3*(1+B689)^4)*$I$12)*(1+D689)/(C689-D689))/(1+C689)^5-'Data Schema'!$C$31+'Data Schema'!$C$21)/'Data Schema'!$B$17,0),"INVALID")</f>
        <v>79.009630855197685</v>
      </c>
      <c r="H689" s="189" t="b">
        <f t="shared" ca="1" si="74"/>
        <v>1</v>
      </c>
      <c r="I689" s="188">
        <f t="shared" ca="1" si="75"/>
        <v>79.009630855197685</v>
      </c>
      <c r="J689" s="349">
        <f t="shared" ca="1" si="68"/>
        <v>79.009630855197685</v>
      </c>
    </row>
    <row r="690" spans="1:10">
      <c r="A690" s="185">
        <v>511</v>
      </c>
      <c r="B690" s="190">
        <f t="shared" ca="1" si="69"/>
        <v>8.9878292817952454E-2</v>
      </c>
      <c r="C690" s="190">
        <f t="shared" ca="1" si="70"/>
        <v>4.488418946864102E-2</v>
      </c>
      <c r="D690" s="190">
        <f t="shared" ca="1" si="71"/>
        <v>1.8526145259506868E-2</v>
      </c>
      <c r="E690" s="190">
        <f t="shared" ca="1" si="72"/>
        <v>4.3829900288440443E-2</v>
      </c>
      <c r="F690" s="189" t="b">
        <f t="shared" ca="1" si="73"/>
        <v>1</v>
      </c>
      <c r="G690" s="188">
        <f ca="1">IF(F690,IFERROR(((('Data Schema'!$C$3*(1+B690)^1)*((1-$I$4-$I$5+E690)*(1-$I$10)+$I$6-$I$11)-('Data Schema'!$C$3*(1+B690)^1-'Data Schema'!$C$3)*$I$12)/(1+C690)^1+(('Data Schema'!$C$3*(1+B690)^2)*((1-$I$4-$I$5+E690)*(1-$I$10)+$I$6-$I$11)-('Data Schema'!$C$3*(1+B690)^2-'Data Schema'!$C$3*(1+B690)^1)*$I$12)/(1+C690)^2+(('Data Schema'!$C$3*(1+B690)^3)*((1-$I$4-$I$5+E690)*(1-$I$10)+$I$6-$I$11)-('Data Schema'!$C$3*(1+B690)^3-'Data Schema'!$C$3*(1+B690)^2)*$I$12)/(1+C690)^3+(('Data Schema'!$C$3*(1+B690)^4)*((1-$I$4-$I$5+E690)*(1-$I$10)+$I$6-$I$11)-('Data Schema'!$C$3*(1+B690)^4-'Data Schema'!$C$3*(1+B690)^3)*$I$12)/(1+C690)^4+(('Data Schema'!$C$3*(1+B690)^5)*((1-$I$4-$I$5+E690)*(1-$I$10)+$I$6-$I$11)-('Data Schema'!$C$3*(1+B690)^5-'Data Schema'!$C$3*(1+B690)^4)*$I$12)/(1+C690)^5+((('Data Schema'!$C$3*(1+B690)^5)*((1-$I$4-$I$5+E690)*(1-$I$10)+$I$6-$I$11)-('Data Schema'!$C$3*(1+B690)^5-'Data Schema'!$C$3*(1+B690)^4)*$I$12)*(1+D690)/(C690-D690))/(1+C690)^5-'Data Schema'!$C$31+'Data Schema'!$C$21)/'Data Schema'!$B$17,0),"INVALID")</f>
        <v>270.5324194653254</v>
      </c>
      <c r="H690" s="189" t="b">
        <f t="shared" ca="1" si="74"/>
        <v>1</v>
      </c>
      <c r="I690" s="188">
        <f t="shared" ca="1" si="75"/>
        <v>270.5324194653254</v>
      </c>
      <c r="J690" s="349" t="str">
        <f t="shared" ca="1" si="68"/>
        <v/>
      </c>
    </row>
    <row r="691" spans="1:10">
      <c r="A691" s="184">
        <v>512</v>
      </c>
      <c r="B691" s="190">
        <f t="shared" ca="1" si="69"/>
        <v>0.10623699313168912</v>
      </c>
      <c r="C691" s="190">
        <f t="shared" ca="1" si="70"/>
        <v>7.4135524129034402E-2</v>
      </c>
      <c r="D691" s="190">
        <f t="shared" ca="1" si="71"/>
        <v>1.5929859309451021E-2</v>
      </c>
      <c r="E691" s="190">
        <f t="shared" ca="1" si="72"/>
        <v>2.2820122595138867E-2</v>
      </c>
      <c r="F691" s="189" t="b">
        <f t="shared" ca="1" si="73"/>
        <v>1</v>
      </c>
      <c r="G691" s="188">
        <f ca="1">IF(F691,IFERROR(((('Data Schema'!$C$3*(1+B691)^1)*((1-$I$4-$I$5+E691)*(1-$I$10)+$I$6-$I$11)-('Data Schema'!$C$3*(1+B691)^1-'Data Schema'!$C$3)*$I$12)/(1+C691)^1+(('Data Schema'!$C$3*(1+B691)^2)*((1-$I$4-$I$5+E691)*(1-$I$10)+$I$6-$I$11)-('Data Schema'!$C$3*(1+B691)^2-'Data Schema'!$C$3*(1+B691)^1)*$I$12)/(1+C691)^2+(('Data Schema'!$C$3*(1+B691)^3)*((1-$I$4-$I$5+E691)*(1-$I$10)+$I$6-$I$11)-('Data Schema'!$C$3*(1+B691)^3-'Data Schema'!$C$3*(1+B691)^2)*$I$12)/(1+C691)^3+(('Data Schema'!$C$3*(1+B691)^4)*((1-$I$4-$I$5+E691)*(1-$I$10)+$I$6-$I$11)-('Data Schema'!$C$3*(1+B691)^4-'Data Schema'!$C$3*(1+B691)^3)*$I$12)/(1+C691)^4+(('Data Schema'!$C$3*(1+B691)^5)*((1-$I$4-$I$5+E691)*(1-$I$10)+$I$6-$I$11)-('Data Schema'!$C$3*(1+B691)^5-'Data Schema'!$C$3*(1+B691)^4)*$I$12)/(1+C691)^5+((('Data Schema'!$C$3*(1+B691)^5)*((1-$I$4-$I$5+E691)*(1-$I$10)+$I$6-$I$11)-('Data Schema'!$C$3*(1+B691)^5-'Data Schema'!$C$3*(1+B691)^4)*$I$12)*(1+D691)/(C691-D691))/(1+C691)^5-'Data Schema'!$C$31+'Data Schema'!$C$21)/'Data Schema'!$B$17,0),"INVALID")</f>
        <v>89.908605385895058</v>
      </c>
      <c r="H691" s="189" t="b">
        <f t="shared" ca="1" si="74"/>
        <v>1</v>
      </c>
      <c r="I691" s="188">
        <f t="shared" ca="1" si="75"/>
        <v>89.908605385895058</v>
      </c>
      <c r="J691" s="349">
        <f t="shared" ca="1" si="68"/>
        <v>89.908605385895058</v>
      </c>
    </row>
    <row r="692" spans="1:10">
      <c r="A692" s="185">
        <v>513</v>
      </c>
      <c r="B692" s="190">
        <f t="shared" ca="1" si="69"/>
        <v>0.12259577768458296</v>
      </c>
      <c r="C692" s="190">
        <f t="shared" ca="1" si="70"/>
        <v>6.0419846217906324E-2</v>
      </c>
      <c r="D692" s="190">
        <f t="shared" ca="1" si="71"/>
        <v>2.5443440422582921E-2</v>
      </c>
      <c r="E692" s="190">
        <f t="shared" ca="1" si="72"/>
        <v>-4.0989679012165742E-2</v>
      </c>
      <c r="F692" s="189" t="b">
        <f t="shared" ca="1" si="73"/>
        <v>1</v>
      </c>
      <c r="G692" s="188">
        <f ca="1">IF(F692,IFERROR(((('Data Schema'!$C$3*(1+B692)^1)*((1-$I$4-$I$5+E692)*(1-$I$10)+$I$6-$I$11)-('Data Schema'!$C$3*(1+B692)^1-'Data Schema'!$C$3)*$I$12)/(1+C692)^1+(('Data Schema'!$C$3*(1+B692)^2)*((1-$I$4-$I$5+E692)*(1-$I$10)+$I$6-$I$11)-('Data Schema'!$C$3*(1+B692)^2-'Data Schema'!$C$3*(1+B692)^1)*$I$12)/(1+C692)^2+(('Data Schema'!$C$3*(1+B692)^3)*((1-$I$4-$I$5+E692)*(1-$I$10)+$I$6-$I$11)-('Data Schema'!$C$3*(1+B692)^3-'Data Schema'!$C$3*(1+B692)^2)*$I$12)/(1+C692)^3+(('Data Schema'!$C$3*(1+B692)^4)*((1-$I$4-$I$5+E692)*(1-$I$10)+$I$6-$I$11)-('Data Schema'!$C$3*(1+B692)^4-'Data Schema'!$C$3*(1+B692)^3)*$I$12)/(1+C692)^4+(('Data Schema'!$C$3*(1+B692)^5)*((1-$I$4-$I$5+E692)*(1-$I$10)+$I$6-$I$11)-('Data Schema'!$C$3*(1+B692)^5-'Data Schema'!$C$3*(1+B692)^4)*$I$12)/(1+C692)^5+((('Data Schema'!$C$3*(1+B692)^5)*((1-$I$4-$I$5+E692)*(1-$I$10)+$I$6-$I$11)-('Data Schema'!$C$3*(1+B692)^5-'Data Schema'!$C$3*(1+B692)^4)*$I$12)*(1+D692)/(C692-D692))/(1+C692)^5-'Data Schema'!$C$31+'Data Schema'!$C$21)/'Data Schema'!$B$17,0),"INVALID")</f>
        <v>-29.70175013038353</v>
      </c>
      <c r="H692" s="189" t="b">
        <f t="shared" ca="1" si="74"/>
        <v>0</v>
      </c>
      <c r="I692" s="188" t="str">
        <f t="shared" ca="1" si="75"/>
        <v/>
      </c>
      <c r="J692" s="349" t="str">
        <f t="shared" ref="J692:J755" ca="1" si="76">IF(AND(F692=TRUE,H692=TRUE,ISNUMBER(G692),G692&gt;=$B$153,G692&lt;=$B$154),G692,"")</f>
        <v/>
      </c>
    </row>
    <row r="693" spans="1:10">
      <c r="A693" s="184">
        <v>514</v>
      </c>
      <c r="B693" s="190">
        <f t="shared" ref="B693:B756" ca="1" si="77">MAX($D$139,MIN($E$139,NORMINV(RAND(),$B$139,$C$139)))</f>
        <v>7.0371632191694136E-2</v>
      </c>
      <c r="C693" s="190">
        <f t="shared" ref="C693:C756" ca="1" si="78">MAX($D$140,MIN($E$140,NORMINV(RAND(),$B$140,$C$140)))</f>
        <v>5.4433131415833294E-2</v>
      </c>
      <c r="D693" s="190">
        <f t="shared" ref="D693:D756" ca="1" si="79">MAX($D$141,MIN($E$141,NORMINV(RAND(),$B$141,$C$141)))</f>
        <v>2.0250641025928239E-2</v>
      </c>
      <c r="E693" s="190">
        <f t="shared" ref="E693:E756" ca="1" si="80">MAX($D$142,MIN($E$142,NORMINV(RAND(),$B$142,$C$142)))</f>
        <v>1.9614455663691271E-2</v>
      </c>
      <c r="F693" s="189" t="b">
        <f t="shared" ref="F693:F756" ca="1" si="81">C693&gt;D693+$B$144</f>
        <v>1</v>
      </c>
      <c r="G693" s="188">
        <f ca="1">IF(F693,IFERROR(((('Data Schema'!$C$3*(1+B693)^1)*((1-$I$4-$I$5+E693)*(1-$I$10)+$I$6-$I$11)-('Data Schema'!$C$3*(1+B693)^1-'Data Schema'!$C$3)*$I$12)/(1+C693)^1+(('Data Schema'!$C$3*(1+B693)^2)*((1-$I$4-$I$5+E693)*(1-$I$10)+$I$6-$I$11)-('Data Schema'!$C$3*(1+B693)^2-'Data Schema'!$C$3*(1+B693)^1)*$I$12)/(1+C693)^2+(('Data Schema'!$C$3*(1+B693)^3)*((1-$I$4-$I$5+E693)*(1-$I$10)+$I$6-$I$11)-('Data Schema'!$C$3*(1+B693)^3-'Data Schema'!$C$3*(1+B693)^2)*$I$12)/(1+C693)^3+(('Data Schema'!$C$3*(1+B693)^4)*((1-$I$4-$I$5+E693)*(1-$I$10)+$I$6-$I$11)-('Data Schema'!$C$3*(1+B693)^4-'Data Schema'!$C$3*(1+B693)^3)*$I$12)/(1+C693)^4+(('Data Schema'!$C$3*(1+B693)^5)*((1-$I$4-$I$5+E693)*(1-$I$10)+$I$6-$I$11)-('Data Schema'!$C$3*(1+B693)^5-'Data Schema'!$C$3*(1+B693)^4)*$I$12)/(1+C693)^5+((('Data Schema'!$C$3*(1+B693)^5)*((1-$I$4-$I$5+E693)*(1-$I$10)+$I$6-$I$11)-('Data Schema'!$C$3*(1+B693)^5-'Data Schema'!$C$3*(1+B693)^4)*$I$12)*(1+D693)/(C693-D693))/(1+C693)^5-'Data Schema'!$C$31+'Data Schema'!$C$21)/'Data Schema'!$B$17,0),"INVALID")</f>
        <v>128.12964566844758</v>
      </c>
      <c r="H693" s="189" t="b">
        <f t="shared" ref="H693:H756" ca="1" si="82">AND(ISNUMBER(G693),G693&gt;$F$29*$B$145,G693&lt;$F$29*$B$146)</f>
        <v>1</v>
      </c>
      <c r="I693" s="188">
        <f t="shared" ref="I693:I756" ca="1" si="83">IF(AND(F693=TRUE,H693=TRUE),G693,"")</f>
        <v>128.12964566844758</v>
      </c>
      <c r="J693" s="349">
        <f t="shared" ca="1" si="76"/>
        <v>128.12964566844758</v>
      </c>
    </row>
    <row r="694" spans="1:10">
      <c r="A694" s="185">
        <v>515</v>
      </c>
      <c r="B694" s="190">
        <f t="shared" ca="1" si="77"/>
        <v>0.11329792117390981</v>
      </c>
      <c r="C694" s="190">
        <f t="shared" ca="1" si="78"/>
        <v>4.7080876857064212E-2</v>
      </c>
      <c r="D694" s="190">
        <f t="shared" ca="1" si="79"/>
        <v>1.5692279940167159E-2</v>
      </c>
      <c r="E694" s="190">
        <f t="shared" ca="1" si="80"/>
        <v>-3.0251930574478371E-3</v>
      </c>
      <c r="F694" s="189" t="b">
        <f t="shared" ca="1" si="81"/>
        <v>1</v>
      </c>
      <c r="G694" s="188">
        <f ca="1">IF(F694,IFERROR(((('Data Schema'!$C$3*(1+B694)^1)*((1-$I$4-$I$5+E694)*(1-$I$10)+$I$6-$I$11)-('Data Schema'!$C$3*(1+B694)^1-'Data Schema'!$C$3)*$I$12)/(1+C694)^1+(('Data Schema'!$C$3*(1+B694)^2)*((1-$I$4-$I$5+E694)*(1-$I$10)+$I$6-$I$11)-('Data Schema'!$C$3*(1+B694)^2-'Data Schema'!$C$3*(1+B694)^1)*$I$12)/(1+C694)^2+(('Data Schema'!$C$3*(1+B694)^3)*((1-$I$4-$I$5+E694)*(1-$I$10)+$I$6-$I$11)-('Data Schema'!$C$3*(1+B694)^3-'Data Schema'!$C$3*(1+B694)^2)*$I$12)/(1+C694)^3+(('Data Schema'!$C$3*(1+B694)^4)*((1-$I$4-$I$5+E694)*(1-$I$10)+$I$6-$I$11)-('Data Schema'!$C$3*(1+B694)^4-'Data Schema'!$C$3*(1+B694)^3)*$I$12)/(1+C694)^4+(('Data Schema'!$C$3*(1+B694)^5)*((1-$I$4-$I$5+E694)*(1-$I$10)+$I$6-$I$11)-('Data Schema'!$C$3*(1+B694)^5-'Data Schema'!$C$3*(1+B694)^4)*$I$12)/(1+C694)^5+((('Data Schema'!$C$3*(1+B694)^5)*((1-$I$4-$I$5+E694)*(1-$I$10)+$I$6-$I$11)-('Data Schema'!$C$3*(1+B694)^5-'Data Schema'!$C$3*(1+B694)^4)*$I$12)*(1+D694)/(C694-D694))/(1+C694)^5-'Data Schema'!$C$31+'Data Schema'!$C$21)/'Data Schema'!$B$17,0),"INVALID")</f>
        <v>94.971104114591512</v>
      </c>
      <c r="H694" s="189" t="b">
        <f t="shared" ca="1" si="82"/>
        <v>1</v>
      </c>
      <c r="I694" s="188">
        <f t="shared" ca="1" si="83"/>
        <v>94.971104114591512</v>
      </c>
      <c r="J694" s="349">
        <f t="shared" ca="1" si="76"/>
        <v>94.971104114591512</v>
      </c>
    </row>
    <row r="695" spans="1:10">
      <c r="A695" s="184">
        <v>516</v>
      </c>
      <c r="B695" s="190">
        <f t="shared" ca="1" si="77"/>
        <v>8.2321389944733342E-2</v>
      </c>
      <c r="C695" s="190">
        <f t="shared" ca="1" si="78"/>
        <v>5.7528661536009815E-2</v>
      </c>
      <c r="D695" s="190">
        <f t="shared" ca="1" si="79"/>
        <v>2.9868477391619283E-2</v>
      </c>
      <c r="E695" s="190">
        <f t="shared" ca="1" si="80"/>
        <v>1.6384673848873318E-2</v>
      </c>
      <c r="F695" s="189" t="b">
        <f t="shared" ca="1" si="81"/>
        <v>1</v>
      </c>
      <c r="G695" s="188">
        <f ca="1">IF(F695,IFERROR(((('Data Schema'!$C$3*(1+B695)^1)*((1-$I$4-$I$5+E695)*(1-$I$10)+$I$6-$I$11)-('Data Schema'!$C$3*(1+B695)^1-'Data Schema'!$C$3)*$I$12)/(1+C695)^1+(('Data Schema'!$C$3*(1+B695)^2)*((1-$I$4-$I$5+E695)*(1-$I$10)+$I$6-$I$11)-('Data Schema'!$C$3*(1+B695)^2-'Data Schema'!$C$3*(1+B695)^1)*$I$12)/(1+C695)^2+(('Data Schema'!$C$3*(1+B695)^3)*((1-$I$4-$I$5+E695)*(1-$I$10)+$I$6-$I$11)-('Data Schema'!$C$3*(1+B695)^3-'Data Schema'!$C$3*(1+B695)^2)*$I$12)/(1+C695)^3+(('Data Schema'!$C$3*(1+B695)^4)*((1-$I$4-$I$5+E695)*(1-$I$10)+$I$6-$I$11)-('Data Schema'!$C$3*(1+B695)^4-'Data Schema'!$C$3*(1+B695)^3)*$I$12)/(1+C695)^4+(('Data Schema'!$C$3*(1+B695)^5)*((1-$I$4-$I$5+E695)*(1-$I$10)+$I$6-$I$11)-('Data Schema'!$C$3*(1+B695)^5-'Data Schema'!$C$3*(1+B695)^4)*$I$12)/(1+C695)^5+((('Data Schema'!$C$3*(1+B695)^5)*((1-$I$4-$I$5+E695)*(1-$I$10)+$I$6-$I$11)-('Data Schema'!$C$3*(1+B695)^5-'Data Schema'!$C$3*(1+B695)^4)*$I$12)*(1+D695)/(C695-D695))/(1+C695)^5-'Data Schema'!$C$31+'Data Schema'!$C$21)/'Data Schema'!$B$17,0),"INVALID")</f>
        <v>152.39608362894919</v>
      </c>
      <c r="H695" s="189" t="b">
        <f t="shared" ca="1" si="82"/>
        <v>1</v>
      </c>
      <c r="I695" s="188">
        <f t="shared" ca="1" si="83"/>
        <v>152.39608362894919</v>
      </c>
      <c r="J695" s="349">
        <f t="shared" ca="1" si="76"/>
        <v>152.39608362894919</v>
      </c>
    </row>
    <row r="696" spans="1:10">
      <c r="A696" s="185">
        <v>517</v>
      </c>
      <c r="B696" s="190">
        <f t="shared" ca="1" si="77"/>
        <v>0.12191392138508697</v>
      </c>
      <c r="C696" s="190">
        <f t="shared" ca="1" si="78"/>
        <v>6.3092204970253876E-2</v>
      </c>
      <c r="D696" s="190">
        <f t="shared" ca="1" si="79"/>
        <v>2.1446358191412305E-2</v>
      </c>
      <c r="E696" s="190">
        <f t="shared" ca="1" si="80"/>
        <v>8.1522016088087269E-3</v>
      </c>
      <c r="F696" s="189" t="b">
        <f t="shared" ca="1" si="81"/>
        <v>1</v>
      </c>
      <c r="G696" s="188">
        <f ca="1">IF(F696,IFERROR(((('Data Schema'!$C$3*(1+B696)^1)*((1-$I$4-$I$5+E696)*(1-$I$10)+$I$6-$I$11)-('Data Schema'!$C$3*(1+B696)^1-'Data Schema'!$C$3)*$I$12)/(1+C696)^1+(('Data Schema'!$C$3*(1+B696)^2)*((1-$I$4-$I$5+E696)*(1-$I$10)+$I$6-$I$11)-('Data Schema'!$C$3*(1+B696)^2-'Data Schema'!$C$3*(1+B696)^1)*$I$12)/(1+C696)^2+(('Data Schema'!$C$3*(1+B696)^3)*((1-$I$4-$I$5+E696)*(1-$I$10)+$I$6-$I$11)-('Data Schema'!$C$3*(1+B696)^3-'Data Schema'!$C$3*(1+B696)^2)*$I$12)/(1+C696)^3+(('Data Schema'!$C$3*(1+B696)^4)*((1-$I$4-$I$5+E696)*(1-$I$10)+$I$6-$I$11)-('Data Schema'!$C$3*(1+B696)^4-'Data Schema'!$C$3*(1+B696)^3)*$I$12)/(1+C696)^4+(('Data Schema'!$C$3*(1+B696)^5)*((1-$I$4-$I$5+E696)*(1-$I$10)+$I$6-$I$11)-('Data Schema'!$C$3*(1+B696)^5-'Data Schema'!$C$3*(1+B696)^4)*$I$12)/(1+C696)^5+((('Data Schema'!$C$3*(1+B696)^5)*((1-$I$4-$I$5+E696)*(1-$I$10)+$I$6-$I$11)-('Data Schema'!$C$3*(1+B696)^5-'Data Schema'!$C$3*(1+B696)^4)*$I$12)*(1+D696)/(C696-D696))/(1+C696)^5-'Data Schema'!$C$31+'Data Schema'!$C$21)/'Data Schema'!$B$17,0),"INVALID")</f>
        <v>98.342807170874906</v>
      </c>
      <c r="H696" s="189" t="b">
        <f t="shared" ca="1" si="82"/>
        <v>1</v>
      </c>
      <c r="I696" s="188">
        <f t="shared" ca="1" si="83"/>
        <v>98.342807170874906</v>
      </c>
      <c r="J696" s="349">
        <f t="shared" ca="1" si="76"/>
        <v>98.342807170874906</v>
      </c>
    </row>
    <row r="697" spans="1:10">
      <c r="A697" s="184">
        <v>518</v>
      </c>
      <c r="B697" s="190">
        <f t="shared" ca="1" si="77"/>
        <v>6.0054737168253422E-2</v>
      </c>
      <c r="C697" s="190">
        <f t="shared" ca="1" si="78"/>
        <v>6.3557427614127332E-2</v>
      </c>
      <c r="D697" s="190">
        <f t="shared" ca="1" si="79"/>
        <v>2.3968049133419426E-2</v>
      </c>
      <c r="E697" s="190">
        <f t="shared" ca="1" si="80"/>
        <v>-1.2700526609040579E-2</v>
      </c>
      <c r="F697" s="189" t="b">
        <f t="shared" ca="1" si="81"/>
        <v>1</v>
      </c>
      <c r="G697" s="188">
        <f ca="1">IF(F697,IFERROR(((('Data Schema'!$C$3*(1+B697)^1)*((1-$I$4-$I$5+E697)*(1-$I$10)+$I$6-$I$11)-('Data Schema'!$C$3*(1+B697)^1-'Data Schema'!$C$3)*$I$12)/(1+C697)^1+(('Data Schema'!$C$3*(1+B697)^2)*((1-$I$4-$I$5+E697)*(1-$I$10)+$I$6-$I$11)-('Data Schema'!$C$3*(1+B697)^2-'Data Schema'!$C$3*(1+B697)^1)*$I$12)/(1+C697)^2+(('Data Schema'!$C$3*(1+B697)^3)*((1-$I$4-$I$5+E697)*(1-$I$10)+$I$6-$I$11)-('Data Schema'!$C$3*(1+B697)^3-'Data Schema'!$C$3*(1+B697)^2)*$I$12)/(1+C697)^3+(('Data Schema'!$C$3*(1+B697)^4)*((1-$I$4-$I$5+E697)*(1-$I$10)+$I$6-$I$11)-('Data Schema'!$C$3*(1+B697)^4-'Data Schema'!$C$3*(1+B697)^3)*$I$12)/(1+C697)^4+(('Data Schema'!$C$3*(1+B697)^5)*((1-$I$4-$I$5+E697)*(1-$I$10)+$I$6-$I$11)-('Data Schema'!$C$3*(1+B697)^5-'Data Schema'!$C$3*(1+B697)^4)*$I$12)/(1+C697)^5+((('Data Schema'!$C$3*(1+B697)^5)*((1-$I$4-$I$5+E697)*(1-$I$10)+$I$6-$I$11)-('Data Schema'!$C$3*(1+B697)^5-'Data Schema'!$C$3*(1+B697)^4)*$I$12)*(1+D697)/(C697-D697))/(1+C697)^5-'Data Schema'!$C$31+'Data Schema'!$C$21)/'Data Schema'!$B$17,0),"INVALID")</f>
        <v>37.802265866436308</v>
      </c>
      <c r="H697" s="189" t="b">
        <f t="shared" ca="1" si="82"/>
        <v>1</v>
      </c>
      <c r="I697" s="188">
        <f t="shared" ca="1" si="83"/>
        <v>37.802265866436308</v>
      </c>
      <c r="J697" s="349">
        <f t="shared" ca="1" si="76"/>
        <v>37.802265866436308</v>
      </c>
    </row>
    <row r="698" spans="1:10">
      <c r="A698" s="185">
        <v>519</v>
      </c>
      <c r="B698" s="190">
        <f t="shared" ca="1" si="77"/>
        <v>9.4442033371207962E-2</v>
      </c>
      <c r="C698" s="190">
        <f t="shared" ca="1" si="78"/>
        <v>5.2149390686840533E-2</v>
      </c>
      <c r="D698" s="190">
        <f t="shared" ca="1" si="79"/>
        <v>2.7985593154944619E-2</v>
      </c>
      <c r="E698" s="190">
        <f t="shared" ca="1" si="80"/>
        <v>-2.8664280683889123E-2</v>
      </c>
      <c r="F698" s="189" t="b">
        <f t="shared" ca="1" si="81"/>
        <v>1</v>
      </c>
      <c r="G698" s="188">
        <f ca="1">IF(F698,IFERROR(((('Data Schema'!$C$3*(1+B698)^1)*((1-$I$4-$I$5+E698)*(1-$I$10)+$I$6-$I$11)-('Data Schema'!$C$3*(1+B698)^1-'Data Schema'!$C$3)*$I$12)/(1+C698)^1+(('Data Schema'!$C$3*(1+B698)^2)*((1-$I$4-$I$5+E698)*(1-$I$10)+$I$6-$I$11)-('Data Schema'!$C$3*(1+B698)^2-'Data Schema'!$C$3*(1+B698)^1)*$I$12)/(1+C698)^2+(('Data Schema'!$C$3*(1+B698)^3)*((1-$I$4-$I$5+E698)*(1-$I$10)+$I$6-$I$11)-('Data Schema'!$C$3*(1+B698)^3-'Data Schema'!$C$3*(1+B698)^2)*$I$12)/(1+C698)^3+(('Data Schema'!$C$3*(1+B698)^4)*((1-$I$4-$I$5+E698)*(1-$I$10)+$I$6-$I$11)-('Data Schema'!$C$3*(1+B698)^4-'Data Schema'!$C$3*(1+B698)^3)*$I$12)/(1+C698)^4+(('Data Schema'!$C$3*(1+B698)^5)*((1-$I$4-$I$5+E698)*(1-$I$10)+$I$6-$I$11)-('Data Schema'!$C$3*(1+B698)^5-'Data Schema'!$C$3*(1+B698)^4)*$I$12)/(1+C698)^5+((('Data Schema'!$C$3*(1+B698)^5)*((1-$I$4-$I$5+E698)*(1-$I$10)+$I$6-$I$11)-('Data Schema'!$C$3*(1+B698)^5-'Data Schema'!$C$3*(1+B698)^4)*$I$12)*(1+D698)/(C698-D698))/(1+C698)^5-'Data Schema'!$C$31+'Data Schema'!$C$21)/'Data Schema'!$B$17,0),"INVALID")</f>
        <v>13.533260827575136</v>
      </c>
      <c r="H698" s="189" t="b">
        <f t="shared" ca="1" si="82"/>
        <v>1</v>
      </c>
      <c r="I698" s="188">
        <f t="shared" ca="1" si="83"/>
        <v>13.533260827575136</v>
      </c>
      <c r="J698" s="349" t="str">
        <f t="shared" ca="1" si="76"/>
        <v/>
      </c>
    </row>
    <row r="699" spans="1:10">
      <c r="A699" s="184">
        <v>520</v>
      </c>
      <c r="B699" s="190">
        <f t="shared" ca="1" si="77"/>
        <v>0.12063204289876166</v>
      </c>
      <c r="C699" s="190">
        <f t="shared" ca="1" si="78"/>
        <v>6.7531549304196331E-2</v>
      </c>
      <c r="D699" s="190">
        <f t="shared" ca="1" si="79"/>
        <v>2.2426411729682037E-2</v>
      </c>
      <c r="E699" s="190">
        <f t="shared" ca="1" si="80"/>
        <v>3.2412092778859195E-4</v>
      </c>
      <c r="F699" s="189" t="b">
        <f t="shared" ca="1" si="81"/>
        <v>1</v>
      </c>
      <c r="G699" s="188">
        <f ca="1">IF(F699,IFERROR(((('Data Schema'!$C$3*(1+B699)^1)*((1-$I$4-$I$5+E699)*(1-$I$10)+$I$6-$I$11)-('Data Schema'!$C$3*(1+B699)^1-'Data Schema'!$C$3)*$I$12)/(1+C699)^1+(('Data Schema'!$C$3*(1+B699)^2)*((1-$I$4-$I$5+E699)*(1-$I$10)+$I$6-$I$11)-('Data Schema'!$C$3*(1+B699)^2-'Data Schema'!$C$3*(1+B699)^1)*$I$12)/(1+C699)^2+(('Data Schema'!$C$3*(1+B699)^3)*((1-$I$4-$I$5+E699)*(1-$I$10)+$I$6-$I$11)-('Data Schema'!$C$3*(1+B699)^3-'Data Schema'!$C$3*(1+B699)^2)*$I$12)/(1+C699)^3+(('Data Schema'!$C$3*(1+B699)^4)*((1-$I$4-$I$5+E699)*(1-$I$10)+$I$6-$I$11)-('Data Schema'!$C$3*(1+B699)^4-'Data Schema'!$C$3*(1+B699)^3)*$I$12)/(1+C699)^4+(('Data Schema'!$C$3*(1+B699)^5)*((1-$I$4-$I$5+E699)*(1-$I$10)+$I$6-$I$11)-('Data Schema'!$C$3*(1+B699)^5-'Data Schema'!$C$3*(1+B699)^4)*$I$12)/(1+C699)^5+((('Data Schema'!$C$3*(1+B699)^5)*((1-$I$4-$I$5+E699)*(1-$I$10)+$I$6-$I$11)-('Data Schema'!$C$3*(1+B699)^5-'Data Schema'!$C$3*(1+B699)^4)*$I$12)*(1+D699)/(C699-D699))/(1+C699)^5-'Data Schema'!$C$31+'Data Schema'!$C$21)/'Data Schema'!$B$17,0),"INVALID")</f>
        <v>71.12652273715365</v>
      </c>
      <c r="H699" s="189" t="b">
        <f t="shared" ca="1" si="82"/>
        <v>1</v>
      </c>
      <c r="I699" s="188">
        <f t="shared" ca="1" si="83"/>
        <v>71.12652273715365</v>
      </c>
      <c r="J699" s="349">
        <f t="shared" ca="1" si="76"/>
        <v>71.12652273715365</v>
      </c>
    </row>
    <row r="700" spans="1:10">
      <c r="A700" s="185">
        <v>521</v>
      </c>
      <c r="B700" s="190">
        <f t="shared" ca="1" si="77"/>
        <v>0.10580235835556355</v>
      </c>
      <c r="C700" s="190">
        <f t="shared" ca="1" si="78"/>
        <v>6.0299948012870488E-2</v>
      </c>
      <c r="D700" s="190">
        <f t="shared" ca="1" si="79"/>
        <v>2.7556306732271718E-2</v>
      </c>
      <c r="E700" s="190">
        <f t="shared" ca="1" si="80"/>
        <v>-1.7008258006421521E-2</v>
      </c>
      <c r="F700" s="189" t="b">
        <f t="shared" ca="1" si="81"/>
        <v>1</v>
      </c>
      <c r="G700" s="188">
        <f ca="1">IF(F700,IFERROR(((('Data Schema'!$C$3*(1+B700)^1)*((1-$I$4-$I$5+E700)*(1-$I$10)+$I$6-$I$11)-('Data Schema'!$C$3*(1+B700)^1-'Data Schema'!$C$3)*$I$12)/(1+C700)^1+(('Data Schema'!$C$3*(1+B700)^2)*((1-$I$4-$I$5+E700)*(1-$I$10)+$I$6-$I$11)-('Data Schema'!$C$3*(1+B700)^2-'Data Schema'!$C$3*(1+B700)^1)*$I$12)/(1+C700)^2+(('Data Schema'!$C$3*(1+B700)^3)*((1-$I$4-$I$5+E700)*(1-$I$10)+$I$6-$I$11)-('Data Schema'!$C$3*(1+B700)^3-'Data Schema'!$C$3*(1+B700)^2)*$I$12)/(1+C700)^3+(('Data Schema'!$C$3*(1+B700)^4)*((1-$I$4-$I$5+E700)*(1-$I$10)+$I$6-$I$11)-('Data Schema'!$C$3*(1+B700)^4-'Data Schema'!$C$3*(1+B700)^3)*$I$12)/(1+C700)^4+(('Data Schema'!$C$3*(1+B700)^5)*((1-$I$4-$I$5+E700)*(1-$I$10)+$I$6-$I$11)-('Data Schema'!$C$3*(1+B700)^5-'Data Schema'!$C$3*(1+B700)^4)*$I$12)/(1+C700)^5+((('Data Schema'!$C$3*(1+B700)^5)*((1-$I$4-$I$5+E700)*(1-$I$10)+$I$6-$I$11)-('Data Schema'!$C$3*(1+B700)^5-'Data Schema'!$C$3*(1+B700)^4)*$I$12)*(1+D700)/(C700-D700))/(1+C700)^5-'Data Schema'!$C$31+'Data Schema'!$C$21)/'Data Schema'!$B$17,0),"INVALID")</f>
        <v>42.6306582581024</v>
      </c>
      <c r="H700" s="189" t="b">
        <f t="shared" ca="1" si="82"/>
        <v>1</v>
      </c>
      <c r="I700" s="188">
        <f t="shared" ca="1" si="83"/>
        <v>42.6306582581024</v>
      </c>
      <c r="J700" s="349">
        <f t="shared" ca="1" si="76"/>
        <v>42.6306582581024</v>
      </c>
    </row>
    <row r="701" spans="1:10">
      <c r="A701" s="184">
        <v>522</v>
      </c>
      <c r="B701" s="190">
        <f t="shared" ca="1" si="77"/>
        <v>0.11838385583619866</v>
      </c>
      <c r="C701" s="190">
        <f t="shared" ca="1" si="78"/>
        <v>6.8652550501594592E-2</v>
      </c>
      <c r="D701" s="190">
        <f t="shared" ca="1" si="79"/>
        <v>1.8404179276087371E-2</v>
      </c>
      <c r="E701" s="190">
        <f t="shared" ca="1" si="80"/>
        <v>-1.9411756873512469E-2</v>
      </c>
      <c r="F701" s="189" t="b">
        <f t="shared" ca="1" si="81"/>
        <v>1</v>
      </c>
      <c r="G701" s="188">
        <f ca="1">IF(F701,IFERROR(((('Data Schema'!$C$3*(1+B701)^1)*((1-$I$4-$I$5+E701)*(1-$I$10)+$I$6-$I$11)-('Data Schema'!$C$3*(1+B701)^1-'Data Schema'!$C$3)*$I$12)/(1+C701)^1+(('Data Schema'!$C$3*(1+B701)^2)*((1-$I$4-$I$5+E701)*(1-$I$10)+$I$6-$I$11)-('Data Schema'!$C$3*(1+B701)^2-'Data Schema'!$C$3*(1+B701)^1)*$I$12)/(1+C701)^2+(('Data Schema'!$C$3*(1+B701)^3)*((1-$I$4-$I$5+E701)*(1-$I$10)+$I$6-$I$11)-('Data Schema'!$C$3*(1+B701)^3-'Data Schema'!$C$3*(1+B701)^2)*$I$12)/(1+C701)^3+(('Data Schema'!$C$3*(1+B701)^4)*((1-$I$4-$I$5+E701)*(1-$I$10)+$I$6-$I$11)-('Data Schema'!$C$3*(1+B701)^4-'Data Schema'!$C$3*(1+B701)^3)*$I$12)/(1+C701)^4+(('Data Schema'!$C$3*(1+B701)^5)*((1-$I$4-$I$5+E701)*(1-$I$10)+$I$6-$I$11)-('Data Schema'!$C$3*(1+B701)^5-'Data Schema'!$C$3*(1+B701)^4)*$I$12)/(1+C701)^5+((('Data Schema'!$C$3*(1+B701)^5)*((1-$I$4-$I$5+E701)*(1-$I$10)+$I$6-$I$11)-('Data Schema'!$C$3*(1+B701)^5-'Data Schema'!$C$3*(1+B701)^4)*$I$12)*(1+D701)/(C701-D701))/(1+C701)^5-'Data Schema'!$C$31+'Data Schema'!$C$21)/'Data Schema'!$B$17,0),"INVALID")</f>
        <v>22.28971009021404</v>
      </c>
      <c r="H701" s="189" t="b">
        <f t="shared" ca="1" si="82"/>
        <v>1</v>
      </c>
      <c r="I701" s="188">
        <f t="shared" ca="1" si="83"/>
        <v>22.28971009021404</v>
      </c>
      <c r="J701" s="349" t="str">
        <f t="shared" ca="1" si="76"/>
        <v/>
      </c>
    </row>
    <row r="702" spans="1:10">
      <c r="A702" s="185">
        <v>523</v>
      </c>
      <c r="B702" s="190">
        <f t="shared" ca="1" si="77"/>
        <v>5.6683556418748914E-2</v>
      </c>
      <c r="C702" s="190">
        <f t="shared" ca="1" si="78"/>
        <v>5.9910207896553436E-2</v>
      </c>
      <c r="D702" s="190">
        <f t="shared" ca="1" si="79"/>
        <v>1.7862845890628476E-2</v>
      </c>
      <c r="E702" s="190">
        <f t="shared" ca="1" si="80"/>
        <v>7.2203387685977572E-3</v>
      </c>
      <c r="F702" s="189" t="b">
        <f t="shared" ca="1" si="81"/>
        <v>1</v>
      </c>
      <c r="G702" s="188">
        <f ca="1">IF(F702,IFERROR(((('Data Schema'!$C$3*(1+B702)^1)*((1-$I$4-$I$5+E702)*(1-$I$10)+$I$6-$I$11)-('Data Schema'!$C$3*(1+B702)^1-'Data Schema'!$C$3)*$I$12)/(1+C702)^1+(('Data Schema'!$C$3*(1+B702)^2)*((1-$I$4-$I$5+E702)*(1-$I$10)+$I$6-$I$11)-('Data Schema'!$C$3*(1+B702)^2-'Data Schema'!$C$3*(1+B702)^1)*$I$12)/(1+C702)^2+(('Data Schema'!$C$3*(1+B702)^3)*((1-$I$4-$I$5+E702)*(1-$I$10)+$I$6-$I$11)-('Data Schema'!$C$3*(1+B702)^3-'Data Schema'!$C$3*(1+B702)^2)*$I$12)/(1+C702)^3+(('Data Schema'!$C$3*(1+B702)^4)*((1-$I$4-$I$5+E702)*(1-$I$10)+$I$6-$I$11)-('Data Schema'!$C$3*(1+B702)^4-'Data Schema'!$C$3*(1+B702)^3)*$I$12)/(1+C702)^4+(('Data Schema'!$C$3*(1+B702)^5)*((1-$I$4-$I$5+E702)*(1-$I$10)+$I$6-$I$11)-('Data Schema'!$C$3*(1+B702)^5-'Data Schema'!$C$3*(1+B702)^4)*$I$12)/(1+C702)^5+((('Data Schema'!$C$3*(1+B702)^5)*((1-$I$4-$I$5+E702)*(1-$I$10)+$I$6-$I$11)-('Data Schema'!$C$3*(1+B702)^5-'Data Schema'!$C$3*(1+B702)^4)*$I$12)*(1+D702)/(C702-D702))/(1+C702)^5-'Data Schema'!$C$31+'Data Schema'!$C$21)/'Data Schema'!$B$17,0),"INVALID")</f>
        <v>73.849038677469267</v>
      </c>
      <c r="H702" s="189" t="b">
        <f t="shared" ca="1" si="82"/>
        <v>1</v>
      </c>
      <c r="I702" s="188">
        <f t="shared" ca="1" si="83"/>
        <v>73.849038677469267</v>
      </c>
      <c r="J702" s="349">
        <f t="shared" ca="1" si="76"/>
        <v>73.849038677469267</v>
      </c>
    </row>
    <row r="703" spans="1:10">
      <c r="A703" s="184">
        <v>524</v>
      </c>
      <c r="B703" s="190">
        <f t="shared" ca="1" si="77"/>
        <v>0.11855093596661948</v>
      </c>
      <c r="C703" s="190">
        <f t="shared" ca="1" si="78"/>
        <v>6.1119891689108419E-2</v>
      </c>
      <c r="D703" s="190">
        <f t="shared" ca="1" si="79"/>
        <v>2.5097969046242195E-2</v>
      </c>
      <c r="E703" s="190">
        <f t="shared" ca="1" si="80"/>
        <v>4.5493974149501031E-3</v>
      </c>
      <c r="F703" s="189" t="b">
        <f t="shared" ca="1" si="81"/>
        <v>1</v>
      </c>
      <c r="G703" s="188">
        <f ca="1">IF(F703,IFERROR(((('Data Schema'!$C$3*(1+B703)^1)*((1-$I$4-$I$5+E703)*(1-$I$10)+$I$6-$I$11)-('Data Schema'!$C$3*(1+B703)^1-'Data Schema'!$C$3)*$I$12)/(1+C703)^1+(('Data Schema'!$C$3*(1+B703)^2)*((1-$I$4-$I$5+E703)*(1-$I$10)+$I$6-$I$11)-('Data Schema'!$C$3*(1+B703)^2-'Data Schema'!$C$3*(1+B703)^1)*$I$12)/(1+C703)^2+(('Data Schema'!$C$3*(1+B703)^3)*((1-$I$4-$I$5+E703)*(1-$I$10)+$I$6-$I$11)-('Data Schema'!$C$3*(1+B703)^3-'Data Schema'!$C$3*(1+B703)^2)*$I$12)/(1+C703)^3+(('Data Schema'!$C$3*(1+B703)^4)*((1-$I$4-$I$5+E703)*(1-$I$10)+$I$6-$I$11)-('Data Schema'!$C$3*(1+B703)^4-'Data Schema'!$C$3*(1+B703)^3)*$I$12)/(1+C703)^4+(('Data Schema'!$C$3*(1+B703)^5)*((1-$I$4-$I$5+E703)*(1-$I$10)+$I$6-$I$11)-('Data Schema'!$C$3*(1+B703)^5-'Data Schema'!$C$3*(1+B703)^4)*$I$12)/(1+C703)^5+((('Data Schema'!$C$3*(1+B703)^5)*((1-$I$4-$I$5+E703)*(1-$I$10)+$I$6-$I$11)-('Data Schema'!$C$3*(1+B703)^5-'Data Schema'!$C$3*(1+B703)^4)*$I$12)*(1+D703)/(C703-D703))/(1+C703)^5-'Data Schema'!$C$31+'Data Schema'!$C$21)/'Data Schema'!$B$17,0),"INVALID")</f>
        <v>101.85861068028412</v>
      </c>
      <c r="H703" s="189" t="b">
        <f t="shared" ca="1" si="82"/>
        <v>1</v>
      </c>
      <c r="I703" s="188">
        <f t="shared" ca="1" si="83"/>
        <v>101.85861068028412</v>
      </c>
      <c r="J703" s="349">
        <f t="shared" ca="1" si="76"/>
        <v>101.85861068028412</v>
      </c>
    </row>
    <row r="704" spans="1:10">
      <c r="A704" s="185">
        <v>525</v>
      </c>
      <c r="B704" s="190">
        <f t="shared" ca="1" si="77"/>
        <v>0.14357526288659153</v>
      </c>
      <c r="C704" s="190">
        <f t="shared" ca="1" si="78"/>
        <v>5.0376368877044345E-2</v>
      </c>
      <c r="D704" s="190">
        <f t="shared" ca="1" si="79"/>
        <v>2.5881328879953536E-2</v>
      </c>
      <c r="E704" s="190">
        <f t="shared" ca="1" si="80"/>
        <v>5.7153020843478033E-3</v>
      </c>
      <c r="F704" s="189" t="b">
        <f t="shared" ca="1" si="81"/>
        <v>1</v>
      </c>
      <c r="G704" s="188">
        <f ca="1">IF(F704,IFERROR(((('Data Schema'!$C$3*(1+B704)^1)*((1-$I$4-$I$5+E704)*(1-$I$10)+$I$6-$I$11)-('Data Schema'!$C$3*(1+B704)^1-'Data Schema'!$C$3)*$I$12)/(1+C704)^1+(('Data Schema'!$C$3*(1+B704)^2)*((1-$I$4-$I$5+E704)*(1-$I$10)+$I$6-$I$11)-('Data Schema'!$C$3*(1+B704)^2-'Data Schema'!$C$3*(1+B704)^1)*$I$12)/(1+C704)^2+(('Data Schema'!$C$3*(1+B704)^3)*((1-$I$4-$I$5+E704)*(1-$I$10)+$I$6-$I$11)-('Data Schema'!$C$3*(1+B704)^3-'Data Schema'!$C$3*(1+B704)^2)*$I$12)/(1+C704)^3+(('Data Schema'!$C$3*(1+B704)^4)*((1-$I$4-$I$5+E704)*(1-$I$10)+$I$6-$I$11)-('Data Schema'!$C$3*(1+B704)^4-'Data Schema'!$C$3*(1+B704)^3)*$I$12)/(1+C704)^4+(('Data Schema'!$C$3*(1+B704)^5)*((1-$I$4-$I$5+E704)*(1-$I$10)+$I$6-$I$11)-('Data Schema'!$C$3*(1+B704)^5-'Data Schema'!$C$3*(1+B704)^4)*$I$12)/(1+C704)^5+((('Data Schema'!$C$3*(1+B704)^5)*((1-$I$4-$I$5+E704)*(1-$I$10)+$I$6-$I$11)-('Data Schema'!$C$3*(1+B704)^5-'Data Schema'!$C$3*(1+B704)^4)*$I$12)*(1+D704)/(C704-D704))/(1+C704)^5-'Data Schema'!$C$31+'Data Schema'!$C$21)/'Data Schema'!$B$17,0),"INVALID")</f>
        <v>175.05566664006298</v>
      </c>
      <c r="H704" s="189" t="b">
        <f t="shared" ca="1" si="82"/>
        <v>1</v>
      </c>
      <c r="I704" s="188">
        <f t="shared" ca="1" si="83"/>
        <v>175.05566664006298</v>
      </c>
      <c r="J704" s="349">
        <f t="shared" ca="1" si="76"/>
        <v>175.05566664006298</v>
      </c>
    </row>
    <row r="705" spans="1:10">
      <c r="A705" s="184">
        <v>526</v>
      </c>
      <c r="B705" s="190">
        <f t="shared" ca="1" si="77"/>
        <v>0.1007919797779088</v>
      </c>
      <c r="C705" s="190">
        <f t="shared" ca="1" si="78"/>
        <v>6.7593549744806733E-2</v>
      </c>
      <c r="D705" s="190">
        <f t="shared" ca="1" si="79"/>
        <v>2.0741251446736251E-2</v>
      </c>
      <c r="E705" s="190">
        <f t="shared" ca="1" si="80"/>
        <v>-5.3915899235293815E-2</v>
      </c>
      <c r="F705" s="189" t="b">
        <f t="shared" ca="1" si="81"/>
        <v>1</v>
      </c>
      <c r="G705" s="188">
        <f ca="1">IF(F705,IFERROR(((('Data Schema'!$C$3*(1+B705)^1)*((1-$I$4-$I$5+E705)*(1-$I$10)+$I$6-$I$11)-('Data Schema'!$C$3*(1+B705)^1-'Data Schema'!$C$3)*$I$12)/(1+C705)^1+(('Data Schema'!$C$3*(1+B705)^2)*((1-$I$4-$I$5+E705)*(1-$I$10)+$I$6-$I$11)-('Data Schema'!$C$3*(1+B705)^2-'Data Schema'!$C$3*(1+B705)^1)*$I$12)/(1+C705)^2+(('Data Schema'!$C$3*(1+B705)^3)*((1-$I$4-$I$5+E705)*(1-$I$10)+$I$6-$I$11)-('Data Schema'!$C$3*(1+B705)^3-'Data Schema'!$C$3*(1+B705)^2)*$I$12)/(1+C705)^3+(('Data Schema'!$C$3*(1+B705)^4)*((1-$I$4-$I$5+E705)*(1-$I$10)+$I$6-$I$11)-('Data Schema'!$C$3*(1+B705)^4-'Data Schema'!$C$3*(1+B705)^3)*$I$12)/(1+C705)^4+(('Data Schema'!$C$3*(1+B705)^5)*((1-$I$4-$I$5+E705)*(1-$I$10)+$I$6-$I$11)-('Data Schema'!$C$3*(1+B705)^5-'Data Schema'!$C$3*(1+B705)^4)*$I$12)/(1+C705)^5+((('Data Schema'!$C$3*(1+B705)^5)*((1-$I$4-$I$5+E705)*(1-$I$10)+$I$6-$I$11)-('Data Schema'!$C$3*(1+B705)^5-'Data Schema'!$C$3*(1+B705)^4)*$I$12)*(1+D705)/(C705-D705))/(1+C705)^5-'Data Schema'!$C$31+'Data Schema'!$C$21)/'Data Schema'!$B$17,0),"INVALID")</f>
        <v>-48.251942208897127</v>
      </c>
      <c r="H705" s="189" t="b">
        <f t="shared" ca="1" si="82"/>
        <v>0</v>
      </c>
      <c r="I705" s="188" t="str">
        <f t="shared" ca="1" si="83"/>
        <v/>
      </c>
      <c r="J705" s="349" t="str">
        <f t="shared" ca="1" si="76"/>
        <v/>
      </c>
    </row>
    <row r="706" spans="1:10">
      <c r="A706" s="185">
        <v>527</v>
      </c>
      <c r="B706" s="190">
        <f t="shared" ca="1" si="77"/>
        <v>0.12638354886766287</v>
      </c>
      <c r="C706" s="190">
        <f t="shared" ca="1" si="78"/>
        <v>4.6711318406197064E-2</v>
      </c>
      <c r="D706" s="190">
        <f t="shared" ca="1" si="79"/>
        <v>1.9221418764879789E-2</v>
      </c>
      <c r="E706" s="190">
        <f t="shared" ca="1" si="80"/>
        <v>-2.4400508969020948E-2</v>
      </c>
      <c r="F706" s="189" t="b">
        <f t="shared" ca="1" si="81"/>
        <v>1</v>
      </c>
      <c r="G706" s="188">
        <f ca="1">IF(F706,IFERROR(((('Data Schema'!$C$3*(1+B706)^1)*((1-$I$4-$I$5+E706)*(1-$I$10)+$I$6-$I$11)-('Data Schema'!$C$3*(1+B706)^1-'Data Schema'!$C$3)*$I$12)/(1+C706)^1+(('Data Schema'!$C$3*(1+B706)^2)*((1-$I$4-$I$5+E706)*(1-$I$10)+$I$6-$I$11)-('Data Schema'!$C$3*(1+B706)^2-'Data Schema'!$C$3*(1+B706)^1)*$I$12)/(1+C706)^2+(('Data Schema'!$C$3*(1+B706)^3)*((1-$I$4-$I$5+E706)*(1-$I$10)+$I$6-$I$11)-('Data Schema'!$C$3*(1+B706)^3-'Data Schema'!$C$3*(1+B706)^2)*$I$12)/(1+C706)^3+(('Data Schema'!$C$3*(1+B706)^4)*((1-$I$4-$I$5+E706)*(1-$I$10)+$I$6-$I$11)-('Data Schema'!$C$3*(1+B706)^4-'Data Schema'!$C$3*(1+B706)^3)*$I$12)/(1+C706)^4+(('Data Schema'!$C$3*(1+B706)^5)*((1-$I$4-$I$5+E706)*(1-$I$10)+$I$6-$I$11)-('Data Schema'!$C$3*(1+B706)^5-'Data Schema'!$C$3*(1+B706)^4)*$I$12)/(1+C706)^5+((('Data Schema'!$C$3*(1+B706)^5)*((1-$I$4-$I$5+E706)*(1-$I$10)+$I$6-$I$11)-('Data Schema'!$C$3*(1+B706)^5-'Data Schema'!$C$3*(1+B706)^4)*$I$12)*(1+D706)/(C706-D706))/(1+C706)^5-'Data Schema'!$C$31+'Data Schema'!$C$21)/'Data Schema'!$B$17,0),"INVALID")</f>
        <v>28.603544120344058</v>
      </c>
      <c r="H706" s="189" t="b">
        <f t="shared" ca="1" si="82"/>
        <v>1</v>
      </c>
      <c r="I706" s="188">
        <f t="shared" ca="1" si="83"/>
        <v>28.603544120344058</v>
      </c>
      <c r="J706" s="349">
        <f t="shared" ca="1" si="76"/>
        <v>28.603544120344058</v>
      </c>
    </row>
    <row r="707" spans="1:10">
      <c r="A707" s="184">
        <v>528</v>
      </c>
      <c r="B707" s="190">
        <f t="shared" ca="1" si="77"/>
        <v>0.14281681625479611</v>
      </c>
      <c r="C707" s="190">
        <f t="shared" ca="1" si="78"/>
        <v>6.2615286049629917E-2</v>
      </c>
      <c r="D707" s="190">
        <f t="shared" ca="1" si="79"/>
        <v>2.7427757506092321E-2</v>
      </c>
      <c r="E707" s="190">
        <f t="shared" ca="1" si="80"/>
        <v>8.4366252024169978E-3</v>
      </c>
      <c r="F707" s="189" t="b">
        <f t="shared" ca="1" si="81"/>
        <v>1</v>
      </c>
      <c r="G707" s="188">
        <f ca="1">IF(F707,IFERROR(((('Data Schema'!$C$3*(1+B707)^1)*((1-$I$4-$I$5+E707)*(1-$I$10)+$I$6-$I$11)-('Data Schema'!$C$3*(1+B707)^1-'Data Schema'!$C$3)*$I$12)/(1+C707)^1+(('Data Schema'!$C$3*(1+B707)^2)*((1-$I$4-$I$5+E707)*(1-$I$10)+$I$6-$I$11)-('Data Schema'!$C$3*(1+B707)^2-'Data Schema'!$C$3*(1+B707)^1)*$I$12)/(1+C707)^2+(('Data Schema'!$C$3*(1+B707)^3)*((1-$I$4-$I$5+E707)*(1-$I$10)+$I$6-$I$11)-('Data Schema'!$C$3*(1+B707)^3-'Data Schema'!$C$3*(1+B707)^2)*$I$12)/(1+C707)^3+(('Data Schema'!$C$3*(1+B707)^4)*((1-$I$4-$I$5+E707)*(1-$I$10)+$I$6-$I$11)-('Data Schema'!$C$3*(1+B707)^4-'Data Schema'!$C$3*(1+B707)^3)*$I$12)/(1+C707)^4+(('Data Schema'!$C$3*(1+B707)^5)*((1-$I$4-$I$5+E707)*(1-$I$10)+$I$6-$I$11)-('Data Schema'!$C$3*(1+B707)^5-'Data Schema'!$C$3*(1+B707)^4)*$I$12)/(1+C707)^5+((('Data Schema'!$C$3*(1+B707)^5)*((1-$I$4-$I$5+E707)*(1-$I$10)+$I$6-$I$11)-('Data Schema'!$C$3*(1+B707)^5-'Data Schema'!$C$3*(1+B707)^4)*$I$12)*(1+D707)/(C707-D707))/(1+C707)^5-'Data Schema'!$C$31+'Data Schema'!$C$21)/'Data Schema'!$B$17,0),"INVALID")</f>
        <v>126.32029597068617</v>
      </c>
      <c r="H707" s="189" t="b">
        <f t="shared" ca="1" si="82"/>
        <v>1</v>
      </c>
      <c r="I707" s="188">
        <f t="shared" ca="1" si="83"/>
        <v>126.32029597068617</v>
      </c>
      <c r="J707" s="349">
        <f t="shared" ca="1" si="76"/>
        <v>126.32029597068617</v>
      </c>
    </row>
    <row r="708" spans="1:10">
      <c r="A708" s="185">
        <v>529</v>
      </c>
      <c r="B708" s="190">
        <f t="shared" ca="1" si="77"/>
        <v>0.11448133346246092</v>
      </c>
      <c r="C708" s="190">
        <f t="shared" ca="1" si="78"/>
        <v>6.8939160442350267E-2</v>
      </c>
      <c r="D708" s="190">
        <f t="shared" ca="1" si="79"/>
        <v>2.588304800112097E-2</v>
      </c>
      <c r="E708" s="190">
        <f t="shared" ca="1" si="80"/>
        <v>-4.0359071731383405E-3</v>
      </c>
      <c r="F708" s="189" t="b">
        <f t="shared" ca="1" si="81"/>
        <v>1</v>
      </c>
      <c r="G708" s="188">
        <f ca="1">IF(F708,IFERROR(((('Data Schema'!$C$3*(1+B708)^1)*((1-$I$4-$I$5+E708)*(1-$I$10)+$I$6-$I$11)-('Data Schema'!$C$3*(1+B708)^1-'Data Schema'!$C$3)*$I$12)/(1+C708)^1+(('Data Schema'!$C$3*(1+B708)^2)*((1-$I$4-$I$5+E708)*(1-$I$10)+$I$6-$I$11)-('Data Schema'!$C$3*(1+B708)^2-'Data Schema'!$C$3*(1+B708)^1)*$I$12)/(1+C708)^2+(('Data Schema'!$C$3*(1+B708)^3)*((1-$I$4-$I$5+E708)*(1-$I$10)+$I$6-$I$11)-('Data Schema'!$C$3*(1+B708)^3-'Data Schema'!$C$3*(1+B708)^2)*$I$12)/(1+C708)^3+(('Data Schema'!$C$3*(1+B708)^4)*((1-$I$4-$I$5+E708)*(1-$I$10)+$I$6-$I$11)-('Data Schema'!$C$3*(1+B708)^4-'Data Schema'!$C$3*(1+B708)^3)*$I$12)/(1+C708)^4+(('Data Schema'!$C$3*(1+B708)^5)*((1-$I$4-$I$5+E708)*(1-$I$10)+$I$6-$I$11)-('Data Schema'!$C$3*(1+B708)^5-'Data Schema'!$C$3*(1+B708)^4)*$I$12)/(1+C708)^5+((('Data Schema'!$C$3*(1+B708)^5)*((1-$I$4-$I$5+E708)*(1-$I$10)+$I$6-$I$11)-('Data Schema'!$C$3*(1+B708)^5-'Data Schema'!$C$3*(1+B708)^4)*$I$12)*(1+D708)/(C708-D708))/(1+C708)^5-'Data Schema'!$C$31+'Data Schema'!$C$21)/'Data Schema'!$B$17,0),"INVALID")</f>
        <v>62.011268137528042</v>
      </c>
      <c r="H708" s="189" t="b">
        <f t="shared" ca="1" si="82"/>
        <v>1</v>
      </c>
      <c r="I708" s="188">
        <f t="shared" ca="1" si="83"/>
        <v>62.011268137528042</v>
      </c>
      <c r="J708" s="349">
        <f t="shared" ca="1" si="76"/>
        <v>62.011268137528042</v>
      </c>
    </row>
    <row r="709" spans="1:10">
      <c r="A709" s="184">
        <v>530</v>
      </c>
      <c r="B709" s="190">
        <f t="shared" ca="1" si="77"/>
        <v>7.6422814476237486E-2</v>
      </c>
      <c r="C709" s="190">
        <f t="shared" ca="1" si="78"/>
        <v>6.6847254772852374E-2</v>
      </c>
      <c r="D709" s="190">
        <f t="shared" ca="1" si="79"/>
        <v>2.4846633572371584E-2</v>
      </c>
      <c r="E709" s="190">
        <f t="shared" ca="1" si="80"/>
        <v>4.3749933910403084E-2</v>
      </c>
      <c r="F709" s="189" t="b">
        <f t="shared" ca="1" si="81"/>
        <v>1</v>
      </c>
      <c r="G709" s="188">
        <f ca="1">IF(F709,IFERROR(((('Data Schema'!$C$3*(1+B709)^1)*((1-$I$4-$I$5+E709)*(1-$I$10)+$I$6-$I$11)-('Data Schema'!$C$3*(1+B709)^1-'Data Schema'!$C$3)*$I$12)/(1+C709)^1+(('Data Schema'!$C$3*(1+B709)^2)*((1-$I$4-$I$5+E709)*(1-$I$10)+$I$6-$I$11)-('Data Schema'!$C$3*(1+B709)^2-'Data Schema'!$C$3*(1+B709)^1)*$I$12)/(1+C709)^2+(('Data Schema'!$C$3*(1+B709)^3)*((1-$I$4-$I$5+E709)*(1-$I$10)+$I$6-$I$11)-('Data Schema'!$C$3*(1+B709)^3-'Data Schema'!$C$3*(1+B709)^2)*$I$12)/(1+C709)^3+(('Data Schema'!$C$3*(1+B709)^4)*((1-$I$4-$I$5+E709)*(1-$I$10)+$I$6-$I$11)-('Data Schema'!$C$3*(1+B709)^4-'Data Schema'!$C$3*(1+B709)^3)*$I$12)/(1+C709)^4+(('Data Schema'!$C$3*(1+B709)^5)*((1-$I$4-$I$5+E709)*(1-$I$10)+$I$6-$I$11)-('Data Schema'!$C$3*(1+B709)^5-'Data Schema'!$C$3*(1+B709)^4)*$I$12)/(1+C709)^5+((('Data Schema'!$C$3*(1+B709)^5)*((1-$I$4-$I$5+E709)*(1-$I$10)+$I$6-$I$11)-('Data Schema'!$C$3*(1+B709)^5-'Data Schema'!$C$3*(1+B709)^4)*$I$12)*(1+D709)/(C709-D709))/(1+C709)^5-'Data Schema'!$C$31+'Data Schema'!$C$21)/'Data Schema'!$B$17,0),"INVALID")</f>
        <v>152.77303497460656</v>
      </c>
      <c r="H709" s="189" t="b">
        <f t="shared" ca="1" si="82"/>
        <v>1</v>
      </c>
      <c r="I709" s="188">
        <f t="shared" ca="1" si="83"/>
        <v>152.77303497460656</v>
      </c>
      <c r="J709" s="349">
        <f t="shared" ca="1" si="76"/>
        <v>152.77303497460656</v>
      </c>
    </row>
    <row r="710" spans="1:10">
      <c r="A710" s="185">
        <v>531</v>
      </c>
      <c r="B710" s="190">
        <f t="shared" ca="1" si="77"/>
        <v>0.11911700433378831</v>
      </c>
      <c r="C710" s="190">
        <f t="shared" ca="1" si="78"/>
        <v>6.5098179134052594E-2</v>
      </c>
      <c r="D710" s="190">
        <f t="shared" ca="1" si="79"/>
        <v>2.4025703398439544E-2</v>
      </c>
      <c r="E710" s="190">
        <f t="shared" ca="1" si="80"/>
        <v>-1.2864479234144634E-2</v>
      </c>
      <c r="F710" s="189" t="b">
        <f t="shared" ca="1" si="81"/>
        <v>1</v>
      </c>
      <c r="G710" s="188">
        <f ca="1">IF(F710,IFERROR(((('Data Schema'!$C$3*(1+B710)^1)*((1-$I$4-$I$5+E710)*(1-$I$10)+$I$6-$I$11)-('Data Schema'!$C$3*(1+B710)^1-'Data Schema'!$C$3)*$I$12)/(1+C710)^1+(('Data Schema'!$C$3*(1+B710)^2)*((1-$I$4-$I$5+E710)*(1-$I$10)+$I$6-$I$11)-('Data Schema'!$C$3*(1+B710)^2-'Data Schema'!$C$3*(1+B710)^1)*$I$12)/(1+C710)^2+(('Data Schema'!$C$3*(1+B710)^3)*((1-$I$4-$I$5+E710)*(1-$I$10)+$I$6-$I$11)-('Data Schema'!$C$3*(1+B710)^3-'Data Schema'!$C$3*(1+B710)^2)*$I$12)/(1+C710)^3+(('Data Schema'!$C$3*(1+B710)^4)*((1-$I$4-$I$5+E710)*(1-$I$10)+$I$6-$I$11)-('Data Schema'!$C$3*(1+B710)^4-'Data Schema'!$C$3*(1+B710)^3)*$I$12)/(1+C710)^4+(('Data Schema'!$C$3*(1+B710)^5)*((1-$I$4-$I$5+E710)*(1-$I$10)+$I$6-$I$11)-('Data Schema'!$C$3*(1+B710)^5-'Data Schema'!$C$3*(1+B710)^4)*$I$12)/(1+C710)^5+((('Data Schema'!$C$3*(1+B710)^5)*((1-$I$4-$I$5+E710)*(1-$I$10)+$I$6-$I$11)-('Data Schema'!$C$3*(1+B710)^5-'Data Schema'!$C$3*(1+B710)^4)*$I$12)*(1+D710)/(C710-D710))/(1+C710)^5-'Data Schema'!$C$31+'Data Schema'!$C$21)/'Data Schema'!$B$17,0),"INVALID")</f>
        <v>44.891465109121349</v>
      </c>
      <c r="H710" s="189" t="b">
        <f t="shared" ca="1" si="82"/>
        <v>1</v>
      </c>
      <c r="I710" s="188">
        <f t="shared" ca="1" si="83"/>
        <v>44.891465109121349</v>
      </c>
      <c r="J710" s="349">
        <f t="shared" ca="1" si="76"/>
        <v>44.891465109121349</v>
      </c>
    </row>
    <row r="711" spans="1:10">
      <c r="A711" s="184">
        <v>532</v>
      </c>
      <c r="B711" s="190">
        <f t="shared" ca="1" si="77"/>
        <v>0.10179275006129077</v>
      </c>
      <c r="C711" s="190">
        <f t="shared" ca="1" si="78"/>
        <v>5.5885439417628587E-2</v>
      </c>
      <c r="D711" s="190">
        <f t="shared" ca="1" si="79"/>
        <v>2.2879395718765454E-2</v>
      </c>
      <c r="E711" s="190">
        <f t="shared" ca="1" si="80"/>
        <v>-1.6100285068913367E-2</v>
      </c>
      <c r="F711" s="189" t="b">
        <f t="shared" ca="1" si="81"/>
        <v>1</v>
      </c>
      <c r="G711" s="188">
        <f ca="1">IF(F711,IFERROR(((('Data Schema'!$C$3*(1+B711)^1)*((1-$I$4-$I$5+E711)*(1-$I$10)+$I$6-$I$11)-('Data Schema'!$C$3*(1+B711)^1-'Data Schema'!$C$3)*$I$12)/(1+C711)^1+(('Data Schema'!$C$3*(1+B711)^2)*((1-$I$4-$I$5+E711)*(1-$I$10)+$I$6-$I$11)-('Data Schema'!$C$3*(1+B711)^2-'Data Schema'!$C$3*(1+B711)^1)*$I$12)/(1+C711)^2+(('Data Schema'!$C$3*(1+B711)^3)*((1-$I$4-$I$5+E711)*(1-$I$10)+$I$6-$I$11)-('Data Schema'!$C$3*(1+B711)^3-'Data Schema'!$C$3*(1+B711)^2)*$I$12)/(1+C711)^3+(('Data Schema'!$C$3*(1+B711)^4)*((1-$I$4-$I$5+E711)*(1-$I$10)+$I$6-$I$11)-('Data Schema'!$C$3*(1+B711)^4-'Data Schema'!$C$3*(1+B711)^3)*$I$12)/(1+C711)^4+(('Data Schema'!$C$3*(1+B711)^5)*((1-$I$4-$I$5+E711)*(1-$I$10)+$I$6-$I$11)-('Data Schema'!$C$3*(1+B711)^5-'Data Schema'!$C$3*(1+B711)^4)*$I$12)/(1+C711)^5+((('Data Schema'!$C$3*(1+B711)^5)*((1-$I$4-$I$5+E711)*(1-$I$10)+$I$6-$I$11)-('Data Schema'!$C$3*(1+B711)^5-'Data Schema'!$C$3*(1+B711)^4)*$I$12)*(1+D711)/(C711-D711))/(1+C711)^5-'Data Schema'!$C$31+'Data Schema'!$C$21)/'Data Schema'!$B$17,0),"INVALID")</f>
        <v>45.140229768272519</v>
      </c>
      <c r="H711" s="189" t="b">
        <f t="shared" ca="1" si="82"/>
        <v>1</v>
      </c>
      <c r="I711" s="188">
        <f t="shared" ca="1" si="83"/>
        <v>45.140229768272519</v>
      </c>
      <c r="J711" s="349">
        <f t="shared" ca="1" si="76"/>
        <v>45.140229768272519</v>
      </c>
    </row>
    <row r="712" spans="1:10">
      <c r="A712" s="185">
        <v>533</v>
      </c>
      <c r="B712" s="190">
        <f t="shared" ca="1" si="77"/>
        <v>9.3438429800176984E-2</v>
      </c>
      <c r="C712" s="190">
        <f t="shared" ca="1" si="78"/>
        <v>5.8018070140898048E-2</v>
      </c>
      <c r="D712" s="190">
        <f t="shared" ca="1" si="79"/>
        <v>3.0569538334668175E-2</v>
      </c>
      <c r="E712" s="190">
        <f t="shared" ca="1" si="80"/>
        <v>-2.5176203192014194E-2</v>
      </c>
      <c r="F712" s="189" t="b">
        <f t="shared" ca="1" si="81"/>
        <v>1</v>
      </c>
      <c r="G712" s="188">
        <f ca="1">IF(F712,IFERROR(((('Data Schema'!$C$3*(1+B712)^1)*((1-$I$4-$I$5+E712)*(1-$I$10)+$I$6-$I$11)-('Data Schema'!$C$3*(1+B712)^1-'Data Schema'!$C$3)*$I$12)/(1+C712)^1+(('Data Schema'!$C$3*(1+B712)^2)*((1-$I$4-$I$5+E712)*(1-$I$10)+$I$6-$I$11)-('Data Schema'!$C$3*(1+B712)^2-'Data Schema'!$C$3*(1+B712)^1)*$I$12)/(1+C712)^2+(('Data Schema'!$C$3*(1+B712)^3)*((1-$I$4-$I$5+E712)*(1-$I$10)+$I$6-$I$11)-('Data Schema'!$C$3*(1+B712)^3-'Data Schema'!$C$3*(1+B712)^2)*$I$12)/(1+C712)^3+(('Data Schema'!$C$3*(1+B712)^4)*((1-$I$4-$I$5+E712)*(1-$I$10)+$I$6-$I$11)-('Data Schema'!$C$3*(1+B712)^4-'Data Schema'!$C$3*(1+B712)^3)*$I$12)/(1+C712)^4+(('Data Schema'!$C$3*(1+B712)^5)*((1-$I$4-$I$5+E712)*(1-$I$10)+$I$6-$I$11)-('Data Schema'!$C$3*(1+B712)^5-'Data Schema'!$C$3*(1+B712)^4)*$I$12)/(1+C712)^5+((('Data Schema'!$C$3*(1+B712)^5)*((1-$I$4-$I$5+E712)*(1-$I$10)+$I$6-$I$11)-('Data Schema'!$C$3*(1+B712)^5-'Data Schema'!$C$3*(1+B712)^4)*$I$12)*(1+D712)/(C712-D712))/(1+C712)^5-'Data Schema'!$C$31+'Data Schema'!$C$21)/'Data Schema'!$B$17,0),"INVALID")</f>
        <v>22.447882481007923</v>
      </c>
      <c r="H712" s="189" t="b">
        <f t="shared" ca="1" si="82"/>
        <v>1</v>
      </c>
      <c r="I712" s="188">
        <f t="shared" ca="1" si="83"/>
        <v>22.447882481007923</v>
      </c>
      <c r="J712" s="349" t="str">
        <f t="shared" ca="1" si="76"/>
        <v/>
      </c>
    </row>
    <row r="713" spans="1:10">
      <c r="A713" s="184">
        <v>534</v>
      </c>
      <c r="B713" s="190">
        <f t="shared" ca="1" si="77"/>
        <v>0.11831324492289449</v>
      </c>
      <c r="C713" s="190">
        <f t="shared" ca="1" si="78"/>
        <v>5.4003778733954955E-2</v>
      </c>
      <c r="D713" s="190">
        <f t="shared" ca="1" si="79"/>
        <v>2.3297163749701814E-2</v>
      </c>
      <c r="E713" s="190">
        <f t="shared" ca="1" si="80"/>
        <v>2.6981749650375912E-2</v>
      </c>
      <c r="F713" s="189" t="b">
        <f t="shared" ca="1" si="81"/>
        <v>1</v>
      </c>
      <c r="G713" s="188">
        <f ca="1">IF(F713,IFERROR(((('Data Schema'!$C$3*(1+B713)^1)*((1-$I$4-$I$5+E713)*(1-$I$10)+$I$6-$I$11)-('Data Schema'!$C$3*(1+B713)^1-'Data Schema'!$C$3)*$I$12)/(1+C713)^1+(('Data Schema'!$C$3*(1+B713)^2)*((1-$I$4-$I$5+E713)*(1-$I$10)+$I$6-$I$11)-('Data Schema'!$C$3*(1+B713)^2-'Data Schema'!$C$3*(1+B713)^1)*$I$12)/(1+C713)^2+(('Data Schema'!$C$3*(1+B713)^3)*((1-$I$4-$I$5+E713)*(1-$I$10)+$I$6-$I$11)-('Data Schema'!$C$3*(1+B713)^3-'Data Schema'!$C$3*(1+B713)^2)*$I$12)/(1+C713)^3+(('Data Schema'!$C$3*(1+B713)^4)*((1-$I$4-$I$5+E713)*(1-$I$10)+$I$6-$I$11)-('Data Schema'!$C$3*(1+B713)^4-'Data Schema'!$C$3*(1+B713)^3)*$I$12)/(1+C713)^4+(('Data Schema'!$C$3*(1+B713)^5)*((1-$I$4-$I$5+E713)*(1-$I$10)+$I$6-$I$11)-('Data Schema'!$C$3*(1+B713)^5-'Data Schema'!$C$3*(1+B713)^4)*$I$12)/(1+C713)^5+((('Data Schema'!$C$3*(1+B713)^5)*((1-$I$4-$I$5+E713)*(1-$I$10)+$I$6-$I$11)-('Data Schema'!$C$3*(1+B713)^5-'Data Schema'!$C$3*(1+B713)^4)*$I$12)*(1+D713)/(C713-D713))/(1+C713)^5-'Data Schema'!$C$31+'Data Schema'!$C$21)/'Data Schema'!$B$17,0),"INVALID")</f>
        <v>197.88684926727626</v>
      </c>
      <c r="H713" s="189" t="b">
        <f t="shared" ca="1" si="82"/>
        <v>1</v>
      </c>
      <c r="I713" s="188">
        <f t="shared" ca="1" si="83"/>
        <v>197.88684926727626</v>
      </c>
      <c r="J713" s="349">
        <f t="shared" ca="1" si="76"/>
        <v>197.88684926727626</v>
      </c>
    </row>
    <row r="714" spans="1:10">
      <c r="A714" s="185">
        <v>535</v>
      </c>
      <c r="B714" s="190">
        <f t="shared" ca="1" si="77"/>
        <v>9.2929291803196895E-2</v>
      </c>
      <c r="C714" s="190">
        <f t="shared" ca="1" si="78"/>
        <v>4.6804117027577745E-2</v>
      </c>
      <c r="D714" s="190">
        <f t="shared" ca="1" si="79"/>
        <v>1.8587340981452875E-2</v>
      </c>
      <c r="E714" s="190">
        <f t="shared" ca="1" si="80"/>
        <v>-3.3470325153971039E-2</v>
      </c>
      <c r="F714" s="189" t="b">
        <f t="shared" ca="1" si="81"/>
        <v>1</v>
      </c>
      <c r="G714" s="188">
        <f ca="1">IF(F714,IFERROR(((('Data Schema'!$C$3*(1+B714)^1)*((1-$I$4-$I$5+E714)*(1-$I$10)+$I$6-$I$11)-('Data Schema'!$C$3*(1+B714)^1-'Data Schema'!$C$3)*$I$12)/(1+C714)^1+(('Data Schema'!$C$3*(1+B714)^2)*((1-$I$4-$I$5+E714)*(1-$I$10)+$I$6-$I$11)-('Data Schema'!$C$3*(1+B714)^2-'Data Schema'!$C$3*(1+B714)^1)*$I$12)/(1+C714)^2+(('Data Schema'!$C$3*(1+B714)^3)*((1-$I$4-$I$5+E714)*(1-$I$10)+$I$6-$I$11)-('Data Schema'!$C$3*(1+B714)^3-'Data Schema'!$C$3*(1+B714)^2)*$I$12)/(1+C714)^3+(('Data Schema'!$C$3*(1+B714)^4)*((1-$I$4-$I$5+E714)*(1-$I$10)+$I$6-$I$11)-('Data Schema'!$C$3*(1+B714)^4-'Data Schema'!$C$3*(1+B714)^3)*$I$12)/(1+C714)^4+(('Data Schema'!$C$3*(1+B714)^5)*((1-$I$4-$I$5+E714)*(1-$I$10)+$I$6-$I$11)-('Data Schema'!$C$3*(1+B714)^5-'Data Schema'!$C$3*(1+B714)^4)*$I$12)/(1+C714)^5+((('Data Schema'!$C$3*(1+B714)^5)*((1-$I$4-$I$5+E714)*(1-$I$10)+$I$6-$I$11)-('Data Schema'!$C$3*(1+B714)^5-'Data Schema'!$C$3*(1+B714)^4)*$I$12)*(1+D714)/(C714-D714))/(1+C714)^5-'Data Schema'!$C$31+'Data Schema'!$C$21)/'Data Schema'!$B$17,0),"INVALID")</f>
        <v>-5.021799310162903</v>
      </c>
      <c r="H714" s="189" t="b">
        <f t="shared" ca="1" si="82"/>
        <v>0</v>
      </c>
      <c r="I714" s="188" t="str">
        <f t="shared" ca="1" si="83"/>
        <v/>
      </c>
      <c r="J714" s="349" t="str">
        <f t="shared" ca="1" si="76"/>
        <v/>
      </c>
    </row>
    <row r="715" spans="1:10">
      <c r="A715" s="184">
        <v>536</v>
      </c>
      <c r="B715" s="190">
        <f t="shared" ca="1" si="77"/>
        <v>0.11037097907620547</v>
      </c>
      <c r="C715" s="190">
        <f t="shared" ca="1" si="78"/>
        <v>7.2407680104608532E-2</v>
      </c>
      <c r="D715" s="190">
        <f t="shared" ca="1" si="79"/>
        <v>2.7021511034078058E-2</v>
      </c>
      <c r="E715" s="190">
        <f t="shared" ca="1" si="80"/>
        <v>-5.0575993869219791E-3</v>
      </c>
      <c r="F715" s="189" t="b">
        <f t="shared" ca="1" si="81"/>
        <v>1</v>
      </c>
      <c r="G715" s="188">
        <f ca="1">IF(F715,IFERROR(((('Data Schema'!$C$3*(1+B715)^1)*((1-$I$4-$I$5+E715)*(1-$I$10)+$I$6-$I$11)-('Data Schema'!$C$3*(1+B715)^1-'Data Schema'!$C$3)*$I$12)/(1+C715)^1+(('Data Schema'!$C$3*(1+B715)^2)*((1-$I$4-$I$5+E715)*(1-$I$10)+$I$6-$I$11)-('Data Schema'!$C$3*(1+B715)^2-'Data Schema'!$C$3*(1+B715)^1)*$I$12)/(1+C715)^2+(('Data Schema'!$C$3*(1+B715)^3)*((1-$I$4-$I$5+E715)*(1-$I$10)+$I$6-$I$11)-('Data Schema'!$C$3*(1+B715)^3-'Data Schema'!$C$3*(1+B715)^2)*$I$12)/(1+C715)^3+(('Data Schema'!$C$3*(1+B715)^4)*((1-$I$4-$I$5+E715)*(1-$I$10)+$I$6-$I$11)-('Data Schema'!$C$3*(1+B715)^4-'Data Schema'!$C$3*(1+B715)^3)*$I$12)/(1+C715)^4+(('Data Schema'!$C$3*(1+B715)^5)*((1-$I$4-$I$5+E715)*(1-$I$10)+$I$6-$I$11)-('Data Schema'!$C$3*(1+B715)^5-'Data Schema'!$C$3*(1+B715)^4)*$I$12)/(1+C715)^5+((('Data Schema'!$C$3*(1+B715)^5)*((1-$I$4-$I$5+E715)*(1-$I$10)+$I$6-$I$11)-('Data Schema'!$C$3*(1+B715)^5-'Data Schema'!$C$3*(1+B715)^4)*$I$12)*(1+D715)/(C715-D715))/(1+C715)^5-'Data Schema'!$C$31+'Data Schema'!$C$21)/'Data Schema'!$B$17,0),"INVALID")</f>
        <v>54.972702894776802</v>
      </c>
      <c r="H715" s="189" t="b">
        <f t="shared" ca="1" si="82"/>
        <v>1</v>
      </c>
      <c r="I715" s="188">
        <f t="shared" ca="1" si="83"/>
        <v>54.972702894776802</v>
      </c>
      <c r="J715" s="349">
        <f t="shared" ca="1" si="76"/>
        <v>54.972702894776802</v>
      </c>
    </row>
    <row r="716" spans="1:10">
      <c r="A716" s="185">
        <v>537</v>
      </c>
      <c r="B716" s="190">
        <f t="shared" ca="1" si="77"/>
        <v>0.13524181271548055</v>
      </c>
      <c r="C716" s="190">
        <f t="shared" ca="1" si="78"/>
        <v>4.7328295003566438E-2</v>
      </c>
      <c r="D716" s="190">
        <f t="shared" ca="1" si="79"/>
        <v>2.8177703731890345E-2</v>
      </c>
      <c r="E716" s="190">
        <f t="shared" ca="1" si="80"/>
        <v>4.4593894064560739E-3</v>
      </c>
      <c r="F716" s="189" t="b">
        <f t="shared" ca="1" si="81"/>
        <v>1</v>
      </c>
      <c r="G716" s="188">
        <f ca="1">IF(F716,IFERROR(((('Data Schema'!$C$3*(1+B716)^1)*((1-$I$4-$I$5+E716)*(1-$I$10)+$I$6-$I$11)-('Data Schema'!$C$3*(1+B716)^1-'Data Schema'!$C$3)*$I$12)/(1+C716)^1+(('Data Schema'!$C$3*(1+B716)^2)*((1-$I$4-$I$5+E716)*(1-$I$10)+$I$6-$I$11)-('Data Schema'!$C$3*(1+B716)^2-'Data Schema'!$C$3*(1+B716)^1)*$I$12)/(1+C716)^2+(('Data Schema'!$C$3*(1+B716)^3)*((1-$I$4-$I$5+E716)*(1-$I$10)+$I$6-$I$11)-('Data Schema'!$C$3*(1+B716)^3-'Data Schema'!$C$3*(1+B716)^2)*$I$12)/(1+C716)^3+(('Data Schema'!$C$3*(1+B716)^4)*((1-$I$4-$I$5+E716)*(1-$I$10)+$I$6-$I$11)-('Data Schema'!$C$3*(1+B716)^4-'Data Schema'!$C$3*(1+B716)^3)*$I$12)/(1+C716)^4+(('Data Schema'!$C$3*(1+B716)^5)*((1-$I$4-$I$5+E716)*(1-$I$10)+$I$6-$I$11)-('Data Schema'!$C$3*(1+B716)^5-'Data Schema'!$C$3*(1+B716)^4)*$I$12)/(1+C716)^5+((('Data Schema'!$C$3*(1+B716)^5)*((1-$I$4-$I$5+E716)*(1-$I$10)+$I$6-$I$11)-('Data Schema'!$C$3*(1+B716)^5-'Data Schema'!$C$3*(1+B716)^4)*$I$12)*(1+D716)/(C716-D716))/(1+C716)^5-'Data Schema'!$C$31+'Data Schema'!$C$21)/'Data Schema'!$B$17,0),"INVALID")</f>
        <v>210.53767076454244</v>
      </c>
      <c r="H716" s="189" t="b">
        <f t="shared" ca="1" si="82"/>
        <v>1</v>
      </c>
      <c r="I716" s="188">
        <f t="shared" ca="1" si="83"/>
        <v>210.53767076454244</v>
      </c>
      <c r="J716" s="349">
        <f t="shared" ca="1" si="76"/>
        <v>210.53767076454244</v>
      </c>
    </row>
    <row r="717" spans="1:10">
      <c r="A717" s="184">
        <v>538</v>
      </c>
      <c r="B717" s="190">
        <f t="shared" ca="1" si="77"/>
        <v>0.10847532978722071</v>
      </c>
      <c r="C717" s="190">
        <f t="shared" ca="1" si="78"/>
        <v>6.4676537283367863E-2</v>
      </c>
      <c r="D717" s="190">
        <f t="shared" ca="1" si="79"/>
        <v>1.4640204149042286E-2</v>
      </c>
      <c r="E717" s="190">
        <f t="shared" ca="1" si="80"/>
        <v>1.1039674243191488E-3</v>
      </c>
      <c r="F717" s="189" t="b">
        <f t="shared" ca="1" si="81"/>
        <v>1</v>
      </c>
      <c r="G717" s="188">
        <f ca="1">IF(F717,IFERROR(((('Data Schema'!$C$3*(1+B717)^1)*((1-$I$4-$I$5+E717)*(1-$I$10)+$I$6-$I$11)-('Data Schema'!$C$3*(1+B717)^1-'Data Schema'!$C$3)*$I$12)/(1+C717)^1+(('Data Schema'!$C$3*(1+B717)^2)*((1-$I$4-$I$5+E717)*(1-$I$10)+$I$6-$I$11)-('Data Schema'!$C$3*(1+B717)^2-'Data Schema'!$C$3*(1+B717)^1)*$I$12)/(1+C717)^2+(('Data Schema'!$C$3*(1+B717)^3)*((1-$I$4-$I$5+E717)*(1-$I$10)+$I$6-$I$11)-('Data Schema'!$C$3*(1+B717)^3-'Data Schema'!$C$3*(1+B717)^2)*$I$12)/(1+C717)^3+(('Data Schema'!$C$3*(1+B717)^4)*((1-$I$4-$I$5+E717)*(1-$I$10)+$I$6-$I$11)-('Data Schema'!$C$3*(1+B717)^4-'Data Schema'!$C$3*(1+B717)^3)*$I$12)/(1+C717)^4+(('Data Schema'!$C$3*(1+B717)^5)*((1-$I$4-$I$5+E717)*(1-$I$10)+$I$6-$I$11)-('Data Schema'!$C$3*(1+B717)^5-'Data Schema'!$C$3*(1+B717)^4)*$I$12)/(1+C717)^5+((('Data Schema'!$C$3*(1+B717)^5)*((1-$I$4-$I$5+E717)*(1-$I$10)+$I$6-$I$11)-('Data Schema'!$C$3*(1+B717)^5-'Data Schema'!$C$3*(1+B717)^4)*$I$12)*(1+D717)/(C717-D717))/(1+C717)^5-'Data Schema'!$C$31+'Data Schema'!$C$21)/'Data Schema'!$B$17,0),"INVALID")</f>
        <v>63.703179982935232</v>
      </c>
      <c r="H717" s="189" t="b">
        <f t="shared" ca="1" si="82"/>
        <v>1</v>
      </c>
      <c r="I717" s="188">
        <f t="shared" ca="1" si="83"/>
        <v>63.703179982935232</v>
      </c>
      <c r="J717" s="349">
        <f t="shared" ca="1" si="76"/>
        <v>63.703179982935232</v>
      </c>
    </row>
    <row r="718" spans="1:10">
      <c r="A718" s="185">
        <v>539</v>
      </c>
      <c r="B718" s="190">
        <f t="shared" ca="1" si="77"/>
        <v>0.11522574692461721</v>
      </c>
      <c r="C718" s="190">
        <f t="shared" ca="1" si="78"/>
        <v>6.3974367143658076E-2</v>
      </c>
      <c r="D718" s="190">
        <f t="shared" ca="1" si="79"/>
        <v>2.3792228925117065E-2</v>
      </c>
      <c r="E718" s="190">
        <f t="shared" ca="1" si="80"/>
        <v>-7.7093022911673735E-3</v>
      </c>
      <c r="F718" s="189" t="b">
        <f t="shared" ca="1" si="81"/>
        <v>1</v>
      </c>
      <c r="G718" s="188">
        <f ca="1">IF(F718,IFERROR(((('Data Schema'!$C$3*(1+B718)^1)*((1-$I$4-$I$5+E718)*(1-$I$10)+$I$6-$I$11)-('Data Schema'!$C$3*(1+B718)^1-'Data Schema'!$C$3)*$I$12)/(1+C718)^1+(('Data Schema'!$C$3*(1+B718)^2)*((1-$I$4-$I$5+E718)*(1-$I$10)+$I$6-$I$11)-('Data Schema'!$C$3*(1+B718)^2-'Data Schema'!$C$3*(1+B718)^1)*$I$12)/(1+C718)^2+(('Data Schema'!$C$3*(1+B718)^3)*((1-$I$4-$I$5+E718)*(1-$I$10)+$I$6-$I$11)-('Data Schema'!$C$3*(1+B718)^3-'Data Schema'!$C$3*(1+B718)^2)*$I$12)/(1+C718)^3+(('Data Schema'!$C$3*(1+B718)^4)*((1-$I$4-$I$5+E718)*(1-$I$10)+$I$6-$I$11)-('Data Schema'!$C$3*(1+B718)^4-'Data Schema'!$C$3*(1+B718)^3)*$I$12)/(1+C718)^4+(('Data Schema'!$C$3*(1+B718)^5)*((1-$I$4-$I$5+E718)*(1-$I$10)+$I$6-$I$11)-('Data Schema'!$C$3*(1+B718)^5-'Data Schema'!$C$3*(1+B718)^4)*$I$12)/(1+C718)^5+((('Data Schema'!$C$3*(1+B718)^5)*((1-$I$4-$I$5+E718)*(1-$I$10)+$I$6-$I$11)-('Data Schema'!$C$3*(1+B718)^5-'Data Schema'!$C$3*(1+B718)^4)*$I$12)*(1+D718)/(C718-D718))/(1+C718)^5-'Data Schema'!$C$31+'Data Schema'!$C$21)/'Data Schema'!$B$17,0),"INVALID")</f>
        <v>58.527457368489884</v>
      </c>
      <c r="H718" s="189" t="b">
        <f t="shared" ca="1" si="82"/>
        <v>1</v>
      </c>
      <c r="I718" s="188">
        <f t="shared" ca="1" si="83"/>
        <v>58.527457368489884</v>
      </c>
      <c r="J718" s="349">
        <f t="shared" ca="1" si="76"/>
        <v>58.527457368489884</v>
      </c>
    </row>
    <row r="719" spans="1:10">
      <c r="A719" s="184">
        <v>540</v>
      </c>
      <c r="B719" s="190">
        <f t="shared" ca="1" si="77"/>
        <v>8.7342331976225401E-2</v>
      </c>
      <c r="C719" s="190">
        <f t="shared" ca="1" si="78"/>
        <v>5.7898702878755454E-2</v>
      </c>
      <c r="D719" s="190">
        <f t="shared" ca="1" si="79"/>
        <v>2.0712190731822192E-2</v>
      </c>
      <c r="E719" s="190">
        <f t="shared" ca="1" si="80"/>
        <v>1.791885080863697E-2</v>
      </c>
      <c r="F719" s="189" t="b">
        <f t="shared" ca="1" si="81"/>
        <v>1</v>
      </c>
      <c r="G719" s="188">
        <f ca="1">IF(F719,IFERROR(((('Data Schema'!$C$3*(1+B719)^1)*((1-$I$4-$I$5+E719)*(1-$I$10)+$I$6-$I$11)-('Data Schema'!$C$3*(1+B719)^1-'Data Schema'!$C$3)*$I$12)/(1+C719)^1+(('Data Schema'!$C$3*(1+B719)^2)*((1-$I$4-$I$5+E719)*(1-$I$10)+$I$6-$I$11)-('Data Schema'!$C$3*(1+B719)^2-'Data Schema'!$C$3*(1+B719)^1)*$I$12)/(1+C719)^2+(('Data Schema'!$C$3*(1+B719)^3)*((1-$I$4-$I$5+E719)*(1-$I$10)+$I$6-$I$11)-('Data Schema'!$C$3*(1+B719)^3-'Data Schema'!$C$3*(1+B719)^2)*$I$12)/(1+C719)^3+(('Data Schema'!$C$3*(1+B719)^4)*((1-$I$4-$I$5+E719)*(1-$I$10)+$I$6-$I$11)-('Data Schema'!$C$3*(1+B719)^4-'Data Schema'!$C$3*(1+B719)^3)*$I$12)/(1+C719)^4+(('Data Schema'!$C$3*(1+B719)^5)*((1-$I$4-$I$5+E719)*(1-$I$10)+$I$6-$I$11)-('Data Schema'!$C$3*(1+B719)^5-'Data Schema'!$C$3*(1+B719)^4)*$I$12)/(1+C719)^5+((('Data Schema'!$C$3*(1+B719)^5)*((1-$I$4-$I$5+E719)*(1-$I$10)+$I$6-$I$11)-('Data Schema'!$C$3*(1+B719)^5-'Data Schema'!$C$3*(1+B719)^4)*$I$12)*(1+D719)/(C719-D719))/(1+C719)^5-'Data Schema'!$C$31+'Data Schema'!$C$21)/'Data Schema'!$B$17,0),"INVALID")</f>
        <v>121.25154330792492</v>
      </c>
      <c r="H719" s="189" t="b">
        <f t="shared" ca="1" si="82"/>
        <v>1</v>
      </c>
      <c r="I719" s="188">
        <f t="shared" ca="1" si="83"/>
        <v>121.25154330792492</v>
      </c>
      <c r="J719" s="349">
        <f t="shared" ca="1" si="76"/>
        <v>121.25154330792492</v>
      </c>
    </row>
    <row r="720" spans="1:10">
      <c r="A720" s="185">
        <v>541</v>
      </c>
      <c r="B720" s="190">
        <f t="shared" ca="1" si="77"/>
        <v>0.10387304185815803</v>
      </c>
      <c r="C720" s="190">
        <f t="shared" ca="1" si="78"/>
        <v>6.5248058230832309E-2</v>
      </c>
      <c r="D720" s="190">
        <f t="shared" ca="1" si="79"/>
        <v>2.2530514348671593E-2</v>
      </c>
      <c r="E720" s="190">
        <f t="shared" ca="1" si="80"/>
        <v>3.2878128899392699E-2</v>
      </c>
      <c r="F720" s="189" t="b">
        <f t="shared" ca="1" si="81"/>
        <v>1</v>
      </c>
      <c r="G720" s="188">
        <f ca="1">IF(F720,IFERROR(((('Data Schema'!$C$3*(1+B720)^1)*((1-$I$4-$I$5+E720)*(1-$I$10)+$I$6-$I$11)-('Data Schema'!$C$3*(1+B720)^1-'Data Schema'!$C$3)*$I$12)/(1+C720)^1+(('Data Schema'!$C$3*(1+B720)^2)*((1-$I$4-$I$5+E720)*(1-$I$10)+$I$6-$I$11)-('Data Schema'!$C$3*(1+B720)^2-'Data Schema'!$C$3*(1+B720)^1)*$I$12)/(1+C720)^2+(('Data Schema'!$C$3*(1+B720)^3)*((1-$I$4-$I$5+E720)*(1-$I$10)+$I$6-$I$11)-('Data Schema'!$C$3*(1+B720)^3-'Data Schema'!$C$3*(1+B720)^2)*$I$12)/(1+C720)^3+(('Data Schema'!$C$3*(1+B720)^4)*((1-$I$4-$I$5+E720)*(1-$I$10)+$I$6-$I$11)-('Data Schema'!$C$3*(1+B720)^4-'Data Schema'!$C$3*(1+B720)^3)*$I$12)/(1+C720)^4+(('Data Schema'!$C$3*(1+B720)^5)*((1-$I$4-$I$5+E720)*(1-$I$10)+$I$6-$I$11)-('Data Schema'!$C$3*(1+B720)^5-'Data Schema'!$C$3*(1+B720)^4)*$I$12)/(1+C720)^5+((('Data Schema'!$C$3*(1+B720)^5)*((1-$I$4-$I$5+E720)*(1-$I$10)+$I$6-$I$11)-('Data Schema'!$C$3*(1+B720)^5-'Data Schema'!$C$3*(1+B720)^4)*$I$12)*(1+D720)/(C720-D720))/(1+C720)^5-'Data Schema'!$C$31+'Data Schema'!$C$21)/'Data Schema'!$B$17,0),"INVALID")</f>
        <v>144.95884234484359</v>
      </c>
      <c r="H720" s="189" t="b">
        <f t="shared" ca="1" si="82"/>
        <v>1</v>
      </c>
      <c r="I720" s="188">
        <f t="shared" ca="1" si="83"/>
        <v>144.95884234484359</v>
      </c>
      <c r="J720" s="349">
        <f t="shared" ca="1" si="76"/>
        <v>144.95884234484359</v>
      </c>
    </row>
    <row r="721" spans="1:10">
      <c r="A721" s="184">
        <v>542</v>
      </c>
      <c r="B721" s="190">
        <f t="shared" ca="1" si="77"/>
        <v>7.854876278657949E-2</v>
      </c>
      <c r="C721" s="190">
        <f t="shared" ca="1" si="78"/>
        <v>6.8873466424062404E-2</v>
      </c>
      <c r="D721" s="190">
        <f t="shared" ca="1" si="79"/>
        <v>2.7415617386191474E-2</v>
      </c>
      <c r="E721" s="190">
        <f t="shared" ca="1" si="80"/>
        <v>-1.9234195260182232E-2</v>
      </c>
      <c r="F721" s="189" t="b">
        <f t="shared" ca="1" si="81"/>
        <v>1</v>
      </c>
      <c r="G721" s="188">
        <f ca="1">IF(F721,IFERROR(((('Data Schema'!$C$3*(1+B721)^1)*((1-$I$4-$I$5+E721)*(1-$I$10)+$I$6-$I$11)-('Data Schema'!$C$3*(1+B721)^1-'Data Schema'!$C$3)*$I$12)/(1+C721)^1+(('Data Schema'!$C$3*(1+B721)^2)*((1-$I$4-$I$5+E721)*(1-$I$10)+$I$6-$I$11)-('Data Schema'!$C$3*(1+B721)^2-'Data Schema'!$C$3*(1+B721)^1)*$I$12)/(1+C721)^2+(('Data Schema'!$C$3*(1+B721)^3)*((1-$I$4-$I$5+E721)*(1-$I$10)+$I$6-$I$11)-('Data Schema'!$C$3*(1+B721)^3-'Data Schema'!$C$3*(1+B721)^2)*$I$12)/(1+C721)^3+(('Data Schema'!$C$3*(1+B721)^4)*((1-$I$4-$I$5+E721)*(1-$I$10)+$I$6-$I$11)-('Data Schema'!$C$3*(1+B721)^4-'Data Schema'!$C$3*(1+B721)^3)*$I$12)/(1+C721)^4+(('Data Schema'!$C$3*(1+B721)^5)*((1-$I$4-$I$5+E721)*(1-$I$10)+$I$6-$I$11)-('Data Schema'!$C$3*(1+B721)^5-'Data Schema'!$C$3*(1+B721)^4)*$I$12)/(1+C721)^5+((('Data Schema'!$C$3*(1+B721)^5)*((1-$I$4-$I$5+E721)*(1-$I$10)+$I$6-$I$11)-('Data Schema'!$C$3*(1+B721)^5-'Data Schema'!$C$3*(1+B721)^4)*$I$12)*(1+D721)/(C721-D721))/(1+C721)^5-'Data Schema'!$C$31+'Data Schema'!$C$21)/'Data Schema'!$B$17,0),"INVALID")</f>
        <v>24.364501614937467</v>
      </c>
      <c r="H721" s="189" t="b">
        <f t="shared" ca="1" si="82"/>
        <v>1</v>
      </c>
      <c r="I721" s="188">
        <f t="shared" ca="1" si="83"/>
        <v>24.364501614937467</v>
      </c>
      <c r="J721" s="349">
        <f t="shared" ca="1" si="76"/>
        <v>24.364501614937467</v>
      </c>
    </row>
    <row r="722" spans="1:10">
      <c r="A722" s="185">
        <v>543</v>
      </c>
      <c r="B722" s="190">
        <f t="shared" ca="1" si="77"/>
        <v>0.11940478759363482</v>
      </c>
      <c r="C722" s="190">
        <f t="shared" ca="1" si="78"/>
        <v>6.7146618594304763E-2</v>
      </c>
      <c r="D722" s="190">
        <f t="shared" ca="1" si="79"/>
        <v>2.338367820600926E-2</v>
      </c>
      <c r="E722" s="190">
        <f t="shared" ca="1" si="80"/>
        <v>2.7103991350360179E-2</v>
      </c>
      <c r="F722" s="189" t="b">
        <f t="shared" ca="1" si="81"/>
        <v>1</v>
      </c>
      <c r="G722" s="188">
        <f ca="1">IF(F722,IFERROR(((('Data Schema'!$C$3*(1+B722)^1)*((1-$I$4-$I$5+E722)*(1-$I$10)+$I$6-$I$11)-('Data Schema'!$C$3*(1+B722)^1-'Data Schema'!$C$3)*$I$12)/(1+C722)^1+(('Data Schema'!$C$3*(1+B722)^2)*((1-$I$4-$I$5+E722)*(1-$I$10)+$I$6-$I$11)-('Data Schema'!$C$3*(1+B722)^2-'Data Schema'!$C$3*(1+B722)^1)*$I$12)/(1+C722)^2+(('Data Schema'!$C$3*(1+B722)^3)*((1-$I$4-$I$5+E722)*(1-$I$10)+$I$6-$I$11)-('Data Schema'!$C$3*(1+B722)^3-'Data Schema'!$C$3*(1+B722)^2)*$I$12)/(1+C722)^3+(('Data Schema'!$C$3*(1+B722)^4)*((1-$I$4-$I$5+E722)*(1-$I$10)+$I$6-$I$11)-('Data Schema'!$C$3*(1+B722)^4-'Data Schema'!$C$3*(1+B722)^3)*$I$12)/(1+C722)^4+(('Data Schema'!$C$3*(1+B722)^5)*((1-$I$4-$I$5+E722)*(1-$I$10)+$I$6-$I$11)-('Data Schema'!$C$3*(1+B722)^5-'Data Schema'!$C$3*(1+B722)^4)*$I$12)/(1+C722)^5+((('Data Schema'!$C$3*(1+B722)^5)*((1-$I$4-$I$5+E722)*(1-$I$10)+$I$6-$I$11)-('Data Schema'!$C$3*(1+B722)^5-'Data Schema'!$C$3*(1+B722)^4)*$I$12)*(1+D722)/(C722-D722))/(1+C722)^5-'Data Schema'!$C$31+'Data Schema'!$C$21)/'Data Schema'!$B$17,0),"INVALID")</f>
        <v>136.32983724150816</v>
      </c>
      <c r="H722" s="189" t="b">
        <f t="shared" ca="1" si="82"/>
        <v>1</v>
      </c>
      <c r="I722" s="188">
        <f t="shared" ca="1" si="83"/>
        <v>136.32983724150816</v>
      </c>
      <c r="J722" s="349">
        <f t="shared" ca="1" si="76"/>
        <v>136.32983724150816</v>
      </c>
    </row>
    <row r="723" spans="1:10">
      <c r="A723" s="184">
        <v>544</v>
      </c>
      <c r="B723" s="190">
        <f t="shared" ca="1" si="77"/>
        <v>0.1163288326010586</v>
      </c>
      <c r="C723" s="190">
        <f t="shared" ca="1" si="78"/>
        <v>6.2025521852548372E-2</v>
      </c>
      <c r="D723" s="190">
        <f t="shared" ca="1" si="79"/>
        <v>2.541384454319183E-2</v>
      </c>
      <c r="E723" s="190">
        <f t="shared" ca="1" si="80"/>
        <v>1.9029752625269656E-3</v>
      </c>
      <c r="F723" s="189" t="b">
        <f t="shared" ca="1" si="81"/>
        <v>1</v>
      </c>
      <c r="G723" s="188">
        <f ca="1">IF(F723,IFERROR(((('Data Schema'!$C$3*(1+B723)^1)*((1-$I$4-$I$5+E723)*(1-$I$10)+$I$6-$I$11)-('Data Schema'!$C$3*(1+B723)^1-'Data Schema'!$C$3)*$I$12)/(1+C723)^1+(('Data Schema'!$C$3*(1+B723)^2)*((1-$I$4-$I$5+E723)*(1-$I$10)+$I$6-$I$11)-('Data Schema'!$C$3*(1+B723)^2-'Data Schema'!$C$3*(1+B723)^1)*$I$12)/(1+C723)^2+(('Data Schema'!$C$3*(1+B723)^3)*((1-$I$4-$I$5+E723)*(1-$I$10)+$I$6-$I$11)-('Data Schema'!$C$3*(1+B723)^3-'Data Schema'!$C$3*(1+B723)^2)*$I$12)/(1+C723)^3+(('Data Schema'!$C$3*(1+B723)^4)*((1-$I$4-$I$5+E723)*(1-$I$10)+$I$6-$I$11)-('Data Schema'!$C$3*(1+B723)^4-'Data Schema'!$C$3*(1+B723)^3)*$I$12)/(1+C723)^4+(('Data Schema'!$C$3*(1+B723)^5)*((1-$I$4-$I$5+E723)*(1-$I$10)+$I$6-$I$11)-('Data Schema'!$C$3*(1+B723)^5-'Data Schema'!$C$3*(1+B723)^4)*$I$12)/(1+C723)^5+((('Data Schema'!$C$3*(1+B723)^5)*((1-$I$4-$I$5+E723)*(1-$I$10)+$I$6-$I$11)-('Data Schema'!$C$3*(1+B723)^5-'Data Schema'!$C$3*(1+B723)^4)*$I$12)*(1+D723)/(C723-D723))/(1+C723)^5-'Data Schema'!$C$31+'Data Schema'!$C$21)/'Data Schema'!$B$17,0),"INVALID")</f>
        <v>91.700888173444284</v>
      </c>
      <c r="H723" s="189" t="b">
        <f t="shared" ca="1" si="82"/>
        <v>1</v>
      </c>
      <c r="I723" s="188">
        <f t="shared" ca="1" si="83"/>
        <v>91.700888173444284</v>
      </c>
      <c r="J723" s="349">
        <f t="shared" ca="1" si="76"/>
        <v>91.700888173444284</v>
      </c>
    </row>
    <row r="724" spans="1:10">
      <c r="A724" s="185">
        <v>545</v>
      </c>
      <c r="B724" s="190">
        <f t="shared" ca="1" si="77"/>
        <v>9.0107421138249294E-2</v>
      </c>
      <c r="C724" s="190">
        <f t="shared" ca="1" si="78"/>
        <v>8.024856864348795E-2</v>
      </c>
      <c r="D724" s="190">
        <f t="shared" ca="1" si="79"/>
        <v>2.4085924192565729E-2</v>
      </c>
      <c r="E724" s="190">
        <f t="shared" ca="1" si="80"/>
        <v>-2.4315294774220512E-2</v>
      </c>
      <c r="F724" s="189" t="b">
        <f t="shared" ca="1" si="81"/>
        <v>1</v>
      </c>
      <c r="G724" s="188">
        <f ca="1">IF(F724,IFERROR(((('Data Schema'!$C$3*(1+B724)^1)*((1-$I$4-$I$5+E724)*(1-$I$10)+$I$6-$I$11)-('Data Schema'!$C$3*(1+B724)^1-'Data Schema'!$C$3)*$I$12)/(1+C724)^1+(('Data Schema'!$C$3*(1+B724)^2)*((1-$I$4-$I$5+E724)*(1-$I$10)+$I$6-$I$11)-('Data Schema'!$C$3*(1+B724)^2-'Data Schema'!$C$3*(1+B724)^1)*$I$12)/(1+C724)^2+(('Data Schema'!$C$3*(1+B724)^3)*((1-$I$4-$I$5+E724)*(1-$I$10)+$I$6-$I$11)-('Data Schema'!$C$3*(1+B724)^3-'Data Schema'!$C$3*(1+B724)^2)*$I$12)/(1+C724)^3+(('Data Schema'!$C$3*(1+B724)^4)*((1-$I$4-$I$5+E724)*(1-$I$10)+$I$6-$I$11)-('Data Schema'!$C$3*(1+B724)^4-'Data Schema'!$C$3*(1+B724)^3)*$I$12)/(1+C724)^4+(('Data Schema'!$C$3*(1+B724)^5)*((1-$I$4-$I$5+E724)*(1-$I$10)+$I$6-$I$11)-('Data Schema'!$C$3*(1+B724)^5-'Data Schema'!$C$3*(1+B724)^4)*$I$12)/(1+C724)^5+((('Data Schema'!$C$3*(1+B724)^5)*((1-$I$4-$I$5+E724)*(1-$I$10)+$I$6-$I$11)-('Data Schema'!$C$3*(1+B724)^5-'Data Schema'!$C$3*(1+B724)^4)*$I$12)*(1+D724)/(C724-D724))/(1+C724)^5-'Data Schema'!$C$31+'Data Schema'!$C$21)/'Data Schema'!$B$17,0),"INVALID")</f>
        <v>8.8216411730936208</v>
      </c>
      <c r="H724" s="189" t="b">
        <f t="shared" ca="1" si="82"/>
        <v>0</v>
      </c>
      <c r="I724" s="188" t="str">
        <f t="shared" ca="1" si="83"/>
        <v/>
      </c>
      <c r="J724" s="349" t="str">
        <f t="shared" ca="1" si="76"/>
        <v/>
      </c>
    </row>
    <row r="725" spans="1:10">
      <c r="A725" s="184">
        <v>546</v>
      </c>
      <c r="B725" s="190">
        <f t="shared" ca="1" si="77"/>
        <v>0.11737899259884355</v>
      </c>
      <c r="C725" s="190">
        <f t="shared" ca="1" si="78"/>
        <v>6.0252342772171466E-2</v>
      </c>
      <c r="D725" s="190">
        <f t="shared" ca="1" si="79"/>
        <v>3.478816080745973E-2</v>
      </c>
      <c r="E725" s="190">
        <f t="shared" ca="1" si="80"/>
        <v>-2.8110974510529869E-2</v>
      </c>
      <c r="F725" s="189" t="b">
        <f t="shared" ca="1" si="81"/>
        <v>1</v>
      </c>
      <c r="G725" s="188">
        <f ca="1">IF(F725,IFERROR(((('Data Schema'!$C$3*(1+B725)^1)*((1-$I$4-$I$5+E725)*(1-$I$10)+$I$6-$I$11)-('Data Schema'!$C$3*(1+B725)^1-'Data Schema'!$C$3)*$I$12)/(1+C725)^1+(('Data Schema'!$C$3*(1+B725)^2)*((1-$I$4-$I$5+E725)*(1-$I$10)+$I$6-$I$11)-('Data Schema'!$C$3*(1+B725)^2-'Data Schema'!$C$3*(1+B725)^1)*$I$12)/(1+C725)^2+(('Data Schema'!$C$3*(1+B725)^3)*((1-$I$4-$I$5+E725)*(1-$I$10)+$I$6-$I$11)-('Data Schema'!$C$3*(1+B725)^3-'Data Schema'!$C$3*(1+B725)^2)*$I$12)/(1+C725)^3+(('Data Schema'!$C$3*(1+B725)^4)*((1-$I$4-$I$5+E725)*(1-$I$10)+$I$6-$I$11)-('Data Schema'!$C$3*(1+B725)^4-'Data Schema'!$C$3*(1+B725)^3)*$I$12)/(1+C725)^4+(('Data Schema'!$C$3*(1+B725)^5)*((1-$I$4-$I$5+E725)*(1-$I$10)+$I$6-$I$11)-('Data Schema'!$C$3*(1+B725)^5-'Data Schema'!$C$3*(1+B725)^4)*$I$12)/(1+C725)^5+((('Data Schema'!$C$3*(1+B725)^5)*((1-$I$4-$I$5+E725)*(1-$I$10)+$I$6-$I$11)-('Data Schema'!$C$3*(1+B725)^5-'Data Schema'!$C$3*(1+B725)^4)*$I$12)*(1+D725)/(C725-D725))/(1+C725)^5-'Data Schema'!$C$31+'Data Schema'!$C$21)/'Data Schema'!$B$17,0),"INVALID")</f>
        <v>14.190028174519599</v>
      </c>
      <c r="H725" s="189" t="b">
        <f t="shared" ca="1" si="82"/>
        <v>1</v>
      </c>
      <c r="I725" s="188">
        <f t="shared" ca="1" si="83"/>
        <v>14.190028174519599</v>
      </c>
      <c r="J725" s="349" t="str">
        <f t="shared" ca="1" si="76"/>
        <v/>
      </c>
    </row>
    <row r="726" spans="1:10">
      <c r="A726" s="185">
        <v>547</v>
      </c>
      <c r="B726" s="190">
        <f t="shared" ca="1" si="77"/>
        <v>9.1012275645963897E-2</v>
      </c>
      <c r="C726" s="190">
        <f t="shared" ca="1" si="78"/>
        <v>6.5454508259768465E-2</v>
      </c>
      <c r="D726" s="190">
        <f t="shared" ca="1" si="79"/>
        <v>3.4380179181630346E-2</v>
      </c>
      <c r="E726" s="190">
        <f t="shared" ca="1" si="80"/>
        <v>1.8918445361458158E-3</v>
      </c>
      <c r="F726" s="189" t="b">
        <f t="shared" ca="1" si="81"/>
        <v>1</v>
      </c>
      <c r="G726" s="188">
        <f ca="1">IF(F726,IFERROR(((('Data Schema'!$C$3*(1+B726)^1)*((1-$I$4-$I$5+E726)*(1-$I$10)+$I$6-$I$11)-('Data Schema'!$C$3*(1+B726)^1-'Data Schema'!$C$3)*$I$12)/(1+C726)^1+(('Data Schema'!$C$3*(1+B726)^2)*((1-$I$4-$I$5+E726)*(1-$I$10)+$I$6-$I$11)-('Data Schema'!$C$3*(1+B726)^2-'Data Schema'!$C$3*(1+B726)^1)*$I$12)/(1+C726)^2+(('Data Schema'!$C$3*(1+B726)^3)*((1-$I$4-$I$5+E726)*(1-$I$10)+$I$6-$I$11)-('Data Schema'!$C$3*(1+B726)^3-'Data Schema'!$C$3*(1+B726)^2)*$I$12)/(1+C726)^3+(('Data Schema'!$C$3*(1+B726)^4)*((1-$I$4-$I$5+E726)*(1-$I$10)+$I$6-$I$11)-('Data Schema'!$C$3*(1+B726)^4-'Data Schema'!$C$3*(1+B726)^3)*$I$12)/(1+C726)^4+(('Data Schema'!$C$3*(1+B726)^5)*((1-$I$4-$I$5+E726)*(1-$I$10)+$I$6-$I$11)-('Data Schema'!$C$3*(1+B726)^5-'Data Schema'!$C$3*(1+B726)^4)*$I$12)/(1+C726)^5+((('Data Schema'!$C$3*(1+B726)^5)*((1-$I$4-$I$5+E726)*(1-$I$10)+$I$6-$I$11)-('Data Schema'!$C$3*(1+B726)^5-'Data Schema'!$C$3*(1+B726)^4)*$I$12)*(1+D726)/(C726-D726))/(1+C726)^5-'Data Schema'!$C$31+'Data Schema'!$C$21)/'Data Schema'!$B$17,0),"INVALID")</f>
        <v>95.822889614161596</v>
      </c>
      <c r="H726" s="189" t="b">
        <f t="shared" ca="1" si="82"/>
        <v>1</v>
      </c>
      <c r="I726" s="188">
        <f t="shared" ca="1" si="83"/>
        <v>95.822889614161596</v>
      </c>
      <c r="J726" s="349">
        <f t="shared" ca="1" si="76"/>
        <v>95.822889614161596</v>
      </c>
    </row>
    <row r="727" spans="1:10">
      <c r="A727" s="184">
        <v>548</v>
      </c>
      <c r="B727" s="190">
        <f t="shared" ca="1" si="77"/>
        <v>0.10291195459528518</v>
      </c>
      <c r="C727" s="190">
        <f t="shared" ca="1" si="78"/>
        <v>7.838699327908577E-2</v>
      </c>
      <c r="D727" s="190">
        <f t="shared" ca="1" si="79"/>
        <v>1.9866034513901572E-2</v>
      </c>
      <c r="E727" s="190">
        <f t="shared" ca="1" si="80"/>
        <v>-3.5019609710264493E-2</v>
      </c>
      <c r="F727" s="189" t="b">
        <f t="shared" ca="1" si="81"/>
        <v>1</v>
      </c>
      <c r="G727" s="188">
        <f ca="1">IF(F727,IFERROR(((('Data Schema'!$C$3*(1+B727)^1)*((1-$I$4-$I$5+E727)*(1-$I$10)+$I$6-$I$11)-('Data Schema'!$C$3*(1+B727)^1-'Data Schema'!$C$3)*$I$12)/(1+C727)^1+(('Data Schema'!$C$3*(1+B727)^2)*((1-$I$4-$I$5+E727)*(1-$I$10)+$I$6-$I$11)-('Data Schema'!$C$3*(1+B727)^2-'Data Schema'!$C$3*(1+B727)^1)*$I$12)/(1+C727)^2+(('Data Schema'!$C$3*(1+B727)^3)*((1-$I$4-$I$5+E727)*(1-$I$10)+$I$6-$I$11)-('Data Schema'!$C$3*(1+B727)^3-'Data Schema'!$C$3*(1+B727)^2)*$I$12)/(1+C727)^3+(('Data Schema'!$C$3*(1+B727)^4)*((1-$I$4-$I$5+E727)*(1-$I$10)+$I$6-$I$11)-('Data Schema'!$C$3*(1+B727)^4-'Data Schema'!$C$3*(1+B727)^3)*$I$12)/(1+C727)^4+(('Data Schema'!$C$3*(1+B727)^5)*((1-$I$4-$I$5+E727)*(1-$I$10)+$I$6-$I$11)-('Data Schema'!$C$3*(1+B727)^5-'Data Schema'!$C$3*(1+B727)^4)*$I$12)/(1+C727)^5+((('Data Schema'!$C$3*(1+B727)^5)*((1-$I$4-$I$5+E727)*(1-$I$10)+$I$6-$I$11)-('Data Schema'!$C$3*(1+B727)^5-'Data Schema'!$C$3*(1+B727)^4)*$I$12)*(1+D727)/(C727-D727))/(1+C727)^5-'Data Schema'!$C$31+'Data Schema'!$C$21)/'Data Schema'!$B$17,0),"INVALID")</f>
        <v>-8.9729638919697319</v>
      </c>
      <c r="H727" s="189" t="b">
        <f t="shared" ca="1" si="82"/>
        <v>0</v>
      </c>
      <c r="I727" s="188" t="str">
        <f t="shared" ca="1" si="83"/>
        <v/>
      </c>
      <c r="J727" s="349" t="str">
        <f t="shared" ca="1" si="76"/>
        <v/>
      </c>
    </row>
    <row r="728" spans="1:10">
      <c r="A728" s="185">
        <v>549</v>
      </c>
      <c r="B728" s="190">
        <f t="shared" ca="1" si="77"/>
        <v>0.11326128843383114</v>
      </c>
      <c r="C728" s="190">
        <f t="shared" ca="1" si="78"/>
        <v>6.0738018962103679E-2</v>
      </c>
      <c r="D728" s="190">
        <f t="shared" ca="1" si="79"/>
        <v>2.99726339207604E-2</v>
      </c>
      <c r="E728" s="190">
        <f t="shared" ca="1" si="80"/>
        <v>-3.3085844873151804E-2</v>
      </c>
      <c r="F728" s="189" t="b">
        <f t="shared" ca="1" si="81"/>
        <v>1</v>
      </c>
      <c r="G728" s="188">
        <f ca="1">IF(F728,IFERROR(((('Data Schema'!$C$3*(1+B728)^1)*((1-$I$4-$I$5+E728)*(1-$I$10)+$I$6-$I$11)-('Data Schema'!$C$3*(1+B728)^1-'Data Schema'!$C$3)*$I$12)/(1+C728)^1+(('Data Schema'!$C$3*(1+B728)^2)*((1-$I$4-$I$5+E728)*(1-$I$10)+$I$6-$I$11)-('Data Schema'!$C$3*(1+B728)^2-'Data Schema'!$C$3*(1+B728)^1)*$I$12)/(1+C728)^2+(('Data Schema'!$C$3*(1+B728)^3)*((1-$I$4-$I$5+E728)*(1-$I$10)+$I$6-$I$11)-('Data Schema'!$C$3*(1+B728)^3-'Data Schema'!$C$3*(1+B728)^2)*$I$12)/(1+C728)^3+(('Data Schema'!$C$3*(1+B728)^4)*((1-$I$4-$I$5+E728)*(1-$I$10)+$I$6-$I$11)-('Data Schema'!$C$3*(1+B728)^4-'Data Schema'!$C$3*(1+B728)^3)*$I$12)/(1+C728)^4+(('Data Schema'!$C$3*(1+B728)^5)*((1-$I$4-$I$5+E728)*(1-$I$10)+$I$6-$I$11)-('Data Schema'!$C$3*(1+B728)^5-'Data Schema'!$C$3*(1+B728)^4)*$I$12)/(1+C728)^5+((('Data Schema'!$C$3*(1+B728)^5)*((1-$I$4-$I$5+E728)*(1-$I$10)+$I$6-$I$11)-('Data Schema'!$C$3*(1+B728)^5-'Data Schema'!$C$3*(1+B728)^4)*$I$12)*(1+D728)/(C728-D728))/(1+C728)^5-'Data Schema'!$C$31+'Data Schema'!$C$21)/'Data Schema'!$B$17,0),"INVALID")</f>
        <v>-5.3010775378314809</v>
      </c>
      <c r="H728" s="189" t="b">
        <f t="shared" ca="1" si="82"/>
        <v>0</v>
      </c>
      <c r="I728" s="188" t="str">
        <f t="shared" ca="1" si="83"/>
        <v/>
      </c>
      <c r="J728" s="349" t="str">
        <f t="shared" ca="1" si="76"/>
        <v/>
      </c>
    </row>
    <row r="729" spans="1:10">
      <c r="A729" s="184">
        <v>550</v>
      </c>
      <c r="B729" s="190">
        <f t="shared" ca="1" si="77"/>
        <v>0.13547193407139224</v>
      </c>
      <c r="C729" s="190">
        <f t="shared" ca="1" si="78"/>
        <v>5.0282404901196738E-2</v>
      </c>
      <c r="D729" s="190">
        <f t="shared" ca="1" si="79"/>
        <v>3.1734528551412566E-2</v>
      </c>
      <c r="E729" s="190">
        <f t="shared" ca="1" si="80"/>
        <v>-5.4516876336930375E-3</v>
      </c>
      <c r="F729" s="189" t="b">
        <f t="shared" ca="1" si="81"/>
        <v>1</v>
      </c>
      <c r="G729" s="188">
        <f ca="1">IF(F729,IFERROR(((('Data Schema'!$C$3*(1+B729)^1)*((1-$I$4-$I$5+E729)*(1-$I$10)+$I$6-$I$11)-('Data Schema'!$C$3*(1+B729)^1-'Data Schema'!$C$3)*$I$12)/(1+C729)^1+(('Data Schema'!$C$3*(1+B729)^2)*((1-$I$4-$I$5+E729)*(1-$I$10)+$I$6-$I$11)-('Data Schema'!$C$3*(1+B729)^2-'Data Schema'!$C$3*(1+B729)^1)*$I$12)/(1+C729)^2+(('Data Schema'!$C$3*(1+B729)^3)*((1-$I$4-$I$5+E729)*(1-$I$10)+$I$6-$I$11)-('Data Schema'!$C$3*(1+B729)^3-'Data Schema'!$C$3*(1+B729)^2)*$I$12)/(1+C729)^3+(('Data Schema'!$C$3*(1+B729)^4)*((1-$I$4-$I$5+E729)*(1-$I$10)+$I$6-$I$11)-('Data Schema'!$C$3*(1+B729)^4-'Data Schema'!$C$3*(1+B729)^3)*$I$12)/(1+C729)^4+(('Data Schema'!$C$3*(1+B729)^5)*((1-$I$4-$I$5+E729)*(1-$I$10)+$I$6-$I$11)-('Data Schema'!$C$3*(1+B729)^5-'Data Schema'!$C$3*(1+B729)^4)*$I$12)/(1+C729)^5+((('Data Schema'!$C$3*(1+B729)^5)*((1-$I$4-$I$5+E729)*(1-$I$10)+$I$6-$I$11)-('Data Schema'!$C$3*(1+B729)^5-'Data Schema'!$C$3*(1+B729)^4)*$I$12)*(1+D729)/(C729-D729))/(1+C729)^5-'Data Schema'!$C$31+'Data Schema'!$C$21)/'Data Schema'!$B$17,0),"INVALID")</f>
        <v>156.44408219053662</v>
      </c>
      <c r="H729" s="189" t="b">
        <f t="shared" ca="1" si="82"/>
        <v>1</v>
      </c>
      <c r="I729" s="188">
        <f t="shared" ca="1" si="83"/>
        <v>156.44408219053662</v>
      </c>
      <c r="J729" s="349">
        <f t="shared" ca="1" si="76"/>
        <v>156.44408219053662</v>
      </c>
    </row>
    <row r="730" spans="1:10">
      <c r="A730" s="185">
        <v>551</v>
      </c>
      <c r="B730" s="190">
        <f t="shared" ca="1" si="77"/>
        <v>0.10488430870026601</v>
      </c>
      <c r="C730" s="190">
        <f t="shared" ca="1" si="78"/>
        <v>7.2797028068600778E-2</v>
      </c>
      <c r="D730" s="190">
        <f t="shared" ca="1" si="79"/>
        <v>2.9167007711080047E-2</v>
      </c>
      <c r="E730" s="190">
        <f t="shared" ca="1" si="80"/>
        <v>-3.4786275108834451E-3</v>
      </c>
      <c r="F730" s="189" t="b">
        <f t="shared" ca="1" si="81"/>
        <v>1</v>
      </c>
      <c r="G730" s="188">
        <f ca="1">IF(F730,IFERROR(((('Data Schema'!$C$3*(1+B730)^1)*((1-$I$4-$I$5+E730)*(1-$I$10)+$I$6-$I$11)-('Data Schema'!$C$3*(1+B730)^1-'Data Schema'!$C$3)*$I$12)/(1+C730)^1+(('Data Schema'!$C$3*(1+B730)^2)*((1-$I$4-$I$5+E730)*(1-$I$10)+$I$6-$I$11)-('Data Schema'!$C$3*(1+B730)^2-'Data Schema'!$C$3*(1+B730)^1)*$I$12)/(1+C730)^2+(('Data Schema'!$C$3*(1+B730)^3)*((1-$I$4-$I$5+E730)*(1-$I$10)+$I$6-$I$11)-('Data Schema'!$C$3*(1+B730)^3-'Data Schema'!$C$3*(1+B730)^2)*$I$12)/(1+C730)^3+(('Data Schema'!$C$3*(1+B730)^4)*((1-$I$4-$I$5+E730)*(1-$I$10)+$I$6-$I$11)-('Data Schema'!$C$3*(1+B730)^4-'Data Schema'!$C$3*(1+B730)^3)*$I$12)/(1+C730)^4+(('Data Schema'!$C$3*(1+B730)^5)*((1-$I$4-$I$5+E730)*(1-$I$10)+$I$6-$I$11)-('Data Schema'!$C$3*(1+B730)^5-'Data Schema'!$C$3*(1+B730)^4)*$I$12)/(1+C730)^5+((('Data Schema'!$C$3*(1+B730)^5)*((1-$I$4-$I$5+E730)*(1-$I$10)+$I$6-$I$11)-('Data Schema'!$C$3*(1+B730)^5-'Data Schema'!$C$3*(1+B730)^4)*$I$12)*(1+D730)/(C730-D730))/(1+C730)^5-'Data Schema'!$C$31+'Data Schema'!$C$21)/'Data Schema'!$B$17,0),"INVALID")</f>
        <v>59.290306132061616</v>
      </c>
      <c r="H730" s="189" t="b">
        <f t="shared" ca="1" si="82"/>
        <v>1</v>
      </c>
      <c r="I730" s="188">
        <f t="shared" ca="1" si="83"/>
        <v>59.290306132061616</v>
      </c>
      <c r="J730" s="349">
        <f t="shared" ca="1" si="76"/>
        <v>59.290306132061616</v>
      </c>
    </row>
    <row r="731" spans="1:10">
      <c r="A731" s="184">
        <v>552</v>
      </c>
      <c r="B731" s="190">
        <f t="shared" ca="1" si="77"/>
        <v>0.11544240587613605</v>
      </c>
      <c r="C731" s="190">
        <f t="shared" ca="1" si="78"/>
        <v>7.0450597284283947E-2</v>
      </c>
      <c r="D731" s="190">
        <f t="shared" ca="1" si="79"/>
        <v>3.0174918107107977E-2</v>
      </c>
      <c r="E731" s="190">
        <f t="shared" ca="1" si="80"/>
        <v>1.0050506525807346E-2</v>
      </c>
      <c r="F731" s="189" t="b">
        <f t="shared" ca="1" si="81"/>
        <v>1</v>
      </c>
      <c r="G731" s="188">
        <f ca="1">IF(F731,IFERROR(((('Data Schema'!$C$3*(1+B731)^1)*((1-$I$4-$I$5+E731)*(1-$I$10)+$I$6-$I$11)-('Data Schema'!$C$3*(1+B731)^1-'Data Schema'!$C$3)*$I$12)/(1+C731)^1+(('Data Schema'!$C$3*(1+B731)^2)*((1-$I$4-$I$5+E731)*(1-$I$10)+$I$6-$I$11)-('Data Schema'!$C$3*(1+B731)^2-'Data Schema'!$C$3*(1+B731)^1)*$I$12)/(1+C731)^2+(('Data Schema'!$C$3*(1+B731)^3)*((1-$I$4-$I$5+E731)*(1-$I$10)+$I$6-$I$11)-('Data Schema'!$C$3*(1+B731)^3-'Data Schema'!$C$3*(1+B731)^2)*$I$12)/(1+C731)^3+(('Data Schema'!$C$3*(1+B731)^4)*((1-$I$4-$I$5+E731)*(1-$I$10)+$I$6-$I$11)-('Data Schema'!$C$3*(1+B731)^4-'Data Schema'!$C$3*(1+B731)^3)*$I$12)/(1+C731)^4+(('Data Schema'!$C$3*(1+B731)^5)*((1-$I$4-$I$5+E731)*(1-$I$10)+$I$6-$I$11)-('Data Schema'!$C$3*(1+B731)^5-'Data Schema'!$C$3*(1+B731)^4)*$I$12)/(1+C731)^5+((('Data Schema'!$C$3*(1+B731)^5)*((1-$I$4-$I$5+E731)*(1-$I$10)+$I$6-$I$11)-('Data Schema'!$C$3*(1+B731)^5-'Data Schema'!$C$3*(1+B731)^4)*$I$12)*(1+D731)/(C731-D731))/(1+C731)^5-'Data Schema'!$C$31+'Data Schema'!$C$21)/'Data Schema'!$B$17,0),"INVALID")</f>
        <v>100.86009460382893</v>
      </c>
      <c r="H731" s="189" t="b">
        <f t="shared" ca="1" si="82"/>
        <v>1</v>
      </c>
      <c r="I731" s="188">
        <f t="shared" ca="1" si="83"/>
        <v>100.86009460382893</v>
      </c>
      <c r="J731" s="349">
        <f t="shared" ca="1" si="76"/>
        <v>100.86009460382893</v>
      </c>
    </row>
    <row r="732" spans="1:10">
      <c r="A732" s="185">
        <v>553</v>
      </c>
      <c r="B732" s="190">
        <f t="shared" ca="1" si="77"/>
        <v>0.1022738026467242</v>
      </c>
      <c r="C732" s="190">
        <f t="shared" ca="1" si="78"/>
        <v>7.1259690460684158E-2</v>
      </c>
      <c r="D732" s="190">
        <f t="shared" ca="1" si="79"/>
        <v>2.0621801651279154E-2</v>
      </c>
      <c r="E732" s="190">
        <f t="shared" ca="1" si="80"/>
        <v>-1.4110381872701112E-3</v>
      </c>
      <c r="F732" s="189" t="b">
        <f t="shared" ca="1" si="81"/>
        <v>1</v>
      </c>
      <c r="G732" s="188">
        <f ca="1">IF(F732,IFERROR(((('Data Schema'!$C$3*(1+B732)^1)*((1-$I$4-$I$5+E732)*(1-$I$10)+$I$6-$I$11)-('Data Schema'!$C$3*(1+B732)^1-'Data Schema'!$C$3)*$I$12)/(1+C732)^1+(('Data Schema'!$C$3*(1+B732)^2)*((1-$I$4-$I$5+E732)*(1-$I$10)+$I$6-$I$11)-('Data Schema'!$C$3*(1+B732)^2-'Data Schema'!$C$3*(1+B732)^1)*$I$12)/(1+C732)^2+(('Data Schema'!$C$3*(1+B732)^3)*((1-$I$4-$I$5+E732)*(1-$I$10)+$I$6-$I$11)-('Data Schema'!$C$3*(1+B732)^3-'Data Schema'!$C$3*(1+B732)^2)*$I$12)/(1+C732)^3+(('Data Schema'!$C$3*(1+B732)^4)*((1-$I$4-$I$5+E732)*(1-$I$10)+$I$6-$I$11)-('Data Schema'!$C$3*(1+B732)^4-'Data Schema'!$C$3*(1+B732)^3)*$I$12)/(1+C732)^4+(('Data Schema'!$C$3*(1+B732)^5)*((1-$I$4-$I$5+E732)*(1-$I$10)+$I$6-$I$11)-('Data Schema'!$C$3*(1+B732)^5-'Data Schema'!$C$3*(1+B732)^4)*$I$12)/(1+C732)^5+((('Data Schema'!$C$3*(1+B732)^5)*((1-$I$4-$I$5+E732)*(1-$I$10)+$I$6-$I$11)-('Data Schema'!$C$3*(1+B732)^5-'Data Schema'!$C$3*(1+B732)^4)*$I$12)*(1+D732)/(C732-D732))/(1+C732)^5-'Data Schema'!$C$31+'Data Schema'!$C$21)/'Data Schema'!$B$17,0),"INVALID")</f>
        <v>55.061699929309526</v>
      </c>
      <c r="H732" s="189" t="b">
        <f t="shared" ca="1" si="82"/>
        <v>1</v>
      </c>
      <c r="I732" s="188">
        <f t="shared" ca="1" si="83"/>
        <v>55.061699929309526</v>
      </c>
      <c r="J732" s="349">
        <f t="shared" ca="1" si="76"/>
        <v>55.061699929309526</v>
      </c>
    </row>
    <row r="733" spans="1:10">
      <c r="A733" s="184">
        <v>554</v>
      </c>
      <c r="B733" s="190">
        <f t="shared" ca="1" si="77"/>
        <v>0.10410254096098934</v>
      </c>
      <c r="C733" s="190">
        <f t="shared" ca="1" si="78"/>
        <v>5.6389294311886877E-2</v>
      </c>
      <c r="D733" s="190">
        <f t="shared" ca="1" si="79"/>
        <v>1.9751161691049769E-2</v>
      </c>
      <c r="E733" s="190">
        <f t="shared" ca="1" si="80"/>
        <v>1.4390405643087689E-2</v>
      </c>
      <c r="F733" s="189" t="b">
        <f t="shared" ca="1" si="81"/>
        <v>1</v>
      </c>
      <c r="G733" s="188">
        <f ca="1">IF(F733,IFERROR(((('Data Schema'!$C$3*(1+B733)^1)*((1-$I$4-$I$5+E733)*(1-$I$10)+$I$6-$I$11)-('Data Schema'!$C$3*(1+B733)^1-'Data Schema'!$C$3)*$I$12)/(1+C733)^1+(('Data Schema'!$C$3*(1+B733)^2)*((1-$I$4-$I$5+E733)*(1-$I$10)+$I$6-$I$11)-('Data Schema'!$C$3*(1+B733)^2-'Data Schema'!$C$3*(1+B733)^1)*$I$12)/(1+C733)^2+(('Data Schema'!$C$3*(1+B733)^3)*((1-$I$4-$I$5+E733)*(1-$I$10)+$I$6-$I$11)-('Data Schema'!$C$3*(1+B733)^3-'Data Schema'!$C$3*(1+B733)^2)*$I$12)/(1+C733)^3+(('Data Schema'!$C$3*(1+B733)^4)*((1-$I$4-$I$5+E733)*(1-$I$10)+$I$6-$I$11)-('Data Schema'!$C$3*(1+B733)^4-'Data Schema'!$C$3*(1+B733)^3)*$I$12)/(1+C733)^4+(('Data Schema'!$C$3*(1+B733)^5)*((1-$I$4-$I$5+E733)*(1-$I$10)+$I$6-$I$11)-('Data Schema'!$C$3*(1+B733)^5-'Data Schema'!$C$3*(1+B733)^4)*$I$12)/(1+C733)^5+((('Data Schema'!$C$3*(1+B733)^5)*((1-$I$4-$I$5+E733)*(1-$I$10)+$I$6-$I$11)-('Data Schema'!$C$3*(1+B733)^5-'Data Schema'!$C$3*(1+B733)^4)*$I$12)*(1+D733)/(C733-D733))/(1+C733)^5-'Data Schema'!$C$31+'Data Schema'!$C$21)/'Data Schema'!$B$17,0),"INVALID")</f>
        <v>122.93894316436055</v>
      </c>
      <c r="H733" s="189" t="b">
        <f t="shared" ca="1" si="82"/>
        <v>1</v>
      </c>
      <c r="I733" s="188">
        <f t="shared" ca="1" si="83"/>
        <v>122.93894316436055</v>
      </c>
      <c r="J733" s="349">
        <f t="shared" ca="1" si="76"/>
        <v>122.93894316436055</v>
      </c>
    </row>
    <row r="734" spans="1:10">
      <c r="A734" s="185">
        <v>555</v>
      </c>
      <c r="B734" s="190">
        <f t="shared" ca="1" si="77"/>
        <v>8.8714633022900002E-2</v>
      </c>
      <c r="C734" s="190">
        <f t="shared" ca="1" si="78"/>
        <v>7.2795073428413695E-2</v>
      </c>
      <c r="D734" s="190">
        <f t="shared" ca="1" si="79"/>
        <v>1.6700639694203802E-2</v>
      </c>
      <c r="E734" s="190">
        <f t="shared" ca="1" si="80"/>
        <v>-3.2624721954861866E-2</v>
      </c>
      <c r="F734" s="189" t="b">
        <f t="shared" ca="1" si="81"/>
        <v>1</v>
      </c>
      <c r="G734" s="188">
        <f ca="1">IF(F734,IFERROR(((('Data Schema'!$C$3*(1+B734)^1)*((1-$I$4-$I$5+E734)*(1-$I$10)+$I$6-$I$11)-('Data Schema'!$C$3*(1+B734)^1-'Data Schema'!$C$3)*$I$12)/(1+C734)^1+(('Data Schema'!$C$3*(1+B734)^2)*((1-$I$4-$I$5+E734)*(1-$I$10)+$I$6-$I$11)-('Data Schema'!$C$3*(1+B734)^2-'Data Schema'!$C$3*(1+B734)^1)*$I$12)/(1+C734)^2+(('Data Schema'!$C$3*(1+B734)^3)*((1-$I$4-$I$5+E734)*(1-$I$10)+$I$6-$I$11)-('Data Schema'!$C$3*(1+B734)^3-'Data Schema'!$C$3*(1+B734)^2)*$I$12)/(1+C734)^3+(('Data Schema'!$C$3*(1+B734)^4)*((1-$I$4-$I$5+E734)*(1-$I$10)+$I$6-$I$11)-('Data Schema'!$C$3*(1+B734)^4-'Data Schema'!$C$3*(1+B734)^3)*$I$12)/(1+C734)^4+(('Data Schema'!$C$3*(1+B734)^5)*((1-$I$4-$I$5+E734)*(1-$I$10)+$I$6-$I$11)-('Data Schema'!$C$3*(1+B734)^5-'Data Schema'!$C$3*(1+B734)^4)*$I$12)/(1+C734)^5+((('Data Schema'!$C$3*(1+B734)^5)*((1-$I$4-$I$5+E734)*(1-$I$10)+$I$6-$I$11)-('Data Schema'!$C$3*(1+B734)^5-'Data Schema'!$C$3*(1+B734)^4)*$I$12)*(1+D734)/(C734-D734))/(1+C734)^5-'Data Schema'!$C$31+'Data Schema'!$C$21)/'Data Schema'!$B$17,0),"INVALID")</f>
        <v>-4.4938098055249798</v>
      </c>
      <c r="H734" s="189" t="b">
        <f t="shared" ca="1" si="82"/>
        <v>0</v>
      </c>
      <c r="I734" s="188" t="str">
        <f t="shared" ca="1" si="83"/>
        <v/>
      </c>
      <c r="J734" s="349" t="str">
        <f t="shared" ca="1" si="76"/>
        <v/>
      </c>
    </row>
    <row r="735" spans="1:10">
      <c r="A735" s="184">
        <v>556</v>
      </c>
      <c r="B735" s="190">
        <f t="shared" ca="1" si="77"/>
        <v>8.8780359000086406E-2</v>
      </c>
      <c r="C735" s="190">
        <f t="shared" ca="1" si="78"/>
        <v>5.6911157221474065E-2</v>
      </c>
      <c r="D735" s="190">
        <f t="shared" ca="1" si="79"/>
        <v>2.1274009502313555E-2</v>
      </c>
      <c r="E735" s="190">
        <f t="shared" ca="1" si="80"/>
        <v>-2.8447484037681263E-2</v>
      </c>
      <c r="F735" s="189" t="b">
        <f t="shared" ca="1" si="81"/>
        <v>1</v>
      </c>
      <c r="G735" s="188">
        <f ca="1">IF(F735,IFERROR(((('Data Schema'!$C$3*(1+B735)^1)*((1-$I$4-$I$5+E735)*(1-$I$10)+$I$6-$I$11)-('Data Schema'!$C$3*(1+B735)^1-'Data Schema'!$C$3)*$I$12)/(1+C735)^1+(('Data Schema'!$C$3*(1+B735)^2)*((1-$I$4-$I$5+E735)*(1-$I$10)+$I$6-$I$11)-('Data Schema'!$C$3*(1+B735)^2-'Data Schema'!$C$3*(1+B735)^1)*$I$12)/(1+C735)^2+(('Data Schema'!$C$3*(1+B735)^3)*((1-$I$4-$I$5+E735)*(1-$I$10)+$I$6-$I$11)-('Data Schema'!$C$3*(1+B735)^3-'Data Schema'!$C$3*(1+B735)^2)*$I$12)/(1+C735)^3+(('Data Schema'!$C$3*(1+B735)^4)*((1-$I$4-$I$5+E735)*(1-$I$10)+$I$6-$I$11)-('Data Schema'!$C$3*(1+B735)^4-'Data Schema'!$C$3*(1+B735)^3)*$I$12)/(1+C735)^4+(('Data Schema'!$C$3*(1+B735)^5)*((1-$I$4-$I$5+E735)*(1-$I$10)+$I$6-$I$11)-('Data Schema'!$C$3*(1+B735)^5-'Data Schema'!$C$3*(1+B735)^4)*$I$12)/(1+C735)^5+((('Data Schema'!$C$3*(1+B735)^5)*((1-$I$4-$I$5+E735)*(1-$I$10)+$I$6-$I$11)-('Data Schema'!$C$3*(1+B735)^5-'Data Schema'!$C$3*(1+B735)^4)*$I$12)*(1+D735)/(C735-D735))/(1+C735)^5-'Data Schema'!$C$31+'Data Schema'!$C$21)/'Data Schema'!$B$17,0),"INVALID")</f>
        <v>7.7174717601035203</v>
      </c>
      <c r="H735" s="189" t="b">
        <f t="shared" ca="1" si="82"/>
        <v>0</v>
      </c>
      <c r="I735" s="188" t="str">
        <f t="shared" ca="1" si="83"/>
        <v/>
      </c>
      <c r="J735" s="349" t="str">
        <f t="shared" ca="1" si="76"/>
        <v/>
      </c>
    </row>
    <row r="736" spans="1:10">
      <c r="A736" s="185">
        <v>557</v>
      </c>
      <c r="B736" s="190">
        <f t="shared" ca="1" si="77"/>
        <v>8.9813564732625778E-2</v>
      </c>
      <c r="C736" s="190">
        <f t="shared" ca="1" si="78"/>
        <v>5.1271620573963492E-2</v>
      </c>
      <c r="D736" s="190">
        <f t="shared" ca="1" si="79"/>
        <v>2.7982767195518246E-2</v>
      </c>
      <c r="E736" s="190">
        <f t="shared" ca="1" si="80"/>
        <v>1.3336891837090199E-2</v>
      </c>
      <c r="F736" s="189" t="b">
        <f t="shared" ca="1" si="81"/>
        <v>1</v>
      </c>
      <c r="G736" s="188">
        <f ca="1">IF(F736,IFERROR(((('Data Schema'!$C$3*(1+B736)^1)*((1-$I$4-$I$5+E736)*(1-$I$10)+$I$6-$I$11)-('Data Schema'!$C$3*(1+B736)^1-'Data Schema'!$C$3)*$I$12)/(1+C736)^1+(('Data Schema'!$C$3*(1+B736)^2)*((1-$I$4-$I$5+E736)*(1-$I$10)+$I$6-$I$11)-('Data Schema'!$C$3*(1+B736)^2-'Data Schema'!$C$3*(1+B736)^1)*$I$12)/(1+C736)^2+(('Data Schema'!$C$3*(1+B736)^3)*((1-$I$4-$I$5+E736)*(1-$I$10)+$I$6-$I$11)-('Data Schema'!$C$3*(1+B736)^3-'Data Schema'!$C$3*(1+B736)^2)*$I$12)/(1+C736)^3+(('Data Schema'!$C$3*(1+B736)^4)*((1-$I$4-$I$5+E736)*(1-$I$10)+$I$6-$I$11)-('Data Schema'!$C$3*(1+B736)^4-'Data Schema'!$C$3*(1+B736)^3)*$I$12)/(1+C736)^4+(('Data Schema'!$C$3*(1+B736)^5)*((1-$I$4-$I$5+E736)*(1-$I$10)+$I$6-$I$11)-('Data Schema'!$C$3*(1+B736)^5-'Data Schema'!$C$3*(1+B736)^4)*$I$12)/(1+C736)^5+((('Data Schema'!$C$3*(1+B736)^5)*((1-$I$4-$I$5+E736)*(1-$I$10)+$I$6-$I$11)-('Data Schema'!$C$3*(1+B736)^5-'Data Schema'!$C$3*(1+B736)^4)*$I$12)*(1+D736)/(C736-D736))/(1+C736)^5-'Data Schema'!$C$31+'Data Schema'!$C$21)/'Data Schema'!$B$17,0),"INVALID")</f>
        <v>177.90404781278727</v>
      </c>
      <c r="H736" s="189" t="b">
        <f t="shared" ca="1" si="82"/>
        <v>1</v>
      </c>
      <c r="I736" s="188">
        <f t="shared" ca="1" si="83"/>
        <v>177.90404781278727</v>
      </c>
      <c r="J736" s="349">
        <f t="shared" ca="1" si="76"/>
        <v>177.90404781278727</v>
      </c>
    </row>
    <row r="737" spans="1:10">
      <c r="A737" s="184">
        <v>558</v>
      </c>
      <c r="B737" s="190">
        <f t="shared" ca="1" si="77"/>
        <v>7.4111240857577879E-2</v>
      </c>
      <c r="C737" s="190">
        <f t="shared" ca="1" si="78"/>
        <v>5.2947252286288944E-2</v>
      </c>
      <c r="D737" s="190">
        <f t="shared" ca="1" si="79"/>
        <v>1.8131873643036225E-2</v>
      </c>
      <c r="E737" s="190">
        <f t="shared" ca="1" si="80"/>
        <v>-2.1050356385300683E-2</v>
      </c>
      <c r="F737" s="189" t="b">
        <f t="shared" ca="1" si="81"/>
        <v>1</v>
      </c>
      <c r="G737" s="188">
        <f ca="1">IF(F737,IFERROR(((('Data Schema'!$C$3*(1+B737)^1)*((1-$I$4-$I$5+E737)*(1-$I$10)+$I$6-$I$11)-('Data Schema'!$C$3*(1+B737)^1-'Data Schema'!$C$3)*$I$12)/(1+C737)^1+(('Data Schema'!$C$3*(1+B737)^2)*((1-$I$4-$I$5+E737)*(1-$I$10)+$I$6-$I$11)-('Data Schema'!$C$3*(1+B737)^2-'Data Schema'!$C$3*(1+B737)^1)*$I$12)/(1+C737)^2+(('Data Schema'!$C$3*(1+B737)^3)*((1-$I$4-$I$5+E737)*(1-$I$10)+$I$6-$I$11)-('Data Schema'!$C$3*(1+B737)^3-'Data Schema'!$C$3*(1+B737)^2)*$I$12)/(1+C737)^3+(('Data Schema'!$C$3*(1+B737)^4)*((1-$I$4-$I$5+E737)*(1-$I$10)+$I$6-$I$11)-('Data Schema'!$C$3*(1+B737)^4-'Data Schema'!$C$3*(1+B737)^3)*$I$12)/(1+C737)^4+(('Data Schema'!$C$3*(1+B737)^5)*((1-$I$4-$I$5+E737)*(1-$I$10)+$I$6-$I$11)-('Data Schema'!$C$3*(1+B737)^5-'Data Schema'!$C$3*(1+B737)^4)*$I$12)/(1+C737)^5+((('Data Schema'!$C$3*(1+B737)^5)*((1-$I$4-$I$5+E737)*(1-$I$10)+$I$6-$I$11)-('Data Schema'!$C$3*(1+B737)^5-'Data Schema'!$C$3*(1+B737)^4)*$I$12)*(1+D737)/(C737-D737))/(1+C737)^5-'Data Schema'!$C$31+'Data Schema'!$C$21)/'Data Schema'!$B$17,0),"INVALID")</f>
        <v>26.686691010879507</v>
      </c>
      <c r="H737" s="189" t="b">
        <f t="shared" ca="1" si="82"/>
        <v>1</v>
      </c>
      <c r="I737" s="188">
        <f t="shared" ca="1" si="83"/>
        <v>26.686691010879507</v>
      </c>
      <c r="J737" s="349">
        <f t="shared" ca="1" si="76"/>
        <v>26.686691010879507</v>
      </c>
    </row>
    <row r="738" spans="1:10">
      <c r="A738" s="185">
        <v>559</v>
      </c>
      <c r="B738" s="190">
        <f t="shared" ca="1" si="77"/>
        <v>0.11575223075970698</v>
      </c>
      <c r="C738" s="190">
        <f t="shared" ca="1" si="78"/>
        <v>7.1210700886487552E-2</v>
      </c>
      <c r="D738" s="190">
        <f t="shared" ca="1" si="79"/>
        <v>1.7609052475359363E-2</v>
      </c>
      <c r="E738" s="190">
        <f t="shared" ca="1" si="80"/>
        <v>1.5520617688986967E-2</v>
      </c>
      <c r="F738" s="189" t="b">
        <f t="shared" ca="1" si="81"/>
        <v>1</v>
      </c>
      <c r="G738" s="188">
        <f ca="1">IF(F738,IFERROR(((('Data Schema'!$C$3*(1+B738)^1)*((1-$I$4-$I$5+E738)*(1-$I$10)+$I$6-$I$11)-('Data Schema'!$C$3*(1+B738)^1-'Data Schema'!$C$3)*$I$12)/(1+C738)^1+(('Data Schema'!$C$3*(1+B738)^2)*((1-$I$4-$I$5+E738)*(1-$I$10)+$I$6-$I$11)-('Data Schema'!$C$3*(1+B738)^2-'Data Schema'!$C$3*(1+B738)^1)*$I$12)/(1+C738)^2+(('Data Schema'!$C$3*(1+B738)^3)*((1-$I$4-$I$5+E738)*(1-$I$10)+$I$6-$I$11)-('Data Schema'!$C$3*(1+B738)^3-'Data Schema'!$C$3*(1+B738)^2)*$I$12)/(1+C738)^3+(('Data Schema'!$C$3*(1+B738)^4)*((1-$I$4-$I$5+E738)*(1-$I$10)+$I$6-$I$11)-('Data Schema'!$C$3*(1+B738)^4-'Data Schema'!$C$3*(1+B738)^3)*$I$12)/(1+C738)^4+(('Data Schema'!$C$3*(1+B738)^5)*((1-$I$4-$I$5+E738)*(1-$I$10)+$I$6-$I$11)-('Data Schema'!$C$3*(1+B738)^5-'Data Schema'!$C$3*(1+B738)^4)*$I$12)/(1+C738)^5+((('Data Schema'!$C$3*(1+B738)^5)*((1-$I$4-$I$5+E738)*(1-$I$10)+$I$6-$I$11)-('Data Schema'!$C$3*(1+B738)^5-'Data Schema'!$C$3*(1+B738)^4)*$I$12)*(1+D738)/(C738-D738))/(1+C738)^5-'Data Schema'!$C$31+'Data Schema'!$C$21)/'Data Schema'!$B$17,0),"INVALID")</f>
        <v>87.669836858143356</v>
      </c>
      <c r="H738" s="189" t="b">
        <f t="shared" ca="1" si="82"/>
        <v>1</v>
      </c>
      <c r="I738" s="188">
        <f t="shared" ca="1" si="83"/>
        <v>87.669836858143356</v>
      </c>
      <c r="J738" s="349">
        <f t="shared" ca="1" si="76"/>
        <v>87.669836858143356</v>
      </c>
    </row>
    <row r="739" spans="1:10">
      <c r="A739" s="184">
        <v>560</v>
      </c>
      <c r="B739" s="190">
        <f t="shared" ca="1" si="77"/>
        <v>9.0901919804431047E-2</v>
      </c>
      <c r="C739" s="190">
        <f t="shared" ca="1" si="78"/>
        <v>6.2192299201798321E-2</v>
      </c>
      <c r="D739" s="190">
        <f t="shared" ca="1" si="79"/>
        <v>2.7142967483618309E-2</v>
      </c>
      <c r="E739" s="190">
        <f t="shared" ca="1" si="80"/>
        <v>-4.8539184846836574E-3</v>
      </c>
      <c r="F739" s="189" t="b">
        <f t="shared" ca="1" si="81"/>
        <v>1</v>
      </c>
      <c r="G739" s="188">
        <f ca="1">IF(F739,IFERROR(((('Data Schema'!$C$3*(1+B739)^1)*((1-$I$4-$I$5+E739)*(1-$I$10)+$I$6-$I$11)-('Data Schema'!$C$3*(1+B739)^1-'Data Schema'!$C$3)*$I$12)/(1+C739)^1+(('Data Schema'!$C$3*(1+B739)^2)*((1-$I$4-$I$5+E739)*(1-$I$10)+$I$6-$I$11)-('Data Schema'!$C$3*(1+B739)^2-'Data Schema'!$C$3*(1+B739)^1)*$I$12)/(1+C739)^2+(('Data Schema'!$C$3*(1+B739)^3)*((1-$I$4-$I$5+E739)*(1-$I$10)+$I$6-$I$11)-('Data Schema'!$C$3*(1+B739)^3-'Data Schema'!$C$3*(1+B739)^2)*$I$12)/(1+C739)^3+(('Data Schema'!$C$3*(1+B739)^4)*((1-$I$4-$I$5+E739)*(1-$I$10)+$I$6-$I$11)-('Data Schema'!$C$3*(1+B739)^4-'Data Schema'!$C$3*(1+B739)^3)*$I$12)/(1+C739)^4+(('Data Schema'!$C$3*(1+B739)^5)*((1-$I$4-$I$5+E739)*(1-$I$10)+$I$6-$I$11)-('Data Schema'!$C$3*(1+B739)^5-'Data Schema'!$C$3*(1+B739)^4)*$I$12)/(1+C739)^5+((('Data Schema'!$C$3*(1+B739)^5)*((1-$I$4-$I$5+E739)*(1-$I$10)+$I$6-$I$11)-('Data Schema'!$C$3*(1+B739)^5-'Data Schema'!$C$3*(1+B739)^4)*$I$12)*(1+D739)/(C739-D739))/(1+C739)^5-'Data Schema'!$C$31+'Data Schema'!$C$21)/'Data Schema'!$B$17,0),"INVALID")</f>
        <v>68.870112017604271</v>
      </c>
      <c r="H739" s="189" t="b">
        <f t="shared" ca="1" si="82"/>
        <v>1</v>
      </c>
      <c r="I739" s="188">
        <f t="shared" ca="1" si="83"/>
        <v>68.870112017604271</v>
      </c>
      <c r="J739" s="349">
        <f t="shared" ca="1" si="76"/>
        <v>68.870112017604271</v>
      </c>
    </row>
    <row r="740" spans="1:10">
      <c r="A740" s="185">
        <v>561</v>
      </c>
      <c r="B740" s="190">
        <f t="shared" ca="1" si="77"/>
        <v>0.11920238365795395</v>
      </c>
      <c r="C740" s="190">
        <f t="shared" ca="1" si="78"/>
        <v>4.9100319184935501E-2</v>
      </c>
      <c r="D740" s="190">
        <f t="shared" ca="1" si="79"/>
        <v>2.681867119523422E-2</v>
      </c>
      <c r="E740" s="190">
        <f t="shared" ca="1" si="80"/>
        <v>-1.9084157151243949E-2</v>
      </c>
      <c r="F740" s="189" t="b">
        <f t="shared" ca="1" si="81"/>
        <v>1</v>
      </c>
      <c r="G740" s="188">
        <f ca="1">IF(F740,IFERROR(((('Data Schema'!$C$3*(1+B740)^1)*((1-$I$4-$I$5+E740)*(1-$I$10)+$I$6-$I$11)-('Data Schema'!$C$3*(1+B740)^1-'Data Schema'!$C$3)*$I$12)/(1+C740)^1+(('Data Schema'!$C$3*(1+B740)^2)*((1-$I$4-$I$5+E740)*(1-$I$10)+$I$6-$I$11)-('Data Schema'!$C$3*(1+B740)^2-'Data Schema'!$C$3*(1+B740)^1)*$I$12)/(1+C740)^2+(('Data Schema'!$C$3*(1+B740)^3)*((1-$I$4-$I$5+E740)*(1-$I$10)+$I$6-$I$11)-('Data Schema'!$C$3*(1+B740)^3-'Data Schema'!$C$3*(1+B740)^2)*$I$12)/(1+C740)^3+(('Data Schema'!$C$3*(1+B740)^4)*((1-$I$4-$I$5+E740)*(1-$I$10)+$I$6-$I$11)-('Data Schema'!$C$3*(1+B740)^4-'Data Schema'!$C$3*(1+B740)^3)*$I$12)/(1+C740)^4+(('Data Schema'!$C$3*(1+B740)^5)*((1-$I$4-$I$5+E740)*(1-$I$10)+$I$6-$I$11)-('Data Schema'!$C$3*(1+B740)^5-'Data Schema'!$C$3*(1+B740)^4)*$I$12)/(1+C740)^5+((('Data Schema'!$C$3*(1+B740)^5)*((1-$I$4-$I$5+E740)*(1-$I$10)+$I$6-$I$11)-('Data Schema'!$C$3*(1+B740)^5-'Data Schema'!$C$3*(1+B740)^4)*$I$12)*(1+D740)/(C740-D740))/(1+C740)^5-'Data Schema'!$C$31+'Data Schema'!$C$21)/'Data Schema'!$B$17,0),"INVALID")</f>
        <v>60.009618766156819</v>
      </c>
      <c r="H740" s="189" t="b">
        <f t="shared" ca="1" si="82"/>
        <v>1</v>
      </c>
      <c r="I740" s="188">
        <f t="shared" ca="1" si="83"/>
        <v>60.009618766156819</v>
      </c>
      <c r="J740" s="349">
        <f t="shared" ca="1" si="76"/>
        <v>60.009618766156819</v>
      </c>
    </row>
    <row r="741" spans="1:10">
      <c r="A741" s="184">
        <v>562</v>
      </c>
      <c r="B741" s="190">
        <f t="shared" ca="1" si="77"/>
        <v>0.11986278675154641</v>
      </c>
      <c r="C741" s="190">
        <f t="shared" ca="1" si="78"/>
        <v>7.4269148680199459E-2</v>
      </c>
      <c r="D741" s="190">
        <f t="shared" ca="1" si="79"/>
        <v>2.3540149564932271E-2</v>
      </c>
      <c r="E741" s="190">
        <f t="shared" ca="1" si="80"/>
        <v>-1.6431493955484933E-2</v>
      </c>
      <c r="F741" s="189" t="b">
        <f t="shared" ca="1" si="81"/>
        <v>1</v>
      </c>
      <c r="G741" s="188">
        <f ca="1">IF(F741,IFERROR(((('Data Schema'!$C$3*(1+B741)^1)*((1-$I$4-$I$5+E741)*(1-$I$10)+$I$6-$I$11)-('Data Schema'!$C$3*(1+B741)^1-'Data Schema'!$C$3)*$I$12)/(1+C741)^1+(('Data Schema'!$C$3*(1+B741)^2)*((1-$I$4-$I$5+E741)*(1-$I$10)+$I$6-$I$11)-('Data Schema'!$C$3*(1+B741)^2-'Data Schema'!$C$3*(1+B741)^1)*$I$12)/(1+C741)^2+(('Data Schema'!$C$3*(1+B741)^3)*((1-$I$4-$I$5+E741)*(1-$I$10)+$I$6-$I$11)-('Data Schema'!$C$3*(1+B741)^3-'Data Schema'!$C$3*(1+B741)^2)*$I$12)/(1+C741)^3+(('Data Schema'!$C$3*(1+B741)^4)*((1-$I$4-$I$5+E741)*(1-$I$10)+$I$6-$I$11)-('Data Schema'!$C$3*(1+B741)^4-'Data Schema'!$C$3*(1+B741)^3)*$I$12)/(1+C741)^4+(('Data Schema'!$C$3*(1+B741)^5)*((1-$I$4-$I$5+E741)*(1-$I$10)+$I$6-$I$11)-('Data Schema'!$C$3*(1+B741)^5-'Data Schema'!$C$3*(1+B741)^4)*$I$12)/(1+C741)^5+((('Data Schema'!$C$3*(1+B741)^5)*((1-$I$4-$I$5+E741)*(1-$I$10)+$I$6-$I$11)-('Data Schema'!$C$3*(1+B741)^5-'Data Schema'!$C$3*(1+B741)^4)*$I$12)*(1+D741)/(C741-D741))/(1+C741)^5-'Data Schema'!$C$31+'Data Schema'!$C$21)/'Data Schema'!$B$17,0),"INVALID")</f>
        <v>27.654300928881515</v>
      </c>
      <c r="H741" s="189" t="b">
        <f t="shared" ca="1" si="82"/>
        <v>1</v>
      </c>
      <c r="I741" s="188">
        <f t="shared" ca="1" si="83"/>
        <v>27.654300928881515</v>
      </c>
      <c r="J741" s="349">
        <f t="shared" ca="1" si="76"/>
        <v>27.654300928881515</v>
      </c>
    </row>
    <row r="742" spans="1:10">
      <c r="A742" s="185">
        <v>563</v>
      </c>
      <c r="B742" s="190">
        <f t="shared" ca="1" si="77"/>
        <v>8.6703436504110068E-2</v>
      </c>
      <c r="C742" s="190">
        <f t="shared" ca="1" si="78"/>
        <v>6.0770678207942228E-2</v>
      </c>
      <c r="D742" s="190">
        <f t="shared" ca="1" si="79"/>
        <v>2.0352150055633209E-2</v>
      </c>
      <c r="E742" s="190">
        <f t="shared" ca="1" si="80"/>
        <v>-3.322340263049034E-2</v>
      </c>
      <c r="F742" s="189" t="b">
        <f t="shared" ca="1" si="81"/>
        <v>1</v>
      </c>
      <c r="G742" s="188">
        <f ca="1">IF(F742,IFERROR(((('Data Schema'!$C$3*(1+B742)^1)*((1-$I$4-$I$5+E742)*(1-$I$10)+$I$6-$I$11)-('Data Schema'!$C$3*(1+B742)^1-'Data Schema'!$C$3)*$I$12)/(1+C742)^1+(('Data Schema'!$C$3*(1+B742)^2)*((1-$I$4-$I$5+E742)*(1-$I$10)+$I$6-$I$11)-('Data Schema'!$C$3*(1+B742)^2-'Data Schema'!$C$3*(1+B742)^1)*$I$12)/(1+C742)^2+(('Data Schema'!$C$3*(1+B742)^3)*((1-$I$4-$I$5+E742)*(1-$I$10)+$I$6-$I$11)-('Data Schema'!$C$3*(1+B742)^3-'Data Schema'!$C$3*(1+B742)^2)*$I$12)/(1+C742)^3+(('Data Schema'!$C$3*(1+B742)^4)*((1-$I$4-$I$5+E742)*(1-$I$10)+$I$6-$I$11)-('Data Schema'!$C$3*(1+B742)^4-'Data Schema'!$C$3*(1+B742)^3)*$I$12)/(1+C742)^4+(('Data Schema'!$C$3*(1+B742)^5)*((1-$I$4-$I$5+E742)*(1-$I$10)+$I$6-$I$11)-('Data Schema'!$C$3*(1+B742)^5-'Data Schema'!$C$3*(1+B742)^4)*$I$12)/(1+C742)^5+((('Data Schema'!$C$3*(1+B742)^5)*((1-$I$4-$I$5+E742)*(1-$I$10)+$I$6-$I$11)-('Data Schema'!$C$3*(1+B742)^5-'Data Schema'!$C$3*(1+B742)^4)*$I$12)*(1+D742)/(C742-D742))/(1+C742)^5-'Data Schema'!$C$31+'Data Schema'!$C$21)/'Data Schema'!$B$17,0),"INVALID")</f>
        <v>-4.8087150721990559</v>
      </c>
      <c r="H742" s="189" t="b">
        <f t="shared" ca="1" si="82"/>
        <v>0</v>
      </c>
      <c r="I742" s="188" t="str">
        <f t="shared" ca="1" si="83"/>
        <v/>
      </c>
      <c r="J742" s="349" t="str">
        <f t="shared" ca="1" si="76"/>
        <v/>
      </c>
    </row>
    <row r="743" spans="1:10">
      <c r="A743" s="184">
        <v>564</v>
      </c>
      <c r="B743" s="190">
        <f t="shared" ca="1" si="77"/>
        <v>0.11112590954408515</v>
      </c>
      <c r="C743" s="190">
        <f t="shared" ca="1" si="78"/>
        <v>3.8404590424255723E-2</v>
      </c>
      <c r="D743" s="190">
        <f t="shared" ca="1" si="79"/>
        <v>2.4980844730701762E-2</v>
      </c>
      <c r="E743" s="190">
        <f t="shared" ca="1" si="80"/>
        <v>1.2701763013640843E-2</v>
      </c>
      <c r="F743" s="189" t="b">
        <f t="shared" ca="1" si="81"/>
        <v>0</v>
      </c>
      <c r="G743" s="188" t="str">
        <f ca="1">IF(F743,IFERROR(((('Data Schema'!$C$3*(1+B743)^1)*((1-$I$4-$I$5+E743)*(1-$I$10)+$I$6-$I$11)-('Data Schema'!$C$3*(1+B743)^1-'Data Schema'!$C$3)*$I$12)/(1+C743)^1+(('Data Schema'!$C$3*(1+B743)^2)*((1-$I$4-$I$5+E743)*(1-$I$10)+$I$6-$I$11)-('Data Schema'!$C$3*(1+B743)^2-'Data Schema'!$C$3*(1+B743)^1)*$I$12)/(1+C743)^2+(('Data Schema'!$C$3*(1+B743)^3)*((1-$I$4-$I$5+E743)*(1-$I$10)+$I$6-$I$11)-('Data Schema'!$C$3*(1+B743)^3-'Data Schema'!$C$3*(1+B743)^2)*$I$12)/(1+C743)^3+(('Data Schema'!$C$3*(1+B743)^4)*((1-$I$4-$I$5+E743)*(1-$I$10)+$I$6-$I$11)-('Data Schema'!$C$3*(1+B743)^4-'Data Schema'!$C$3*(1+B743)^3)*$I$12)/(1+C743)^4+(('Data Schema'!$C$3*(1+B743)^5)*((1-$I$4-$I$5+E743)*(1-$I$10)+$I$6-$I$11)-('Data Schema'!$C$3*(1+B743)^5-'Data Schema'!$C$3*(1+B743)^4)*$I$12)/(1+C743)^5+((('Data Schema'!$C$3*(1+B743)^5)*((1-$I$4-$I$5+E743)*(1-$I$10)+$I$6-$I$11)-('Data Schema'!$C$3*(1+B743)^5-'Data Schema'!$C$3*(1+B743)^4)*$I$12)*(1+D743)/(C743-D743))/(1+C743)^5-'Data Schema'!$C$31+'Data Schema'!$C$21)/'Data Schema'!$B$17,0),"INVALID")</f>
        <v>INVALID</v>
      </c>
      <c r="H743" s="189" t="b">
        <f t="shared" ca="1" si="82"/>
        <v>0</v>
      </c>
      <c r="I743" s="188" t="str">
        <f t="shared" ca="1" si="83"/>
        <v/>
      </c>
      <c r="J743" s="349" t="str">
        <f t="shared" ca="1" si="76"/>
        <v/>
      </c>
    </row>
    <row r="744" spans="1:10">
      <c r="A744" s="185">
        <v>565</v>
      </c>
      <c r="B744" s="190">
        <f t="shared" ca="1" si="77"/>
        <v>4.6767494890407095E-2</v>
      </c>
      <c r="C744" s="190">
        <f t="shared" ca="1" si="78"/>
        <v>4.9918524986008725E-2</v>
      </c>
      <c r="D744" s="190">
        <f t="shared" ca="1" si="79"/>
        <v>2.8472183282114667E-2</v>
      </c>
      <c r="E744" s="190">
        <f t="shared" ca="1" si="80"/>
        <v>-1.9202083690034878E-2</v>
      </c>
      <c r="F744" s="189" t="b">
        <f t="shared" ca="1" si="81"/>
        <v>1</v>
      </c>
      <c r="G744" s="188">
        <f ca="1">IF(F744,IFERROR(((('Data Schema'!$C$3*(1+B744)^1)*((1-$I$4-$I$5+E744)*(1-$I$10)+$I$6-$I$11)-('Data Schema'!$C$3*(1+B744)^1-'Data Schema'!$C$3)*$I$12)/(1+C744)^1+(('Data Schema'!$C$3*(1+B744)^2)*((1-$I$4-$I$5+E744)*(1-$I$10)+$I$6-$I$11)-('Data Schema'!$C$3*(1+B744)^2-'Data Schema'!$C$3*(1+B744)^1)*$I$12)/(1+C744)^2+(('Data Schema'!$C$3*(1+B744)^3)*((1-$I$4-$I$5+E744)*(1-$I$10)+$I$6-$I$11)-('Data Schema'!$C$3*(1+B744)^3-'Data Schema'!$C$3*(1+B744)^2)*$I$12)/(1+C744)^3+(('Data Schema'!$C$3*(1+B744)^4)*((1-$I$4-$I$5+E744)*(1-$I$10)+$I$6-$I$11)-('Data Schema'!$C$3*(1+B744)^4-'Data Schema'!$C$3*(1+B744)^3)*$I$12)/(1+C744)^4+(('Data Schema'!$C$3*(1+B744)^5)*((1-$I$4-$I$5+E744)*(1-$I$10)+$I$6-$I$11)-('Data Schema'!$C$3*(1+B744)^5-'Data Schema'!$C$3*(1+B744)^4)*$I$12)/(1+C744)^5+((('Data Schema'!$C$3*(1+B744)^5)*((1-$I$4-$I$5+E744)*(1-$I$10)+$I$6-$I$11)-('Data Schema'!$C$3*(1+B744)^5-'Data Schema'!$C$3*(1+B744)^4)*$I$12)*(1+D744)/(C744-D744))/(1+C744)^5-'Data Schema'!$C$31+'Data Schema'!$C$21)/'Data Schema'!$B$17,0),"INVALID")</f>
        <v>48.446602954520962</v>
      </c>
      <c r="H744" s="189" t="b">
        <f t="shared" ca="1" si="82"/>
        <v>1</v>
      </c>
      <c r="I744" s="188">
        <f t="shared" ca="1" si="83"/>
        <v>48.446602954520962</v>
      </c>
      <c r="J744" s="349">
        <f t="shared" ca="1" si="76"/>
        <v>48.446602954520962</v>
      </c>
    </row>
    <row r="745" spans="1:10">
      <c r="A745" s="184">
        <v>566</v>
      </c>
      <c r="B745" s="190">
        <f t="shared" ca="1" si="77"/>
        <v>0.10079915877088044</v>
      </c>
      <c r="C745" s="190">
        <f t="shared" ca="1" si="78"/>
        <v>6.5707187415593185E-2</v>
      </c>
      <c r="D745" s="190">
        <f t="shared" ca="1" si="79"/>
        <v>2.4805744939485373E-2</v>
      </c>
      <c r="E745" s="190">
        <f t="shared" ca="1" si="80"/>
        <v>6.0409709138961855E-2</v>
      </c>
      <c r="F745" s="189" t="b">
        <f t="shared" ca="1" si="81"/>
        <v>1</v>
      </c>
      <c r="G745" s="188">
        <f ca="1">IF(F745,IFERROR(((('Data Schema'!$C$3*(1+B745)^1)*((1-$I$4-$I$5+E745)*(1-$I$10)+$I$6-$I$11)-('Data Schema'!$C$3*(1+B745)^1-'Data Schema'!$C$3)*$I$12)/(1+C745)^1+(('Data Schema'!$C$3*(1+B745)^2)*((1-$I$4-$I$5+E745)*(1-$I$10)+$I$6-$I$11)-('Data Schema'!$C$3*(1+B745)^2-'Data Schema'!$C$3*(1+B745)^1)*$I$12)/(1+C745)^2+(('Data Schema'!$C$3*(1+B745)^3)*((1-$I$4-$I$5+E745)*(1-$I$10)+$I$6-$I$11)-('Data Schema'!$C$3*(1+B745)^3-'Data Schema'!$C$3*(1+B745)^2)*$I$12)/(1+C745)^3+(('Data Schema'!$C$3*(1+B745)^4)*((1-$I$4-$I$5+E745)*(1-$I$10)+$I$6-$I$11)-('Data Schema'!$C$3*(1+B745)^4-'Data Schema'!$C$3*(1+B745)^3)*$I$12)/(1+C745)^4+(('Data Schema'!$C$3*(1+B745)^5)*((1-$I$4-$I$5+E745)*(1-$I$10)+$I$6-$I$11)-('Data Schema'!$C$3*(1+B745)^5-'Data Schema'!$C$3*(1+B745)^4)*$I$12)/(1+C745)^5+((('Data Schema'!$C$3*(1+B745)^5)*((1-$I$4-$I$5+E745)*(1-$I$10)+$I$6-$I$11)-('Data Schema'!$C$3*(1+B745)^5-'Data Schema'!$C$3*(1+B745)^4)*$I$12)*(1+D745)/(C745-D745))/(1+C745)^5-'Data Schema'!$C$31+'Data Schema'!$C$21)/'Data Schema'!$B$17,0),"INVALID")</f>
        <v>212.89826900923941</v>
      </c>
      <c r="H745" s="189" t="b">
        <f t="shared" ca="1" si="82"/>
        <v>1</v>
      </c>
      <c r="I745" s="188">
        <f t="shared" ca="1" si="83"/>
        <v>212.89826900923941</v>
      </c>
      <c r="J745" s="349">
        <f t="shared" ca="1" si="76"/>
        <v>212.89826900923941</v>
      </c>
    </row>
    <row r="746" spans="1:10">
      <c r="A746" s="185">
        <v>567</v>
      </c>
      <c r="B746" s="190">
        <f t="shared" ca="1" si="77"/>
        <v>9.6044871949488742E-2</v>
      </c>
      <c r="C746" s="190">
        <f t="shared" ca="1" si="78"/>
        <v>5.552690122178229E-2</v>
      </c>
      <c r="D746" s="190">
        <f t="shared" ca="1" si="79"/>
        <v>2.4335021620268942E-2</v>
      </c>
      <c r="E746" s="190">
        <f t="shared" ca="1" si="80"/>
        <v>2.8085600964195163E-2</v>
      </c>
      <c r="F746" s="189" t="b">
        <f t="shared" ca="1" si="81"/>
        <v>1</v>
      </c>
      <c r="G746" s="188">
        <f ca="1">IF(F746,IFERROR(((('Data Schema'!$C$3*(1+B746)^1)*((1-$I$4-$I$5+E746)*(1-$I$10)+$I$6-$I$11)-('Data Schema'!$C$3*(1+B746)^1-'Data Schema'!$C$3)*$I$12)/(1+C746)^1+(('Data Schema'!$C$3*(1+B746)^2)*((1-$I$4-$I$5+E746)*(1-$I$10)+$I$6-$I$11)-('Data Schema'!$C$3*(1+B746)^2-'Data Schema'!$C$3*(1+B746)^1)*$I$12)/(1+C746)^2+(('Data Schema'!$C$3*(1+B746)^3)*((1-$I$4-$I$5+E746)*(1-$I$10)+$I$6-$I$11)-('Data Schema'!$C$3*(1+B746)^3-'Data Schema'!$C$3*(1+B746)^2)*$I$12)/(1+C746)^3+(('Data Schema'!$C$3*(1+B746)^4)*((1-$I$4-$I$5+E746)*(1-$I$10)+$I$6-$I$11)-('Data Schema'!$C$3*(1+B746)^4-'Data Schema'!$C$3*(1+B746)^3)*$I$12)/(1+C746)^4+(('Data Schema'!$C$3*(1+B746)^5)*((1-$I$4-$I$5+E746)*(1-$I$10)+$I$6-$I$11)-('Data Schema'!$C$3*(1+B746)^5-'Data Schema'!$C$3*(1+B746)^4)*$I$12)/(1+C746)^5+((('Data Schema'!$C$3*(1+B746)^5)*((1-$I$4-$I$5+E746)*(1-$I$10)+$I$6-$I$11)-('Data Schema'!$C$3*(1+B746)^5-'Data Schema'!$C$3*(1+B746)^4)*$I$12)*(1+D746)/(C746-D746))/(1+C746)^5-'Data Schema'!$C$31+'Data Schema'!$C$21)/'Data Schema'!$B$17,0),"INVALID")</f>
        <v>180.28723600750729</v>
      </c>
      <c r="H746" s="189" t="b">
        <f t="shared" ca="1" si="82"/>
        <v>1</v>
      </c>
      <c r="I746" s="188">
        <f t="shared" ca="1" si="83"/>
        <v>180.28723600750729</v>
      </c>
      <c r="J746" s="349">
        <f t="shared" ca="1" si="76"/>
        <v>180.28723600750729</v>
      </c>
    </row>
    <row r="747" spans="1:10">
      <c r="A747" s="184">
        <v>568</v>
      </c>
      <c r="B747" s="190">
        <f t="shared" ca="1" si="77"/>
        <v>9.4443987949230895E-2</v>
      </c>
      <c r="C747" s="190">
        <f t="shared" ca="1" si="78"/>
        <v>6.0306402322472197E-2</v>
      </c>
      <c r="D747" s="190">
        <f t="shared" ca="1" si="79"/>
        <v>2.4012999559498441E-2</v>
      </c>
      <c r="E747" s="190">
        <f t="shared" ca="1" si="80"/>
        <v>5.3102495109304211E-2</v>
      </c>
      <c r="F747" s="189" t="b">
        <f t="shared" ca="1" si="81"/>
        <v>1</v>
      </c>
      <c r="G747" s="188">
        <f ca="1">IF(F747,IFERROR(((('Data Schema'!$C$3*(1+B747)^1)*((1-$I$4-$I$5+E747)*(1-$I$10)+$I$6-$I$11)-('Data Schema'!$C$3*(1+B747)^1-'Data Schema'!$C$3)*$I$12)/(1+C747)^1+(('Data Schema'!$C$3*(1+B747)^2)*((1-$I$4-$I$5+E747)*(1-$I$10)+$I$6-$I$11)-('Data Schema'!$C$3*(1+B747)^2-'Data Schema'!$C$3*(1+B747)^1)*$I$12)/(1+C747)^2+(('Data Schema'!$C$3*(1+B747)^3)*((1-$I$4-$I$5+E747)*(1-$I$10)+$I$6-$I$11)-('Data Schema'!$C$3*(1+B747)^3-'Data Schema'!$C$3*(1+B747)^2)*$I$12)/(1+C747)^3+(('Data Schema'!$C$3*(1+B747)^4)*((1-$I$4-$I$5+E747)*(1-$I$10)+$I$6-$I$11)-('Data Schema'!$C$3*(1+B747)^4-'Data Schema'!$C$3*(1+B747)^3)*$I$12)/(1+C747)^4+(('Data Schema'!$C$3*(1+B747)^5)*((1-$I$4-$I$5+E747)*(1-$I$10)+$I$6-$I$11)-('Data Schema'!$C$3*(1+B747)^5-'Data Schema'!$C$3*(1+B747)^4)*$I$12)/(1+C747)^5+((('Data Schema'!$C$3*(1+B747)^5)*((1-$I$4-$I$5+E747)*(1-$I$10)+$I$6-$I$11)-('Data Schema'!$C$3*(1+B747)^5-'Data Schema'!$C$3*(1+B747)^4)*$I$12)*(1+D747)/(C747-D747))/(1+C747)^5-'Data Schema'!$C$31+'Data Schema'!$C$21)/'Data Schema'!$B$17,0),"INVALID")</f>
        <v>217.01569090325376</v>
      </c>
      <c r="H747" s="189" t="b">
        <f t="shared" ca="1" si="82"/>
        <v>1</v>
      </c>
      <c r="I747" s="188">
        <f t="shared" ca="1" si="83"/>
        <v>217.01569090325376</v>
      </c>
      <c r="J747" s="349">
        <f t="shared" ca="1" si="76"/>
        <v>217.01569090325376</v>
      </c>
    </row>
    <row r="748" spans="1:10">
      <c r="A748" s="185">
        <v>569</v>
      </c>
      <c r="B748" s="190">
        <f t="shared" ca="1" si="77"/>
        <v>0.10878536838927702</v>
      </c>
      <c r="C748" s="190">
        <f t="shared" ca="1" si="78"/>
        <v>7.7243264904583026E-2</v>
      </c>
      <c r="D748" s="190">
        <f t="shared" ca="1" si="79"/>
        <v>1.6150799776368803E-2</v>
      </c>
      <c r="E748" s="190">
        <f t="shared" ca="1" si="80"/>
        <v>-1.224122159175366E-3</v>
      </c>
      <c r="F748" s="189" t="b">
        <f t="shared" ca="1" si="81"/>
        <v>1</v>
      </c>
      <c r="G748" s="188">
        <f ca="1">IF(F748,IFERROR(((('Data Schema'!$C$3*(1+B748)^1)*((1-$I$4-$I$5+E748)*(1-$I$10)+$I$6-$I$11)-('Data Schema'!$C$3*(1+B748)^1-'Data Schema'!$C$3)*$I$12)/(1+C748)^1+(('Data Schema'!$C$3*(1+B748)^2)*((1-$I$4-$I$5+E748)*(1-$I$10)+$I$6-$I$11)-('Data Schema'!$C$3*(1+B748)^2-'Data Schema'!$C$3*(1+B748)^1)*$I$12)/(1+C748)^2+(('Data Schema'!$C$3*(1+B748)^3)*((1-$I$4-$I$5+E748)*(1-$I$10)+$I$6-$I$11)-('Data Schema'!$C$3*(1+B748)^3-'Data Schema'!$C$3*(1+B748)^2)*$I$12)/(1+C748)^3+(('Data Schema'!$C$3*(1+B748)^4)*((1-$I$4-$I$5+E748)*(1-$I$10)+$I$6-$I$11)-('Data Schema'!$C$3*(1+B748)^4-'Data Schema'!$C$3*(1+B748)^3)*$I$12)/(1+C748)^4+(('Data Schema'!$C$3*(1+B748)^5)*((1-$I$4-$I$5+E748)*(1-$I$10)+$I$6-$I$11)-('Data Schema'!$C$3*(1+B748)^5-'Data Schema'!$C$3*(1+B748)^4)*$I$12)/(1+C748)^5+((('Data Schema'!$C$3*(1+B748)^5)*((1-$I$4-$I$5+E748)*(1-$I$10)+$I$6-$I$11)-('Data Schema'!$C$3*(1+B748)^5-'Data Schema'!$C$3*(1+B748)^4)*$I$12)*(1+D748)/(C748-D748))/(1+C748)^5-'Data Schema'!$C$31+'Data Schema'!$C$21)/'Data Schema'!$B$17,0),"INVALID")</f>
        <v>46.424132924672215</v>
      </c>
      <c r="H748" s="189" t="b">
        <f t="shared" ca="1" si="82"/>
        <v>1</v>
      </c>
      <c r="I748" s="188">
        <f t="shared" ca="1" si="83"/>
        <v>46.424132924672215</v>
      </c>
      <c r="J748" s="349">
        <f t="shared" ca="1" si="76"/>
        <v>46.424132924672215</v>
      </c>
    </row>
    <row r="749" spans="1:10">
      <c r="A749" s="184">
        <v>570</v>
      </c>
      <c r="B749" s="190">
        <f t="shared" ca="1" si="77"/>
        <v>0.10786021547622278</v>
      </c>
      <c r="C749" s="190">
        <f t="shared" ca="1" si="78"/>
        <v>6.1455024105375317E-2</v>
      </c>
      <c r="D749" s="190">
        <f t="shared" ca="1" si="79"/>
        <v>1.8685795106323431E-2</v>
      </c>
      <c r="E749" s="190">
        <f t="shared" ca="1" si="80"/>
        <v>-1.2909656702418702E-2</v>
      </c>
      <c r="F749" s="189" t="b">
        <f t="shared" ca="1" si="81"/>
        <v>1</v>
      </c>
      <c r="G749" s="188">
        <f ca="1">IF(F749,IFERROR(((('Data Schema'!$C$3*(1+B749)^1)*((1-$I$4-$I$5+E749)*(1-$I$10)+$I$6-$I$11)-('Data Schema'!$C$3*(1+B749)^1-'Data Schema'!$C$3)*$I$12)/(1+C749)^1+(('Data Schema'!$C$3*(1+B749)^2)*((1-$I$4-$I$5+E749)*(1-$I$10)+$I$6-$I$11)-('Data Schema'!$C$3*(1+B749)^2-'Data Schema'!$C$3*(1+B749)^1)*$I$12)/(1+C749)^2+(('Data Schema'!$C$3*(1+B749)^3)*((1-$I$4-$I$5+E749)*(1-$I$10)+$I$6-$I$11)-('Data Schema'!$C$3*(1+B749)^3-'Data Schema'!$C$3*(1+B749)^2)*$I$12)/(1+C749)^3+(('Data Schema'!$C$3*(1+B749)^4)*((1-$I$4-$I$5+E749)*(1-$I$10)+$I$6-$I$11)-('Data Schema'!$C$3*(1+B749)^4-'Data Schema'!$C$3*(1+B749)^3)*$I$12)/(1+C749)^4+(('Data Schema'!$C$3*(1+B749)^5)*((1-$I$4-$I$5+E749)*(1-$I$10)+$I$6-$I$11)-('Data Schema'!$C$3*(1+B749)^5-'Data Schema'!$C$3*(1+B749)^4)*$I$12)/(1+C749)^5+((('Data Schema'!$C$3*(1+B749)^5)*((1-$I$4-$I$5+E749)*(1-$I$10)+$I$6-$I$11)-('Data Schema'!$C$3*(1+B749)^5-'Data Schema'!$C$3*(1+B749)^4)*$I$12)*(1+D749)/(C749-D749))/(1+C749)^5-'Data Schema'!$C$31+'Data Schema'!$C$21)/'Data Schema'!$B$17,0),"INVALID")</f>
        <v>41.848763436191668</v>
      </c>
      <c r="H749" s="189" t="b">
        <f t="shared" ca="1" si="82"/>
        <v>1</v>
      </c>
      <c r="I749" s="188">
        <f t="shared" ca="1" si="83"/>
        <v>41.848763436191668</v>
      </c>
      <c r="J749" s="349">
        <f t="shared" ca="1" si="76"/>
        <v>41.848763436191668</v>
      </c>
    </row>
    <row r="750" spans="1:10">
      <c r="A750" s="185">
        <v>571</v>
      </c>
      <c r="B750" s="190">
        <f t="shared" ca="1" si="77"/>
        <v>0.13760937303833723</v>
      </c>
      <c r="C750" s="190">
        <f t="shared" ca="1" si="78"/>
        <v>6.1722359436992294E-2</v>
      </c>
      <c r="D750" s="190">
        <f t="shared" ca="1" si="79"/>
        <v>3.0434526515910582E-2</v>
      </c>
      <c r="E750" s="190">
        <f t="shared" ca="1" si="80"/>
        <v>1.1621240362011761E-2</v>
      </c>
      <c r="F750" s="189" t="b">
        <f t="shared" ca="1" si="81"/>
        <v>1</v>
      </c>
      <c r="G750" s="188">
        <f ca="1">IF(F750,IFERROR(((('Data Schema'!$C$3*(1+B750)^1)*((1-$I$4-$I$5+E750)*(1-$I$10)+$I$6-$I$11)-('Data Schema'!$C$3*(1+B750)^1-'Data Schema'!$C$3)*$I$12)/(1+C750)^1+(('Data Schema'!$C$3*(1+B750)^2)*((1-$I$4-$I$5+E750)*(1-$I$10)+$I$6-$I$11)-('Data Schema'!$C$3*(1+B750)^2-'Data Schema'!$C$3*(1+B750)^1)*$I$12)/(1+C750)^2+(('Data Schema'!$C$3*(1+B750)^3)*((1-$I$4-$I$5+E750)*(1-$I$10)+$I$6-$I$11)-('Data Schema'!$C$3*(1+B750)^3-'Data Schema'!$C$3*(1+B750)^2)*$I$12)/(1+C750)^3+(('Data Schema'!$C$3*(1+B750)^4)*((1-$I$4-$I$5+E750)*(1-$I$10)+$I$6-$I$11)-('Data Schema'!$C$3*(1+B750)^4-'Data Schema'!$C$3*(1+B750)^3)*$I$12)/(1+C750)^4+(('Data Schema'!$C$3*(1+B750)^5)*((1-$I$4-$I$5+E750)*(1-$I$10)+$I$6-$I$11)-('Data Schema'!$C$3*(1+B750)^5-'Data Schema'!$C$3*(1+B750)^4)*$I$12)/(1+C750)^5+((('Data Schema'!$C$3*(1+B750)^5)*((1-$I$4-$I$5+E750)*(1-$I$10)+$I$6-$I$11)-('Data Schema'!$C$3*(1+B750)^5-'Data Schema'!$C$3*(1+B750)^4)*$I$12)*(1+D750)/(C750-D750))/(1+C750)^5-'Data Schema'!$C$31+'Data Schema'!$C$21)/'Data Schema'!$B$17,0),"INVALID")</f>
        <v>150.11506391682244</v>
      </c>
      <c r="H750" s="189" t="b">
        <f t="shared" ca="1" si="82"/>
        <v>1</v>
      </c>
      <c r="I750" s="188">
        <f t="shared" ca="1" si="83"/>
        <v>150.11506391682244</v>
      </c>
      <c r="J750" s="349">
        <f t="shared" ca="1" si="76"/>
        <v>150.11506391682244</v>
      </c>
    </row>
    <row r="751" spans="1:10">
      <c r="A751" s="184">
        <v>572</v>
      </c>
      <c r="B751" s="190">
        <f t="shared" ca="1" si="77"/>
        <v>0.10265637739371329</v>
      </c>
      <c r="C751" s="190">
        <f t="shared" ca="1" si="78"/>
        <v>5.5140688312679709E-2</v>
      </c>
      <c r="D751" s="190">
        <f t="shared" ca="1" si="79"/>
        <v>2.365335523703168E-2</v>
      </c>
      <c r="E751" s="190">
        <f t="shared" ca="1" si="80"/>
        <v>6.9625971302990199E-3</v>
      </c>
      <c r="F751" s="189" t="b">
        <f t="shared" ca="1" si="81"/>
        <v>1</v>
      </c>
      <c r="G751" s="188">
        <f ca="1">IF(F751,IFERROR(((('Data Schema'!$C$3*(1+B751)^1)*((1-$I$4-$I$5+E751)*(1-$I$10)+$I$6-$I$11)-('Data Schema'!$C$3*(1+B751)^1-'Data Schema'!$C$3)*$I$12)/(1+C751)^1+(('Data Schema'!$C$3*(1+B751)^2)*((1-$I$4-$I$5+E751)*(1-$I$10)+$I$6-$I$11)-('Data Schema'!$C$3*(1+B751)^2-'Data Schema'!$C$3*(1+B751)^1)*$I$12)/(1+C751)^2+(('Data Schema'!$C$3*(1+B751)^3)*((1-$I$4-$I$5+E751)*(1-$I$10)+$I$6-$I$11)-('Data Schema'!$C$3*(1+B751)^3-'Data Schema'!$C$3*(1+B751)^2)*$I$12)/(1+C751)^3+(('Data Schema'!$C$3*(1+B751)^4)*((1-$I$4-$I$5+E751)*(1-$I$10)+$I$6-$I$11)-('Data Schema'!$C$3*(1+B751)^4-'Data Schema'!$C$3*(1+B751)^3)*$I$12)/(1+C751)^4+(('Data Schema'!$C$3*(1+B751)^5)*((1-$I$4-$I$5+E751)*(1-$I$10)+$I$6-$I$11)-('Data Schema'!$C$3*(1+B751)^5-'Data Schema'!$C$3*(1+B751)^4)*$I$12)/(1+C751)^5+((('Data Schema'!$C$3*(1+B751)^5)*((1-$I$4-$I$5+E751)*(1-$I$10)+$I$6-$I$11)-('Data Schema'!$C$3*(1+B751)^5-'Data Schema'!$C$3*(1+B751)^4)*$I$12)*(1+D751)/(C751-D751))/(1+C751)^5-'Data Schema'!$C$31+'Data Schema'!$C$21)/'Data Schema'!$B$17,0),"INVALID")</f>
        <v>118.7962819958537</v>
      </c>
      <c r="H751" s="189" t="b">
        <f t="shared" ca="1" si="82"/>
        <v>1</v>
      </c>
      <c r="I751" s="188">
        <f t="shared" ca="1" si="83"/>
        <v>118.7962819958537</v>
      </c>
      <c r="J751" s="349">
        <f t="shared" ca="1" si="76"/>
        <v>118.7962819958537</v>
      </c>
    </row>
    <row r="752" spans="1:10">
      <c r="A752" s="185">
        <v>573</v>
      </c>
      <c r="B752" s="190">
        <f t="shared" ca="1" si="77"/>
        <v>0.11462639285485746</v>
      </c>
      <c r="C752" s="190">
        <f t="shared" ca="1" si="78"/>
        <v>5.8338492216495091E-2</v>
      </c>
      <c r="D752" s="190">
        <f t="shared" ca="1" si="79"/>
        <v>2.2451577954743566E-2</v>
      </c>
      <c r="E752" s="190">
        <f t="shared" ca="1" si="80"/>
        <v>5.249556411276874E-2</v>
      </c>
      <c r="F752" s="189" t="b">
        <f t="shared" ca="1" si="81"/>
        <v>1</v>
      </c>
      <c r="G752" s="188">
        <f ca="1">IF(F752,IFERROR(((('Data Schema'!$C$3*(1+B752)^1)*((1-$I$4-$I$5+E752)*(1-$I$10)+$I$6-$I$11)-('Data Schema'!$C$3*(1+B752)^1-'Data Schema'!$C$3)*$I$12)/(1+C752)^1+(('Data Schema'!$C$3*(1+B752)^2)*((1-$I$4-$I$5+E752)*(1-$I$10)+$I$6-$I$11)-('Data Schema'!$C$3*(1+B752)^2-'Data Schema'!$C$3*(1+B752)^1)*$I$12)/(1+C752)^2+(('Data Schema'!$C$3*(1+B752)^3)*((1-$I$4-$I$5+E752)*(1-$I$10)+$I$6-$I$11)-('Data Schema'!$C$3*(1+B752)^3-'Data Schema'!$C$3*(1+B752)^2)*$I$12)/(1+C752)^3+(('Data Schema'!$C$3*(1+B752)^4)*((1-$I$4-$I$5+E752)*(1-$I$10)+$I$6-$I$11)-('Data Schema'!$C$3*(1+B752)^4-'Data Schema'!$C$3*(1+B752)^3)*$I$12)/(1+C752)^4+(('Data Schema'!$C$3*(1+B752)^5)*((1-$I$4-$I$5+E752)*(1-$I$10)+$I$6-$I$11)-('Data Schema'!$C$3*(1+B752)^5-'Data Schema'!$C$3*(1+B752)^4)*$I$12)/(1+C752)^5+((('Data Schema'!$C$3*(1+B752)^5)*((1-$I$4-$I$5+E752)*(1-$I$10)+$I$6-$I$11)-('Data Schema'!$C$3*(1+B752)^5-'Data Schema'!$C$3*(1+B752)^4)*$I$12)*(1+D752)/(C752-D752))/(1+C752)^5-'Data Schema'!$C$31+'Data Schema'!$C$21)/'Data Schema'!$B$17,0),"INVALID")</f>
        <v>238.49078384622618</v>
      </c>
      <c r="H752" s="189" t="b">
        <f t="shared" ca="1" si="82"/>
        <v>1</v>
      </c>
      <c r="I752" s="188">
        <f t="shared" ca="1" si="83"/>
        <v>238.49078384622618</v>
      </c>
      <c r="J752" s="349" t="str">
        <f t="shared" ca="1" si="76"/>
        <v/>
      </c>
    </row>
    <row r="753" spans="1:10">
      <c r="A753" s="184">
        <v>574</v>
      </c>
      <c r="B753" s="190">
        <f t="shared" ca="1" si="77"/>
        <v>9.3730667643358245E-2</v>
      </c>
      <c r="C753" s="190">
        <f t="shared" ca="1" si="78"/>
        <v>5.858926670066069E-2</v>
      </c>
      <c r="D753" s="190">
        <f t="shared" ca="1" si="79"/>
        <v>3.8310949079344937E-2</v>
      </c>
      <c r="E753" s="190">
        <f t="shared" ca="1" si="80"/>
        <v>3.8654681050338132E-3</v>
      </c>
      <c r="F753" s="189" t="b">
        <f t="shared" ca="1" si="81"/>
        <v>1</v>
      </c>
      <c r="G753" s="188">
        <f ca="1">IF(F753,IFERROR(((('Data Schema'!$C$3*(1+B753)^1)*((1-$I$4-$I$5+E753)*(1-$I$10)+$I$6-$I$11)-('Data Schema'!$C$3*(1+B753)^1-'Data Schema'!$C$3)*$I$12)/(1+C753)^1+(('Data Schema'!$C$3*(1+B753)^2)*((1-$I$4-$I$5+E753)*(1-$I$10)+$I$6-$I$11)-('Data Schema'!$C$3*(1+B753)^2-'Data Schema'!$C$3*(1+B753)^1)*$I$12)/(1+C753)^2+(('Data Schema'!$C$3*(1+B753)^3)*((1-$I$4-$I$5+E753)*(1-$I$10)+$I$6-$I$11)-('Data Schema'!$C$3*(1+B753)^3-'Data Schema'!$C$3*(1+B753)^2)*$I$12)/(1+C753)^3+(('Data Schema'!$C$3*(1+B753)^4)*((1-$I$4-$I$5+E753)*(1-$I$10)+$I$6-$I$11)-('Data Schema'!$C$3*(1+B753)^4-'Data Schema'!$C$3*(1+B753)^3)*$I$12)/(1+C753)^4+(('Data Schema'!$C$3*(1+B753)^5)*((1-$I$4-$I$5+E753)*(1-$I$10)+$I$6-$I$11)-('Data Schema'!$C$3*(1+B753)^5-'Data Schema'!$C$3*(1+B753)^4)*$I$12)/(1+C753)^5+((('Data Schema'!$C$3*(1+B753)^5)*((1-$I$4-$I$5+E753)*(1-$I$10)+$I$6-$I$11)-('Data Schema'!$C$3*(1+B753)^5-'Data Schema'!$C$3*(1+B753)^4)*$I$12)*(1+D753)/(C753-D753))/(1+C753)^5-'Data Schema'!$C$31+'Data Schema'!$C$21)/'Data Schema'!$B$17,0),"INVALID")</f>
        <v>159.32403798422658</v>
      </c>
      <c r="H753" s="189" t="b">
        <f t="shared" ca="1" si="82"/>
        <v>1</v>
      </c>
      <c r="I753" s="188">
        <f t="shared" ca="1" si="83"/>
        <v>159.32403798422658</v>
      </c>
      <c r="J753" s="349">
        <f t="shared" ca="1" si="76"/>
        <v>159.32403798422658</v>
      </c>
    </row>
    <row r="754" spans="1:10">
      <c r="A754" s="185">
        <v>575</v>
      </c>
      <c r="B754" s="190">
        <f t="shared" ca="1" si="77"/>
        <v>0.10977595230145448</v>
      </c>
      <c r="C754" s="190">
        <f t="shared" ca="1" si="78"/>
        <v>6.7997533960450218E-2</v>
      </c>
      <c r="D754" s="190">
        <f t="shared" ca="1" si="79"/>
        <v>2.0078354046769088E-2</v>
      </c>
      <c r="E754" s="190">
        <f t="shared" ca="1" si="80"/>
        <v>-4.0863997443441775E-3</v>
      </c>
      <c r="F754" s="189" t="b">
        <f t="shared" ca="1" si="81"/>
        <v>1</v>
      </c>
      <c r="G754" s="188">
        <f ca="1">IF(F754,IFERROR(((('Data Schema'!$C$3*(1+B754)^1)*((1-$I$4-$I$5+E754)*(1-$I$10)+$I$6-$I$11)-('Data Schema'!$C$3*(1+B754)^1-'Data Schema'!$C$3)*$I$12)/(1+C754)^1+(('Data Schema'!$C$3*(1+B754)^2)*((1-$I$4-$I$5+E754)*(1-$I$10)+$I$6-$I$11)-('Data Schema'!$C$3*(1+B754)^2-'Data Schema'!$C$3*(1+B754)^1)*$I$12)/(1+C754)^2+(('Data Schema'!$C$3*(1+B754)^3)*((1-$I$4-$I$5+E754)*(1-$I$10)+$I$6-$I$11)-('Data Schema'!$C$3*(1+B754)^3-'Data Schema'!$C$3*(1+B754)^2)*$I$12)/(1+C754)^3+(('Data Schema'!$C$3*(1+B754)^4)*((1-$I$4-$I$5+E754)*(1-$I$10)+$I$6-$I$11)-('Data Schema'!$C$3*(1+B754)^4-'Data Schema'!$C$3*(1+B754)^3)*$I$12)/(1+C754)^4+(('Data Schema'!$C$3*(1+B754)^5)*((1-$I$4-$I$5+E754)*(1-$I$10)+$I$6-$I$11)-('Data Schema'!$C$3*(1+B754)^5-'Data Schema'!$C$3*(1+B754)^4)*$I$12)/(1+C754)^5+((('Data Schema'!$C$3*(1+B754)^5)*((1-$I$4-$I$5+E754)*(1-$I$10)+$I$6-$I$11)-('Data Schema'!$C$3*(1+B754)^5-'Data Schema'!$C$3*(1+B754)^4)*$I$12)*(1+D754)/(C754-D754))/(1+C754)^5-'Data Schema'!$C$31+'Data Schema'!$C$21)/'Data Schema'!$B$17,0),"INVALID")</f>
        <v>54.979651760381273</v>
      </c>
      <c r="H754" s="189" t="b">
        <f t="shared" ca="1" si="82"/>
        <v>1</v>
      </c>
      <c r="I754" s="188">
        <f t="shared" ca="1" si="83"/>
        <v>54.979651760381273</v>
      </c>
      <c r="J754" s="349">
        <f t="shared" ca="1" si="76"/>
        <v>54.979651760381273</v>
      </c>
    </row>
    <row r="755" spans="1:10">
      <c r="A755" s="184">
        <v>576</v>
      </c>
      <c r="B755" s="190">
        <f t="shared" ca="1" si="77"/>
        <v>9.5152117554354404E-2</v>
      </c>
      <c r="C755" s="190">
        <f t="shared" ca="1" si="78"/>
        <v>5.0200829959055962E-2</v>
      </c>
      <c r="D755" s="190">
        <f t="shared" ca="1" si="79"/>
        <v>2.214294349278673E-2</v>
      </c>
      <c r="E755" s="190">
        <f t="shared" ca="1" si="80"/>
        <v>1.6554301617970214E-2</v>
      </c>
      <c r="F755" s="189" t="b">
        <f t="shared" ca="1" si="81"/>
        <v>1</v>
      </c>
      <c r="G755" s="188">
        <f ca="1">IF(F755,IFERROR(((('Data Schema'!$C$3*(1+B755)^1)*((1-$I$4-$I$5+E755)*(1-$I$10)+$I$6-$I$11)-('Data Schema'!$C$3*(1+B755)^1-'Data Schema'!$C$3)*$I$12)/(1+C755)^1+(('Data Schema'!$C$3*(1+B755)^2)*((1-$I$4-$I$5+E755)*(1-$I$10)+$I$6-$I$11)-('Data Schema'!$C$3*(1+B755)^2-'Data Schema'!$C$3*(1+B755)^1)*$I$12)/(1+C755)^2+(('Data Schema'!$C$3*(1+B755)^3)*((1-$I$4-$I$5+E755)*(1-$I$10)+$I$6-$I$11)-('Data Schema'!$C$3*(1+B755)^3-'Data Schema'!$C$3*(1+B755)^2)*$I$12)/(1+C755)^3+(('Data Schema'!$C$3*(1+B755)^4)*((1-$I$4-$I$5+E755)*(1-$I$10)+$I$6-$I$11)-('Data Schema'!$C$3*(1+B755)^4-'Data Schema'!$C$3*(1+B755)^3)*$I$12)/(1+C755)^4+(('Data Schema'!$C$3*(1+B755)^5)*((1-$I$4-$I$5+E755)*(1-$I$10)+$I$6-$I$11)-('Data Schema'!$C$3*(1+B755)^5-'Data Schema'!$C$3*(1+B755)^4)*$I$12)/(1+C755)^5+((('Data Schema'!$C$3*(1+B755)^5)*((1-$I$4-$I$5+E755)*(1-$I$10)+$I$6-$I$11)-('Data Schema'!$C$3*(1+B755)^5-'Data Schema'!$C$3*(1+B755)^4)*$I$12)*(1+D755)/(C755-D755))/(1+C755)^5-'Data Schema'!$C$31+'Data Schema'!$C$21)/'Data Schema'!$B$17,0),"INVALID")</f>
        <v>163.59735072050773</v>
      </c>
      <c r="H755" s="189" t="b">
        <f t="shared" ca="1" si="82"/>
        <v>1</v>
      </c>
      <c r="I755" s="188">
        <f t="shared" ca="1" si="83"/>
        <v>163.59735072050773</v>
      </c>
      <c r="J755" s="349">
        <f t="shared" ca="1" si="76"/>
        <v>163.59735072050773</v>
      </c>
    </row>
    <row r="756" spans="1:10">
      <c r="A756" s="185">
        <v>577</v>
      </c>
      <c r="B756" s="190">
        <f t="shared" ca="1" si="77"/>
        <v>9.6234362737302459E-2</v>
      </c>
      <c r="C756" s="190">
        <f t="shared" ca="1" si="78"/>
        <v>7.6497751687382237E-2</v>
      </c>
      <c r="D756" s="190">
        <f t="shared" ca="1" si="79"/>
        <v>3.1579618449476633E-2</v>
      </c>
      <c r="E756" s="190">
        <f t="shared" ca="1" si="80"/>
        <v>1.5893666562800505E-2</v>
      </c>
      <c r="F756" s="189" t="b">
        <f t="shared" ca="1" si="81"/>
        <v>1</v>
      </c>
      <c r="G756" s="188">
        <f ca="1">IF(F756,IFERROR(((('Data Schema'!$C$3*(1+B756)^1)*((1-$I$4-$I$5+E756)*(1-$I$10)+$I$6-$I$11)-('Data Schema'!$C$3*(1+B756)^1-'Data Schema'!$C$3)*$I$12)/(1+C756)^1+(('Data Schema'!$C$3*(1+B756)^2)*((1-$I$4-$I$5+E756)*(1-$I$10)+$I$6-$I$11)-('Data Schema'!$C$3*(1+B756)^2-'Data Schema'!$C$3*(1+B756)^1)*$I$12)/(1+C756)^2+(('Data Schema'!$C$3*(1+B756)^3)*((1-$I$4-$I$5+E756)*(1-$I$10)+$I$6-$I$11)-('Data Schema'!$C$3*(1+B756)^3-'Data Schema'!$C$3*(1+B756)^2)*$I$12)/(1+C756)^3+(('Data Schema'!$C$3*(1+B756)^4)*((1-$I$4-$I$5+E756)*(1-$I$10)+$I$6-$I$11)-('Data Schema'!$C$3*(1+B756)^4-'Data Schema'!$C$3*(1+B756)^3)*$I$12)/(1+C756)^4+(('Data Schema'!$C$3*(1+B756)^5)*((1-$I$4-$I$5+E756)*(1-$I$10)+$I$6-$I$11)-('Data Schema'!$C$3*(1+B756)^5-'Data Schema'!$C$3*(1+B756)^4)*$I$12)/(1+C756)^5+((('Data Schema'!$C$3*(1+B756)^5)*((1-$I$4-$I$5+E756)*(1-$I$10)+$I$6-$I$11)-('Data Schema'!$C$3*(1+B756)^5-'Data Schema'!$C$3*(1+B756)^4)*$I$12)*(1+D756)/(C756-D756))/(1+C756)^5-'Data Schema'!$C$31+'Data Schema'!$C$21)/'Data Schema'!$B$17,0),"INVALID")</f>
        <v>94.194141208802591</v>
      </c>
      <c r="H756" s="189" t="b">
        <f t="shared" ca="1" si="82"/>
        <v>1</v>
      </c>
      <c r="I756" s="188">
        <f t="shared" ca="1" si="83"/>
        <v>94.194141208802591</v>
      </c>
      <c r="J756" s="349">
        <f t="shared" ref="J756:J819" ca="1" si="84">IF(AND(F756=TRUE,H756=TRUE,ISNUMBER(G756),G756&gt;=$B$153,G756&lt;=$B$154),G756,"")</f>
        <v>94.194141208802591</v>
      </c>
    </row>
    <row r="757" spans="1:10">
      <c r="A757" s="184">
        <v>578</v>
      </c>
      <c r="B757" s="190">
        <f t="shared" ref="B757:B820" ca="1" si="85">MAX($D$139,MIN($E$139,NORMINV(RAND(),$B$139,$C$139)))</f>
        <v>0.10533969158193886</v>
      </c>
      <c r="C757" s="190">
        <f t="shared" ref="C757:C820" ca="1" si="86">MAX($D$140,MIN($E$140,NORMINV(RAND(),$B$140,$C$140)))</f>
        <v>4.8840638890116403E-2</v>
      </c>
      <c r="D757" s="190">
        <f t="shared" ref="D757:D820" ca="1" si="87">MAX($D$141,MIN($E$141,NORMINV(RAND(),$B$141,$C$141)))</f>
        <v>2.5589895448116441E-2</v>
      </c>
      <c r="E757" s="190">
        <f t="shared" ref="E757:E820" ca="1" si="88">MAX($D$142,MIN($E$142,NORMINV(RAND(),$B$142,$C$142)))</f>
        <v>5.4238247075219027E-4</v>
      </c>
      <c r="F757" s="189" t="b">
        <f t="shared" ref="F757:F820" ca="1" si="89">C757&gt;D757+$B$144</f>
        <v>1</v>
      </c>
      <c r="G757" s="188">
        <f ca="1">IF(F757,IFERROR(((('Data Schema'!$C$3*(1+B757)^1)*((1-$I$4-$I$5+E757)*(1-$I$10)+$I$6-$I$11)-('Data Schema'!$C$3*(1+B757)^1-'Data Schema'!$C$3)*$I$12)/(1+C757)^1+(('Data Schema'!$C$3*(1+B757)^2)*((1-$I$4-$I$5+E757)*(1-$I$10)+$I$6-$I$11)-('Data Schema'!$C$3*(1+B757)^2-'Data Schema'!$C$3*(1+B757)^1)*$I$12)/(1+C757)^2+(('Data Schema'!$C$3*(1+B757)^3)*((1-$I$4-$I$5+E757)*(1-$I$10)+$I$6-$I$11)-('Data Schema'!$C$3*(1+B757)^3-'Data Schema'!$C$3*(1+B757)^2)*$I$12)/(1+C757)^3+(('Data Schema'!$C$3*(1+B757)^4)*((1-$I$4-$I$5+E757)*(1-$I$10)+$I$6-$I$11)-('Data Schema'!$C$3*(1+B757)^4-'Data Schema'!$C$3*(1+B757)^3)*$I$12)/(1+C757)^4+(('Data Schema'!$C$3*(1+B757)^5)*((1-$I$4-$I$5+E757)*(1-$I$10)+$I$6-$I$11)-('Data Schema'!$C$3*(1+B757)^5-'Data Schema'!$C$3*(1+B757)^4)*$I$12)/(1+C757)^5+((('Data Schema'!$C$3*(1+B757)^5)*((1-$I$4-$I$5+E757)*(1-$I$10)+$I$6-$I$11)-('Data Schema'!$C$3*(1+B757)^5-'Data Schema'!$C$3*(1+B757)^4)*$I$12)*(1+D757)/(C757-D757))/(1+C757)^5-'Data Schema'!$C$31+'Data Schema'!$C$21)/'Data Schema'!$B$17,0),"INVALID")</f>
        <v>137.6775043505871</v>
      </c>
      <c r="H757" s="189" t="b">
        <f t="shared" ref="H757:H820" ca="1" si="90">AND(ISNUMBER(G757),G757&gt;$F$29*$B$145,G757&lt;$F$29*$B$146)</f>
        <v>1</v>
      </c>
      <c r="I757" s="188">
        <f t="shared" ref="I757:I820" ca="1" si="91">IF(AND(F757=TRUE,H757=TRUE),G757,"")</f>
        <v>137.6775043505871</v>
      </c>
      <c r="J757" s="349">
        <f t="shared" ca="1" si="84"/>
        <v>137.6775043505871</v>
      </c>
    </row>
    <row r="758" spans="1:10">
      <c r="A758" s="185">
        <v>579</v>
      </c>
      <c r="B758" s="190">
        <f t="shared" ca="1" si="85"/>
        <v>0.13344889835903859</v>
      </c>
      <c r="C758" s="190">
        <f t="shared" ca="1" si="86"/>
        <v>6.0595261841115557E-2</v>
      </c>
      <c r="D758" s="190">
        <f t="shared" ca="1" si="87"/>
        <v>2.5606354419717082E-2</v>
      </c>
      <c r="E758" s="190">
        <f t="shared" ca="1" si="88"/>
        <v>2.5189745370750187E-2</v>
      </c>
      <c r="F758" s="189" t="b">
        <f t="shared" ca="1" si="89"/>
        <v>1</v>
      </c>
      <c r="G758" s="188">
        <f ca="1">IF(F758,IFERROR(((('Data Schema'!$C$3*(1+B758)^1)*((1-$I$4-$I$5+E758)*(1-$I$10)+$I$6-$I$11)-('Data Schema'!$C$3*(1+B758)^1-'Data Schema'!$C$3)*$I$12)/(1+C758)^1+(('Data Schema'!$C$3*(1+B758)^2)*((1-$I$4-$I$5+E758)*(1-$I$10)+$I$6-$I$11)-('Data Schema'!$C$3*(1+B758)^2-'Data Schema'!$C$3*(1+B758)^1)*$I$12)/(1+C758)^2+(('Data Schema'!$C$3*(1+B758)^3)*((1-$I$4-$I$5+E758)*(1-$I$10)+$I$6-$I$11)-('Data Schema'!$C$3*(1+B758)^3-'Data Schema'!$C$3*(1+B758)^2)*$I$12)/(1+C758)^3+(('Data Schema'!$C$3*(1+B758)^4)*((1-$I$4-$I$5+E758)*(1-$I$10)+$I$6-$I$11)-('Data Schema'!$C$3*(1+B758)^4-'Data Schema'!$C$3*(1+B758)^3)*$I$12)/(1+C758)^4+(('Data Schema'!$C$3*(1+B758)^5)*((1-$I$4-$I$5+E758)*(1-$I$10)+$I$6-$I$11)-('Data Schema'!$C$3*(1+B758)^5-'Data Schema'!$C$3*(1+B758)^4)*$I$12)/(1+C758)^5+((('Data Schema'!$C$3*(1+B758)^5)*((1-$I$4-$I$5+E758)*(1-$I$10)+$I$6-$I$11)-('Data Schema'!$C$3*(1+B758)^5-'Data Schema'!$C$3*(1+B758)^4)*$I$12)*(1+D758)/(C758-D758))/(1+C758)^5-'Data Schema'!$C$31+'Data Schema'!$C$21)/'Data Schema'!$B$17,0),"INVALID")</f>
        <v>175.89767232910305</v>
      </c>
      <c r="H758" s="189" t="b">
        <f t="shared" ca="1" si="90"/>
        <v>1</v>
      </c>
      <c r="I758" s="188">
        <f t="shared" ca="1" si="91"/>
        <v>175.89767232910305</v>
      </c>
      <c r="J758" s="349">
        <f t="shared" ca="1" si="84"/>
        <v>175.89767232910305</v>
      </c>
    </row>
    <row r="759" spans="1:10">
      <c r="A759" s="184">
        <v>580</v>
      </c>
      <c r="B759" s="190">
        <f t="shared" ca="1" si="85"/>
        <v>7.1972649751482057E-2</v>
      </c>
      <c r="C759" s="190">
        <f t="shared" ca="1" si="86"/>
        <v>7.0195842111519538E-2</v>
      </c>
      <c r="D759" s="190">
        <f t="shared" ca="1" si="87"/>
        <v>1.909618034127401E-2</v>
      </c>
      <c r="E759" s="190">
        <f t="shared" ca="1" si="88"/>
        <v>-1.0720250384397364E-2</v>
      </c>
      <c r="F759" s="189" t="b">
        <f t="shared" ca="1" si="89"/>
        <v>1</v>
      </c>
      <c r="G759" s="188">
        <f ca="1">IF(F759,IFERROR(((('Data Schema'!$C$3*(1+B759)^1)*((1-$I$4-$I$5+E759)*(1-$I$10)+$I$6-$I$11)-('Data Schema'!$C$3*(1+B759)^1-'Data Schema'!$C$3)*$I$12)/(1+C759)^1+(('Data Schema'!$C$3*(1+B759)^2)*((1-$I$4-$I$5+E759)*(1-$I$10)+$I$6-$I$11)-('Data Schema'!$C$3*(1+B759)^2-'Data Schema'!$C$3*(1+B759)^1)*$I$12)/(1+C759)^2+(('Data Schema'!$C$3*(1+B759)^3)*((1-$I$4-$I$5+E759)*(1-$I$10)+$I$6-$I$11)-('Data Schema'!$C$3*(1+B759)^3-'Data Schema'!$C$3*(1+B759)^2)*$I$12)/(1+C759)^3+(('Data Schema'!$C$3*(1+B759)^4)*((1-$I$4-$I$5+E759)*(1-$I$10)+$I$6-$I$11)-('Data Schema'!$C$3*(1+B759)^4-'Data Schema'!$C$3*(1+B759)^3)*$I$12)/(1+C759)^4+(('Data Schema'!$C$3*(1+B759)^5)*((1-$I$4-$I$5+E759)*(1-$I$10)+$I$6-$I$11)-('Data Schema'!$C$3*(1+B759)^5-'Data Schema'!$C$3*(1+B759)^4)*$I$12)/(1+C759)^5+((('Data Schema'!$C$3*(1+B759)^5)*((1-$I$4-$I$5+E759)*(1-$I$10)+$I$6-$I$11)-('Data Schema'!$C$3*(1+B759)^5-'Data Schema'!$C$3*(1+B759)^4)*$I$12)*(1+D759)/(C759-D759))/(1+C759)^5-'Data Schema'!$C$31+'Data Schema'!$C$21)/'Data Schema'!$B$17,0),"INVALID")</f>
        <v>32.896576557527133</v>
      </c>
      <c r="H759" s="189" t="b">
        <f t="shared" ca="1" si="90"/>
        <v>1</v>
      </c>
      <c r="I759" s="188">
        <f t="shared" ca="1" si="91"/>
        <v>32.896576557527133</v>
      </c>
      <c r="J759" s="349">
        <f t="shared" ca="1" si="84"/>
        <v>32.896576557527133</v>
      </c>
    </row>
    <row r="760" spans="1:10">
      <c r="A760" s="185">
        <v>581</v>
      </c>
      <c r="B760" s="190">
        <f t="shared" ca="1" si="85"/>
        <v>8.9580217410063251E-2</v>
      </c>
      <c r="C760" s="190">
        <f t="shared" ca="1" si="86"/>
        <v>6.2342058416261094E-2</v>
      </c>
      <c r="D760" s="190">
        <f t="shared" ca="1" si="87"/>
        <v>2.7921389894847177E-2</v>
      </c>
      <c r="E760" s="190">
        <f t="shared" ca="1" si="88"/>
        <v>3.5835352311680562E-3</v>
      </c>
      <c r="F760" s="189" t="b">
        <f t="shared" ca="1" si="89"/>
        <v>1</v>
      </c>
      <c r="G760" s="188">
        <f ca="1">IF(F760,IFERROR(((('Data Schema'!$C$3*(1+B760)^1)*((1-$I$4-$I$5+E760)*(1-$I$10)+$I$6-$I$11)-('Data Schema'!$C$3*(1+B760)^1-'Data Schema'!$C$3)*$I$12)/(1+C760)^1+(('Data Schema'!$C$3*(1+B760)^2)*((1-$I$4-$I$5+E760)*(1-$I$10)+$I$6-$I$11)-('Data Schema'!$C$3*(1+B760)^2-'Data Schema'!$C$3*(1+B760)^1)*$I$12)/(1+C760)^2+(('Data Schema'!$C$3*(1+B760)^3)*((1-$I$4-$I$5+E760)*(1-$I$10)+$I$6-$I$11)-('Data Schema'!$C$3*(1+B760)^3-'Data Schema'!$C$3*(1+B760)^2)*$I$12)/(1+C760)^3+(('Data Schema'!$C$3*(1+B760)^4)*((1-$I$4-$I$5+E760)*(1-$I$10)+$I$6-$I$11)-('Data Schema'!$C$3*(1+B760)^4-'Data Schema'!$C$3*(1+B760)^3)*$I$12)/(1+C760)^4+(('Data Schema'!$C$3*(1+B760)^5)*((1-$I$4-$I$5+E760)*(1-$I$10)+$I$6-$I$11)-('Data Schema'!$C$3*(1+B760)^5-'Data Schema'!$C$3*(1+B760)^4)*$I$12)/(1+C760)^5+((('Data Schema'!$C$3*(1+B760)^5)*((1-$I$4-$I$5+E760)*(1-$I$10)+$I$6-$I$11)-('Data Schema'!$C$3*(1+B760)^5-'Data Schema'!$C$3*(1+B760)^4)*$I$12)*(1+D760)/(C760-D760))/(1+C760)^5-'Data Schema'!$C$31+'Data Schema'!$C$21)/'Data Schema'!$B$17,0),"INVALID")</f>
        <v>91.803054126404533</v>
      </c>
      <c r="H760" s="189" t="b">
        <f t="shared" ca="1" si="90"/>
        <v>1</v>
      </c>
      <c r="I760" s="188">
        <f t="shared" ca="1" si="91"/>
        <v>91.803054126404533</v>
      </c>
      <c r="J760" s="349">
        <f t="shared" ca="1" si="84"/>
        <v>91.803054126404533</v>
      </c>
    </row>
    <row r="761" spans="1:10">
      <c r="A761" s="184">
        <v>582</v>
      </c>
      <c r="B761" s="190">
        <f t="shared" ca="1" si="85"/>
        <v>0.10886354540848787</v>
      </c>
      <c r="C761" s="190">
        <f t="shared" ca="1" si="86"/>
        <v>6.6212662469956801E-2</v>
      </c>
      <c r="D761" s="190">
        <f t="shared" ca="1" si="87"/>
        <v>2.1142130044360108E-2</v>
      </c>
      <c r="E761" s="190">
        <f t="shared" ca="1" si="88"/>
        <v>-1.5197649446811756E-3</v>
      </c>
      <c r="F761" s="189" t="b">
        <f t="shared" ca="1" si="89"/>
        <v>1</v>
      </c>
      <c r="G761" s="188">
        <f ca="1">IF(F761,IFERROR(((('Data Schema'!$C$3*(1+B761)^1)*((1-$I$4-$I$5+E761)*(1-$I$10)+$I$6-$I$11)-('Data Schema'!$C$3*(1+B761)^1-'Data Schema'!$C$3)*$I$12)/(1+C761)^1+(('Data Schema'!$C$3*(1+B761)^2)*((1-$I$4-$I$5+E761)*(1-$I$10)+$I$6-$I$11)-('Data Schema'!$C$3*(1+B761)^2-'Data Schema'!$C$3*(1+B761)^1)*$I$12)/(1+C761)^2+(('Data Schema'!$C$3*(1+B761)^3)*((1-$I$4-$I$5+E761)*(1-$I$10)+$I$6-$I$11)-('Data Schema'!$C$3*(1+B761)^3-'Data Schema'!$C$3*(1+B761)^2)*$I$12)/(1+C761)^3+(('Data Schema'!$C$3*(1+B761)^4)*((1-$I$4-$I$5+E761)*(1-$I$10)+$I$6-$I$11)-('Data Schema'!$C$3*(1+B761)^4-'Data Schema'!$C$3*(1+B761)^3)*$I$12)/(1+C761)^4+(('Data Schema'!$C$3*(1+B761)^5)*((1-$I$4-$I$5+E761)*(1-$I$10)+$I$6-$I$11)-('Data Schema'!$C$3*(1+B761)^5-'Data Schema'!$C$3*(1+B761)^4)*$I$12)/(1+C761)^5+((('Data Schema'!$C$3*(1+B761)^5)*((1-$I$4-$I$5+E761)*(1-$I$10)+$I$6-$I$11)-('Data Schema'!$C$3*(1+B761)^5-'Data Schema'!$C$3*(1+B761)^4)*$I$12)*(1+D761)/(C761-D761))/(1+C761)^5-'Data Schema'!$C$31+'Data Schema'!$C$21)/'Data Schema'!$B$17,0),"INVALID")</f>
        <v>64.239097280843538</v>
      </c>
      <c r="H761" s="189" t="b">
        <f t="shared" ca="1" si="90"/>
        <v>1</v>
      </c>
      <c r="I761" s="188">
        <f t="shared" ca="1" si="91"/>
        <v>64.239097280843538</v>
      </c>
      <c r="J761" s="349">
        <f t="shared" ca="1" si="84"/>
        <v>64.239097280843538</v>
      </c>
    </row>
    <row r="762" spans="1:10">
      <c r="A762" s="185">
        <v>583</v>
      </c>
      <c r="B762" s="190">
        <f t="shared" ca="1" si="85"/>
        <v>9.6851064448323324E-2</v>
      </c>
      <c r="C762" s="190">
        <f t="shared" ca="1" si="86"/>
        <v>6.7119240332726399E-2</v>
      </c>
      <c r="D762" s="190">
        <f t="shared" ca="1" si="87"/>
        <v>2.1473220555532094E-2</v>
      </c>
      <c r="E762" s="190">
        <f t="shared" ca="1" si="88"/>
        <v>-1.4180492583733544E-2</v>
      </c>
      <c r="F762" s="189" t="b">
        <f t="shared" ca="1" si="89"/>
        <v>1</v>
      </c>
      <c r="G762" s="188">
        <f ca="1">IF(F762,IFERROR(((('Data Schema'!$C$3*(1+B762)^1)*((1-$I$4-$I$5+E762)*(1-$I$10)+$I$6-$I$11)-('Data Schema'!$C$3*(1+B762)^1-'Data Schema'!$C$3)*$I$12)/(1+C762)^1+(('Data Schema'!$C$3*(1+B762)^2)*((1-$I$4-$I$5+E762)*(1-$I$10)+$I$6-$I$11)-('Data Schema'!$C$3*(1+B762)^2-'Data Schema'!$C$3*(1+B762)^1)*$I$12)/(1+C762)^2+(('Data Schema'!$C$3*(1+B762)^3)*((1-$I$4-$I$5+E762)*(1-$I$10)+$I$6-$I$11)-('Data Schema'!$C$3*(1+B762)^3-'Data Schema'!$C$3*(1+B762)^2)*$I$12)/(1+C762)^3+(('Data Schema'!$C$3*(1+B762)^4)*((1-$I$4-$I$5+E762)*(1-$I$10)+$I$6-$I$11)-('Data Schema'!$C$3*(1+B762)^4-'Data Schema'!$C$3*(1+B762)^3)*$I$12)/(1+C762)^4+(('Data Schema'!$C$3*(1+B762)^5)*((1-$I$4-$I$5+E762)*(1-$I$10)+$I$6-$I$11)-('Data Schema'!$C$3*(1+B762)^5-'Data Schema'!$C$3*(1+B762)^4)*$I$12)/(1+C762)^5+((('Data Schema'!$C$3*(1+B762)^5)*((1-$I$4-$I$5+E762)*(1-$I$10)+$I$6-$I$11)-('Data Schema'!$C$3*(1+B762)^5-'Data Schema'!$C$3*(1+B762)^4)*$I$12)*(1+D762)/(C762-D762))/(1+C762)^5-'Data Schema'!$C$31+'Data Schema'!$C$21)/'Data Schema'!$B$17,0),"INVALID")</f>
        <v>34.037716872273613</v>
      </c>
      <c r="H762" s="189" t="b">
        <f t="shared" ca="1" si="90"/>
        <v>1</v>
      </c>
      <c r="I762" s="188">
        <f t="shared" ca="1" si="91"/>
        <v>34.037716872273613</v>
      </c>
      <c r="J762" s="349">
        <f t="shared" ca="1" si="84"/>
        <v>34.037716872273613</v>
      </c>
    </row>
    <row r="763" spans="1:10">
      <c r="A763" s="184">
        <v>584</v>
      </c>
      <c r="B763" s="190">
        <f t="shared" ca="1" si="85"/>
        <v>9.901045103430621E-2</v>
      </c>
      <c r="C763" s="190">
        <f t="shared" ca="1" si="86"/>
        <v>6.1230967679711264E-2</v>
      </c>
      <c r="D763" s="190">
        <f t="shared" ca="1" si="87"/>
        <v>1.9323653696373858E-2</v>
      </c>
      <c r="E763" s="190">
        <f t="shared" ca="1" si="88"/>
        <v>-4.8939351472915239E-3</v>
      </c>
      <c r="F763" s="189" t="b">
        <f t="shared" ca="1" si="89"/>
        <v>1</v>
      </c>
      <c r="G763" s="188">
        <f ca="1">IF(F763,IFERROR(((('Data Schema'!$C$3*(1+B763)^1)*((1-$I$4-$I$5+E763)*(1-$I$10)+$I$6-$I$11)-('Data Schema'!$C$3*(1+B763)^1-'Data Schema'!$C$3)*$I$12)/(1+C763)^1+(('Data Schema'!$C$3*(1+B763)^2)*((1-$I$4-$I$5+E763)*(1-$I$10)+$I$6-$I$11)-('Data Schema'!$C$3*(1+B763)^2-'Data Schema'!$C$3*(1+B763)^1)*$I$12)/(1+C763)^2+(('Data Schema'!$C$3*(1+B763)^3)*((1-$I$4-$I$5+E763)*(1-$I$10)+$I$6-$I$11)-('Data Schema'!$C$3*(1+B763)^3-'Data Schema'!$C$3*(1+B763)^2)*$I$12)/(1+C763)^3+(('Data Schema'!$C$3*(1+B763)^4)*((1-$I$4-$I$5+E763)*(1-$I$10)+$I$6-$I$11)-('Data Schema'!$C$3*(1+B763)^4-'Data Schema'!$C$3*(1+B763)^3)*$I$12)/(1+C763)^4+(('Data Schema'!$C$3*(1+B763)^5)*((1-$I$4-$I$5+E763)*(1-$I$10)+$I$6-$I$11)-('Data Schema'!$C$3*(1+B763)^5-'Data Schema'!$C$3*(1+B763)^4)*$I$12)/(1+C763)^5+((('Data Schema'!$C$3*(1+B763)^5)*((1-$I$4-$I$5+E763)*(1-$I$10)+$I$6-$I$11)-('Data Schema'!$C$3*(1+B763)^5-'Data Schema'!$C$3*(1+B763)^4)*$I$12)*(1+D763)/(C763-D763))/(1+C763)^5-'Data Schema'!$C$31+'Data Schema'!$C$21)/'Data Schema'!$B$17,0),"INVALID")</f>
        <v>59.829848321568441</v>
      </c>
      <c r="H763" s="189" t="b">
        <f t="shared" ca="1" si="90"/>
        <v>1</v>
      </c>
      <c r="I763" s="188">
        <f t="shared" ca="1" si="91"/>
        <v>59.829848321568441</v>
      </c>
      <c r="J763" s="349">
        <f t="shared" ca="1" si="84"/>
        <v>59.829848321568441</v>
      </c>
    </row>
    <row r="764" spans="1:10">
      <c r="A764" s="185">
        <v>585</v>
      </c>
      <c r="B764" s="190">
        <f t="shared" ca="1" si="85"/>
        <v>0.10645373601139045</v>
      </c>
      <c r="C764" s="190">
        <f t="shared" ca="1" si="86"/>
        <v>6.8599297974351381E-2</v>
      </c>
      <c r="D764" s="190">
        <f t="shared" ca="1" si="87"/>
        <v>2.316006381904457E-2</v>
      </c>
      <c r="E764" s="190">
        <f t="shared" ca="1" si="88"/>
        <v>1.5926664973768732E-2</v>
      </c>
      <c r="F764" s="189" t="b">
        <f t="shared" ca="1" si="89"/>
        <v>1</v>
      </c>
      <c r="G764" s="188">
        <f ca="1">IF(F764,IFERROR(((('Data Schema'!$C$3*(1+B764)^1)*((1-$I$4-$I$5+E764)*(1-$I$10)+$I$6-$I$11)-('Data Schema'!$C$3*(1+B764)^1-'Data Schema'!$C$3)*$I$12)/(1+C764)^1+(('Data Schema'!$C$3*(1+B764)^2)*((1-$I$4-$I$5+E764)*(1-$I$10)+$I$6-$I$11)-('Data Schema'!$C$3*(1+B764)^2-'Data Schema'!$C$3*(1+B764)^1)*$I$12)/(1+C764)^2+(('Data Schema'!$C$3*(1+B764)^3)*((1-$I$4-$I$5+E764)*(1-$I$10)+$I$6-$I$11)-('Data Schema'!$C$3*(1+B764)^3-'Data Schema'!$C$3*(1+B764)^2)*$I$12)/(1+C764)^3+(('Data Schema'!$C$3*(1+B764)^4)*((1-$I$4-$I$5+E764)*(1-$I$10)+$I$6-$I$11)-('Data Schema'!$C$3*(1+B764)^4-'Data Schema'!$C$3*(1+B764)^3)*$I$12)/(1+C764)^4+(('Data Schema'!$C$3*(1+B764)^5)*((1-$I$4-$I$5+E764)*(1-$I$10)+$I$6-$I$11)-('Data Schema'!$C$3*(1+B764)^5-'Data Schema'!$C$3*(1+B764)^4)*$I$12)/(1+C764)^5+((('Data Schema'!$C$3*(1+B764)^5)*((1-$I$4-$I$5+E764)*(1-$I$10)+$I$6-$I$11)-('Data Schema'!$C$3*(1+B764)^5-'Data Schema'!$C$3*(1+B764)^4)*$I$12)*(1+D764)/(C764-D764))/(1+C764)^5-'Data Schema'!$C$31+'Data Schema'!$C$21)/'Data Schema'!$B$17,0),"INVALID")</f>
        <v>100.17941160225763</v>
      </c>
      <c r="H764" s="189" t="b">
        <f t="shared" ca="1" si="90"/>
        <v>1</v>
      </c>
      <c r="I764" s="188">
        <f t="shared" ca="1" si="91"/>
        <v>100.17941160225763</v>
      </c>
      <c r="J764" s="349">
        <f t="shared" ca="1" si="84"/>
        <v>100.17941160225763</v>
      </c>
    </row>
    <row r="765" spans="1:10">
      <c r="A765" s="184">
        <v>586</v>
      </c>
      <c r="B765" s="190">
        <f t="shared" ca="1" si="85"/>
        <v>8.2430871312220197E-2</v>
      </c>
      <c r="C765" s="190">
        <f t="shared" ca="1" si="86"/>
        <v>6.869303599519605E-2</v>
      </c>
      <c r="D765" s="190">
        <f t="shared" ca="1" si="87"/>
        <v>2.6941961614885497E-2</v>
      </c>
      <c r="E765" s="190">
        <f t="shared" ca="1" si="88"/>
        <v>-2.3323204448147693E-2</v>
      </c>
      <c r="F765" s="189" t="b">
        <f t="shared" ca="1" si="89"/>
        <v>1</v>
      </c>
      <c r="G765" s="188">
        <f ca="1">IF(F765,IFERROR(((('Data Schema'!$C$3*(1+B765)^1)*((1-$I$4-$I$5+E765)*(1-$I$10)+$I$6-$I$11)-('Data Schema'!$C$3*(1+B765)^1-'Data Schema'!$C$3)*$I$12)/(1+C765)^1+(('Data Schema'!$C$3*(1+B765)^2)*((1-$I$4-$I$5+E765)*(1-$I$10)+$I$6-$I$11)-('Data Schema'!$C$3*(1+B765)^2-'Data Schema'!$C$3*(1+B765)^1)*$I$12)/(1+C765)^2+(('Data Schema'!$C$3*(1+B765)^3)*((1-$I$4-$I$5+E765)*(1-$I$10)+$I$6-$I$11)-('Data Schema'!$C$3*(1+B765)^3-'Data Schema'!$C$3*(1+B765)^2)*$I$12)/(1+C765)^3+(('Data Schema'!$C$3*(1+B765)^4)*((1-$I$4-$I$5+E765)*(1-$I$10)+$I$6-$I$11)-('Data Schema'!$C$3*(1+B765)^4-'Data Schema'!$C$3*(1+B765)^3)*$I$12)/(1+C765)^4+(('Data Schema'!$C$3*(1+B765)^5)*((1-$I$4-$I$5+E765)*(1-$I$10)+$I$6-$I$11)-('Data Schema'!$C$3*(1+B765)^5-'Data Schema'!$C$3*(1+B765)^4)*$I$12)/(1+C765)^5+((('Data Schema'!$C$3*(1+B765)^5)*((1-$I$4-$I$5+E765)*(1-$I$10)+$I$6-$I$11)-('Data Schema'!$C$3*(1+B765)^5-'Data Schema'!$C$3*(1+B765)^4)*$I$12)*(1+D765)/(C765-D765))/(1+C765)^5-'Data Schema'!$C$31+'Data Schema'!$C$21)/'Data Schema'!$B$17,0),"INVALID")</f>
        <v>15.970920756082799</v>
      </c>
      <c r="H765" s="189" t="b">
        <f t="shared" ca="1" si="90"/>
        <v>1</v>
      </c>
      <c r="I765" s="188">
        <f t="shared" ca="1" si="91"/>
        <v>15.970920756082799</v>
      </c>
      <c r="J765" s="349" t="str">
        <f t="shared" ca="1" si="84"/>
        <v/>
      </c>
    </row>
    <row r="766" spans="1:10">
      <c r="A766" s="185">
        <v>587</v>
      </c>
      <c r="B766" s="190">
        <f t="shared" ca="1" si="85"/>
        <v>0.15017085261820182</v>
      </c>
      <c r="C766" s="190">
        <f t="shared" ca="1" si="86"/>
        <v>5.868910872960402E-2</v>
      </c>
      <c r="D766" s="190">
        <f t="shared" ca="1" si="87"/>
        <v>2.4973791281458917E-2</v>
      </c>
      <c r="E766" s="190">
        <f t="shared" ca="1" si="88"/>
        <v>1.5907158537441794E-2</v>
      </c>
      <c r="F766" s="189" t="b">
        <f t="shared" ca="1" si="89"/>
        <v>1</v>
      </c>
      <c r="G766" s="188">
        <f ca="1">IF(F766,IFERROR(((('Data Schema'!$C$3*(1+B766)^1)*((1-$I$4-$I$5+E766)*(1-$I$10)+$I$6-$I$11)-('Data Schema'!$C$3*(1+B766)^1-'Data Schema'!$C$3)*$I$12)/(1+C766)^1+(('Data Schema'!$C$3*(1+B766)^2)*((1-$I$4-$I$5+E766)*(1-$I$10)+$I$6-$I$11)-('Data Schema'!$C$3*(1+B766)^2-'Data Schema'!$C$3*(1+B766)^1)*$I$12)/(1+C766)^2+(('Data Schema'!$C$3*(1+B766)^3)*((1-$I$4-$I$5+E766)*(1-$I$10)+$I$6-$I$11)-('Data Schema'!$C$3*(1+B766)^3-'Data Schema'!$C$3*(1+B766)^2)*$I$12)/(1+C766)^3+(('Data Schema'!$C$3*(1+B766)^4)*((1-$I$4-$I$5+E766)*(1-$I$10)+$I$6-$I$11)-('Data Schema'!$C$3*(1+B766)^4-'Data Schema'!$C$3*(1+B766)^3)*$I$12)/(1+C766)^4+(('Data Schema'!$C$3*(1+B766)^5)*((1-$I$4-$I$5+E766)*(1-$I$10)+$I$6-$I$11)-('Data Schema'!$C$3*(1+B766)^5-'Data Schema'!$C$3*(1+B766)^4)*$I$12)/(1+C766)^5+((('Data Schema'!$C$3*(1+B766)^5)*((1-$I$4-$I$5+E766)*(1-$I$10)+$I$6-$I$11)-('Data Schema'!$C$3*(1+B766)^5-'Data Schema'!$C$3*(1+B766)^4)*$I$12)*(1+D766)/(C766-D766))/(1+C766)^5-'Data Schema'!$C$31+'Data Schema'!$C$21)/'Data Schema'!$B$17,0),"INVALID")</f>
        <v>163.54097494618236</v>
      </c>
      <c r="H766" s="189" t="b">
        <f t="shared" ca="1" si="90"/>
        <v>1</v>
      </c>
      <c r="I766" s="188">
        <f t="shared" ca="1" si="91"/>
        <v>163.54097494618236</v>
      </c>
      <c r="J766" s="349">
        <f t="shared" ca="1" si="84"/>
        <v>163.54097494618236</v>
      </c>
    </row>
    <row r="767" spans="1:10">
      <c r="A767" s="184">
        <v>588</v>
      </c>
      <c r="B767" s="190">
        <f t="shared" ca="1" si="85"/>
        <v>9.3619656991435415E-2</v>
      </c>
      <c r="C767" s="190">
        <f t="shared" ca="1" si="86"/>
        <v>6.2723409057469551E-2</v>
      </c>
      <c r="D767" s="190">
        <f t="shared" ca="1" si="87"/>
        <v>2.2317817419131705E-2</v>
      </c>
      <c r="E767" s="190">
        <f t="shared" ca="1" si="88"/>
        <v>-2.0707326377431542E-2</v>
      </c>
      <c r="F767" s="189" t="b">
        <f t="shared" ca="1" si="89"/>
        <v>1</v>
      </c>
      <c r="G767" s="188">
        <f ca="1">IF(F767,IFERROR(((('Data Schema'!$C$3*(1+B767)^1)*((1-$I$4-$I$5+E767)*(1-$I$10)+$I$6-$I$11)-('Data Schema'!$C$3*(1+B767)^1-'Data Schema'!$C$3)*$I$12)/(1+C767)^1+(('Data Schema'!$C$3*(1+B767)^2)*((1-$I$4-$I$5+E767)*(1-$I$10)+$I$6-$I$11)-('Data Schema'!$C$3*(1+B767)^2-'Data Schema'!$C$3*(1+B767)^1)*$I$12)/(1+C767)^2+(('Data Schema'!$C$3*(1+B767)^3)*((1-$I$4-$I$5+E767)*(1-$I$10)+$I$6-$I$11)-('Data Schema'!$C$3*(1+B767)^3-'Data Schema'!$C$3*(1+B767)^2)*$I$12)/(1+C767)^3+(('Data Schema'!$C$3*(1+B767)^4)*((1-$I$4-$I$5+E767)*(1-$I$10)+$I$6-$I$11)-('Data Schema'!$C$3*(1+B767)^4-'Data Schema'!$C$3*(1+B767)^3)*$I$12)/(1+C767)^4+(('Data Schema'!$C$3*(1+B767)^5)*((1-$I$4-$I$5+E767)*(1-$I$10)+$I$6-$I$11)-('Data Schema'!$C$3*(1+B767)^5-'Data Schema'!$C$3*(1+B767)^4)*$I$12)/(1+C767)^5+((('Data Schema'!$C$3*(1+B767)^5)*((1-$I$4-$I$5+E767)*(1-$I$10)+$I$6-$I$11)-('Data Schema'!$C$3*(1+B767)^5-'Data Schema'!$C$3*(1+B767)^4)*$I$12)*(1+D767)/(C767-D767))/(1+C767)^5-'Data Schema'!$C$31+'Data Schema'!$C$21)/'Data Schema'!$B$17,0),"INVALID")</f>
        <v>23.802788552965495</v>
      </c>
      <c r="H767" s="189" t="b">
        <f t="shared" ca="1" si="90"/>
        <v>1</v>
      </c>
      <c r="I767" s="188">
        <f t="shared" ca="1" si="91"/>
        <v>23.802788552965495</v>
      </c>
      <c r="J767" s="349" t="str">
        <f t="shared" ca="1" si="84"/>
        <v/>
      </c>
    </row>
    <row r="768" spans="1:10">
      <c r="A768" s="185">
        <v>589</v>
      </c>
      <c r="B768" s="190">
        <f t="shared" ca="1" si="85"/>
        <v>9.4875047194512729E-2</v>
      </c>
      <c r="C768" s="190">
        <f t="shared" ca="1" si="86"/>
        <v>5.2858440751906613E-2</v>
      </c>
      <c r="D768" s="190">
        <f t="shared" ca="1" si="87"/>
        <v>2.5675484154757681E-2</v>
      </c>
      <c r="E768" s="190">
        <f t="shared" ca="1" si="88"/>
        <v>-8.1914207267127156E-3</v>
      </c>
      <c r="F768" s="189" t="b">
        <f t="shared" ca="1" si="89"/>
        <v>1</v>
      </c>
      <c r="G768" s="188">
        <f ca="1">IF(F768,IFERROR(((('Data Schema'!$C$3*(1+B768)^1)*((1-$I$4-$I$5+E768)*(1-$I$10)+$I$6-$I$11)-('Data Schema'!$C$3*(1+B768)^1-'Data Schema'!$C$3)*$I$12)/(1+C768)^1+(('Data Schema'!$C$3*(1+B768)^2)*((1-$I$4-$I$5+E768)*(1-$I$10)+$I$6-$I$11)-('Data Schema'!$C$3*(1+B768)^2-'Data Schema'!$C$3*(1+B768)^1)*$I$12)/(1+C768)^2+(('Data Schema'!$C$3*(1+B768)^3)*((1-$I$4-$I$5+E768)*(1-$I$10)+$I$6-$I$11)-('Data Schema'!$C$3*(1+B768)^3-'Data Schema'!$C$3*(1+B768)^2)*$I$12)/(1+C768)^3+(('Data Schema'!$C$3*(1+B768)^4)*((1-$I$4-$I$5+E768)*(1-$I$10)+$I$6-$I$11)-('Data Schema'!$C$3*(1+B768)^4-'Data Schema'!$C$3*(1+B768)^3)*$I$12)/(1+C768)^4+(('Data Schema'!$C$3*(1+B768)^5)*((1-$I$4-$I$5+E768)*(1-$I$10)+$I$6-$I$11)-('Data Schema'!$C$3*(1+B768)^5-'Data Schema'!$C$3*(1+B768)^4)*$I$12)/(1+C768)^5+((('Data Schema'!$C$3*(1+B768)^5)*((1-$I$4-$I$5+E768)*(1-$I$10)+$I$6-$I$11)-('Data Schema'!$C$3*(1+B768)^5-'Data Schema'!$C$3*(1+B768)^4)*$I$12)*(1+D768)/(C768-D768))/(1+C768)^5-'Data Schema'!$C$31+'Data Schema'!$C$21)/'Data Schema'!$B$17,0),"INVALID")</f>
        <v>81.703337847992543</v>
      </c>
      <c r="H768" s="189" t="b">
        <f t="shared" ca="1" si="90"/>
        <v>1</v>
      </c>
      <c r="I768" s="188">
        <f t="shared" ca="1" si="91"/>
        <v>81.703337847992543</v>
      </c>
      <c r="J768" s="349">
        <f t="shared" ca="1" si="84"/>
        <v>81.703337847992543</v>
      </c>
    </row>
    <row r="769" spans="1:10">
      <c r="A769" s="184">
        <v>590</v>
      </c>
      <c r="B769" s="190">
        <f t="shared" ca="1" si="85"/>
        <v>0.11030454406902257</v>
      </c>
      <c r="C769" s="190">
        <f t="shared" ca="1" si="86"/>
        <v>4.6217944306484897E-2</v>
      </c>
      <c r="D769" s="190">
        <f t="shared" ca="1" si="87"/>
        <v>2.9332451371463501E-2</v>
      </c>
      <c r="E769" s="190">
        <f t="shared" ca="1" si="88"/>
        <v>-1.3595091395653396E-2</v>
      </c>
      <c r="F769" s="189" t="b">
        <f t="shared" ca="1" si="89"/>
        <v>1</v>
      </c>
      <c r="G769" s="188">
        <f ca="1">IF(F769,IFERROR(((('Data Schema'!$C$3*(1+B769)^1)*((1-$I$4-$I$5+E769)*(1-$I$10)+$I$6-$I$11)-('Data Schema'!$C$3*(1+B769)^1-'Data Schema'!$C$3)*$I$12)/(1+C769)^1+(('Data Schema'!$C$3*(1+B769)^2)*((1-$I$4-$I$5+E769)*(1-$I$10)+$I$6-$I$11)-('Data Schema'!$C$3*(1+B769)^2-'Data Schema'!$C$3*(1+B769)^1)*$I$12)/(1+C769)^2+(('Data Schema'!$C$3*(1+B769)^3)*((1-$I$4-$I$5+E769)*(1-$I$10)+$I$6-$I$11)-('Data Schema'!$C$3*(1+B769)^3-'Data Schema'!$C$3*(1+B769)^2)*$I$12)/(1+C769)^3+(('Data Schema'!$C$3*(1+B769)^4)*((1-$I$4-$I$5+E769)*(1-$I$10)+$I$6-$I$11)-('Data Schema'!$C$3*(1+B769)^4-'Data Schema'!$C$3*(1+B769)^3)*$I$12)/(1+C769)^4+(('Data Schema'!$C$3*(1+B769)^5)*((1-$I$4-$I$5+E769)*(1-$I$10)+$I$6-$I$11)-('Data Schema'!$C$3*(1+B769)^5-'Data Schema'!$C$3*(1+B769)^4)*$I$12)/(1+C769)^5+((('Data Schema'!$C$3*(1+B769)^5)*((1-$I$4-$I$5+E769)*(1-$I$10)+$I$6-$I$11)-('Data Schema'!$C$3*(1+B769)^5-'Data Schema'!$C$3*(1+B769)^4)*$I$12)*(1+D769)/(C769-D769))/(1+C769)^5-'Data Schema'!$C$31+'Data Schema'!$C$21)/'Data Schema'!$B$17,0),"INVALID")</f>
        <v>110.92424172192497</v>
      </c>
      <c r="H769" s="189" t="b">
        <f t="shared" ca="1" si="90"/>
        <v>1</v>
      </c>
      <c r="I769" s="188">
        <f t="shared" ca="1" si="91"/>
        <v>110.92424172192497</v>
      </c>
      <c r="J769" s="349">
        <f t="shared" ca="1" si="84"/>
        <v>110.92424172192497</v>
      </c>
    </row>
    <row r="770" spans="1:10">
      <c r="A770" s="185">
        <v>591</v>
      </c>
      <c r="B770" s="190">
        <f t="shared" ca="1" si="85"/>
        <v>7.7903380591814578E-2</v>
      </c>
      <c r="C770" s="190">
        <f t="shared" ca="1" si="86"/>
        <v>5.8519083782471316E-2</v>
      </c>
      <c r="D770" s="190">
        <f t="shared" ca="1" si="87"/>
        <v>1.6227540881697401E-2</v>
      </c>
      <c r="E770" s="190">
        <f t="shared" ca="1" si="88"/>
        <v>-1.308201180750034E-2</v>
      </c>
      <c r="F770" s="189" t="b">
        <f t="shared" ca="1" si="89"/>
        <v>1</v>
      </c>
      <c r="G770" s="188">
        <f ca="1">IF(F770,IFERROR(((('Data Schema'!$C$3*(1+B770)^1)*((1-$I$4-$I$5+E770)*(1-$I$10)+$I$6-$I$11)-('Data Schema'!$C$3*(1+B770)^1-'Data Schema'!$C$3)*$I$12)/(1+C770)^1+(('Data Schema'!$C$3*(1+B770)^2)*((1-$I$4-$I$5+E770)*(1-$I$10)+$I$6-$I$11)-('Data Schema'!$C$3*(1+B770)^2-'Data Schema'!$C$3*(1+B770)^1)*$I$12)/(1+C770)^2+(('Data Schema'!$C$3*(1+B770)^3)*((1-$I$4-$I$5+E770)*(1-$I$10)+$I$6-$I$11)-('Data Schema'!$C$3*(1+B770)^3-'Data Schema'!$C$3*(1+B770)^2)*$I$12)/(1+C770)^3+(('Data Schema'!$C$3*(1+B770)^4)*((1-$I$4-$I$5+E770)*(1-$I$10)+$I$6-$I$11)-('Data Schema'!$C$3*(1+B770)^4-'Data Schema'!$C$3*(1+B770)^3)*$I$12)/(1+C770)^4+(('Data Schema'!$C$3*(1+B770)^5)*((1-$I$4-$I$5+E770)*(1-$I$10)+$I$6-$I$11)-('Data Schema'!$C$3*(1+B770)^5-'Data Schema'!$C$3*(1+B770)^4)*$I$12)/(1+C770)^5+((('Data Schema'!$C$3*(1+B770)^5)*((1-$I$4-$I$5+E770)*(1-$I$10)+$I$6-$I$11)-('Data Schema'!$C$3*(1+B770)^5-'Data Schema'!$C$3*(1+B770)^4)*$I$12)*(1+D770)/(C770-D770))/(1+C770)^5-'Data Schema'!$C$31+'Data Schema'!$C$21)/'Data Schema'!$B$17,0),"INVALID")</f>
        <v>37.891856390856788</v>
      </c>
      <c r="H770" s="189" t="b">
        <f t="shared" ca="1" si="90"/>
        <v>1</v>
      </c>
      <c r="I770" s="188">
        <f t="shared" ca="1" si="91"/>
        <v>37.891856390856788</v>
      </c>
      <c r="J770" s="349">
        <f t="shared" ca="1" si="84"/>
        <v>37.891856390856788</v>
      </c>
    </row>
    <row r="771" spans="1:10">
      <c r="A771" s="184">
        <v>592</v>
      </c>
      <c r="B771" s="190">
        <f t="shared" ca="1" si="85"/>
        <v>9.6120658336145803E-2</v>
      </c>
      <c r="C771" s="190">
        <f t="shared" ca="1" si="86"/>
        <v>7.2270026287370309E-2</v>
      </c>
      <c r="D771" s="190">
        <f t="shared" ca="1" si="87"/>
        <v>1.782946155433187E-2</v>
      </c>
      <c r="E771" s="190">
        <f t="shared" ca="1" si="88"/>
        <v>2.5940124148449525E-2</v>
      </c>
      <c r="F771" s="189" t="b">
        <f t="shared" ca="1" si="89"/>
        <v>1</v>
      </c>
      <c r="G771" s="188">
        <f ca="1">IF(F771,IFERROR(((('Data Schema'!$C$3*(1+B771)^1)*((1-$I$4-$I$5+E771)*(1-$I$10)+$I$6-$I$11)-('Data Schema'!$C$3*(1+B771)^1-'Data Schema'!$C$3)*$I$12)/(1+C771)^1+(('Data Schema'!$C$3*(1+B771)^2)*((1-$I$4-$I$5+E771)*(1-$I$10)+$I$6-$I$11)-('Data Schema'!$C$3*(1+B771)^2-'Data Schema'!$C$3*(1+B771)^1)*$I$12)/(1+C771)^2+(('Data Schema'!$C$3*(1+B771)^3)*((1-$I$4-$I$5+E771)*(1-$I$10)+$I$6-$I$11)-('Data Schema'!$C$3*(1+B771)^3-'Data Schema'!$C$3*(1+B771)^2)*$I$12)/(1+C771)^3+(('Data Schema'!$C$3*(1+B771)^4)*((1-$I$4-$I$5+E771)*(1-$I$10)+$I$6-$I$11)-('Data Schema'!$C$3*(1+B771)^4-'Data Schema'!$C$3*(1+B771)^3)*$I$12)/(1+C771)^4+(('Data Schema'!$C$3*(1+B771)^5)*((1-$I$4-$I$5+E771)*(1-$I$10)+$I$6-$I$11)-('Data Schema'!$C$3*(1+B771)^5-'Data Schema'!$C$3*(1+B771)^4)*$I$12)/(1+C771)^5+((('Data Schema'!$C$3*(1+B771)^5)*((1-$I$4-$I$5+E771)*(1-$I$10)+$I$6-$I$11)-('Data Schema'!$C$3*(1+B771)^5-'Data Schema'!$C$3*(1+B771)^4)*$I$12)*(1+D771)/(C771-D771))/(1+C771)^5-'Data Schema'!$C$31+'Data Schema'!$C$21)/'Data Schema'!$B$17,0),"INVALID")</f>
        <v>97.728915904278324</v>
      </c>
      <c r="H771" s="189" t="b">
        <f t="shared" ca="1" si="90"/>
        <v>1</v>
      </c>
      <c r="I771" s="188">
        <f t="shared" ca="1" si="91"/>
        <v>97.728915904278324</v>
      </c>
      <c r="J771" s="349">
        <f t="shared" ca="1" si="84"/>
        <v>97.728915904278324</v>
      </c>
    </row>
    <row r="772" spans="1:10">
      <c r="A772" s="185">
        <v>593</v>
      </c>
      <c r="B772" s="190">
        <f t="shared" ca="1" si="85"/>
        <v>8.1690039833702058E-2</v>
      </c>
      <c r="C772" s="190">
        <f t="shared" ca="1" si="86"/>
        <v>6.8064277409839627E-2</v>
      </c>
      <c r="D772" s="190">
        <f t="shared" ca="1" si="87"/>
        <v>2.1010911894296817E-2</v>
      </c>
      <c r="E772" s="190">
        <f t="shared" ca="1" si="88"/>
        <v>-4.3391252203468338E-2</v>
      </c>
      <c r="F772" s="189" t="b">
        <f t="shared" ca="1" si="89"/>
        <v>1</v>
      </c>
      <c r="G772" s="188">
        <f ca="1">IF(F772,IFERROR(((('Data Schema'!$C$3*(1+B772)^1)*((1-$I$4-$I$5+E772)*(1-$I$10)+$I$6-$I$11)-('Data Schema'!$C$3*(1+B772)^1-'Data Schema'!$C$3)*$I$12)/(1+C772)^1+(('Data Schema'!$C$3*(1+B772)^2)*((1-$I$4-$I$5+E772)*(1-$I$10)+$I$6-$I$11)-('Data Schema'!$C$3*(1+B772)^2-'Data Schema'!$C$3*(1+B772)^1)*$I$12)/(1+C772)^2+(('Data Schema'!$C$3*(1+B772)^3)*((1-$I$4-$I$5+E772)*(1-$I$10)+$I$6-$I$11)-('Data Schema'!$C$3*(1+B772)^3-'Data Schema'!$C$3*(1+B772)^2)*$I$12)/(1+C772)^3+(('Data Schema'!$C$3*(1+B772)^4)*((1-$I$4-$I$5+E772)*(1-$I$10)+$I$6-$I$11)-('Data Schema'!$C$3*(1+B772)^4-'Data Schema'!$C$3*(1+B772)^3)*$I$12)/(1+C772)^4+(('Data Schema'!$C$3*(1+B772)^5)*((1-$I$4-$I$5+E772)*(1-$I$10)+$I$6-$I$11)-('Data Schema'!$C$3*(1+B772)^5-'Data Schema'!$C$3*(1+B772)^4)*$I$12)/(1+C772)^5+((('Data Schema'!$C$3*(1+B772)^5)*((1-$I$4-$I$5+E772)*(1-$I$10)+$I$6-$I$11)-('Data Schema'!$C$3*(1+B772)^5-'Data Schema'!$C$3*(1+B772)^4)*$I$12)*(1+D772)/(C772-D772))/(1+C772)^5-'Data Schema'!$C$31+'Data Schema'!$C$21)/'Data Schema'!$B$17,0),"INVALID")</f>
        <v>-24.152647848905293</v>
      </c>
      <c r="H772" s="189" t="b">
        <f t="shared" ca="1" si="90"/>
        <v>0</v>
      </c>
      <c r="I772" s="188" t="str">
        <f t="shared" ca="1" si="91"/>
        <v/>
      </c>
      <c r="J772" s="349" t="str">
        <f t="shared" ca="1" si="84"/>
        <v/>
      </c>
    </row>
    <row r="773" spans="1:10">
      <c r="A773" s="184">
        <v>594</v>
      </c>
      <c r="B773" s="190">
        <f t="shared" ca="1" si="85"/>
        <v>0.14177508533711436</v>
      </c>
      <c r="C773" s="190">
        <f t="shared" ca="1" si="86"/>
        <v>4.7058478407931412E-2</v>
      </c>
      <c r="D773" s="190">
        <f t="shared" ca="1" si="87"/>
        <v>2.4198488259960408E-2</v>
      </c>
      <c r="E773" s="190">
        <f t="shared" ca="1" si="88"/>
        <v>2.0326863225139036E-2</v>
      </c>
      <c r="F773" s="189" t="b">
        <f t="shared" ca="1" si="89"/>
        <v>1</v>
      </c>
      <c r="G773" s="188">
        <f ca="1">IF(F773,IFERROR(((('Data Schema'!$C$3*(1+B773)^1)*((1-$I$4-$I$5+E773)*(1-$I$10)+$I$6-$I$11)-('Data Schema'!$C$3*(1+B773)^1-'Data Schema'!$C$3)*$I$12)/(1+C773)^1+(('Data Schema'!$C$3*(1+B773)^2)*((1-$I$4-$I$5+E773)*(1-$I$10)+$I$6-$I$11)-('Data Schema'!$C$3*(1+B773)^2-'Data Schema'!$C$3*(1+B773)^1)*$I$12)/(1+C773)^2+(('Data Schema'!$C$3*(1+B773)^3)*((1-$I$4-$I$5+E773)*(1-$I$10)+$I$6-$I$11)-('Data Schema'!$C$3*(1+B773)^3-'Data Schema'!$C$3*(1+B773)^2)*$I$12)/(1+C773)^3+(('Data Schema'!$C$3*(1+B773)^4)*((1-$I$4-$I$5+E773)*(1-$I$10)+$I$6-$I$11)-('Data Schema'!$C$3*(1+B773)^4-'Data Schema'!$C$3*(1+B773)^3)*$I$12)/(1+C773)^4+(('Data Schema'!$C$3*(1+B773)^5)*((1-$I$4-$I$5+E773)*(1-$I$10)+$I$6-$I$11)-('Data Schema'!$C$3*(1+B773)^5-'Data Schema'!$C$3*(1+B773)^4)*$I$12)/(1+C773)^5+((('Data Schema'!$C$3*(1+B773)^5)*((1-$I$4-$I$5+E773)*(1-$I$10)+$I$6-$I$11)-('Data Schema'!$C$3*(1+B773)^5-'Data Schema'!$C$3*(1+B773)^4)*$I$12)*(1+D773)/(C773-D773))/(1+C773)^5-'Data Schema'!$C$31+'Data Schema'!$C$21)/'Data Schema'!$B$17,0),"INVALID")</f>
        <v>261.93360561704719</v>
      </c>
      <c r="H773" s="189" t="b">
        <f t="shared" ca="1" si="90"/>
        <v>1</v>
      </c>
      <c r="I773" s="188">
        <f t="shared" ca="1" si="91"/>
        <v>261.93360561704719</v>
      </c>
      <c r="J773" s="349" t="str">
        <f t="shared" ca="1" si="84"/>
        <v/>
      </c>
    </row>
    <row r="774" spans="1:10">
      <c r="A774" s="185">
        <v>595</v>
      </c>
      <c r="B774" s="190">
        <f t="shared" ca="1" si="85"/>
        <v>8.9179909330491317E-2</v>
      </c>
      <c r="C774" s="190">
        <f t="shared" ca="1" si="86"/>
        <v>4.4020174591061785E-2</v>
      </c>
      <c r="D774" s="190">
        <f t="shared" ca="1" si="87"/>
        <v>2.2373363033064649E-2</v>
      </c>
      <c r="E774" s="190">
        <f t="shared" ca="1" si="88"/>
        <v>-5.153970477915608E-3</v>
      </c>
      <c r="F774" s="189" t="b">
        <f t="shared" ca="1" si="89"/>
        <v>1</v>
      </c>
      <c r="G774" s="188">
        <f ca="1">IF(F774,IFERROR(((('Data Schema'!$C$3*(1+B774)^1)*((1-$I$4-$I$5+E774)*(1-$I$10)+$I$6-$I$11)-('Data Schema'!$C$3*(1+B774)^1-'Data Schema'!$C$3)*$I$12)/(1+C774)^1+(('Data Schema'!$C$3*(1+B774)^2)*((1-$I$4-$I$5+E774)*(1-$I$10)+$I$6-$I$11)-('Data Schema'!$C$3*(1+B774)^2-'Data Schema'!$C$3*(1+B774)^1)*$I$12)/(1+C774)^2+(('Data Schema'!$C$3*(1+B774)^3)*((1-$I$4-$I$5+E774)*(1-$I$10)+$I$6-$I$11)-('Data Schema'!$C$3*(1+B774)^3-'Data Schema'!$C$3*(1+B774)^2)*$I$12)/(1+C774)^3+(('Data Schema'!$C$3*(1+B774)^4)*((1-$I$4-$I$5+E774)*(1-$I$10)+$I$6-$I$11)-('Data Schema'!$C$3*(1+B774)^4-'Data Schema'!$C$3*(1+B774)^3)*$I$12)/(1+C774)^4+(('Data Schema'!$C$3*(1+B774)^5)*((1-$I$4-$I$5+E774)*(1-$I$10)+$I$6-$I$11)-('Data Schema'!$C$3*(1+B774)^5-'Data Schema'!$C$3*(1+B774)^4)*$I$12)/(1+C774)^5+((('Data Schema'!$C$3*(1+B774)^5)*((1-$I$4-$I$5+E774)*(1-$I$10)+$I$6-$I$11)-('Data Schema'!$C$3*(1+B774)^5-'Data Schema'!$C$3*(1+B774)^4)*$I$12)*(1+D774)/(C774-D774))/(1+C774)^5-'Data Schema'!$C$31+'Data Schema'!$C$21)/'Data Schema'!$B$17,0),"INVALID")</f>
        <v>116.81191842410203</v>
      </c>
      <c r="H774" s="189" t="b">
        <f t="shared" ca="1" si="90"/>
        <v>1</v>
      </c>
      <c r="I774" s="188">
        <f t="shared" ca="1" si="91"/>
        <v>116.81191842410203</v>
      </c>
      <c r="J774" s="349">
        <f t="shared" ca="1" si="84"/>
        <v>116.81191842410203</v>
      </c>
    </row>
    <row r="775" spans="1:10">
      <c r="A775" s="184">
        <v>596</v>
      </c>
      <c r="B775" s="190">
        <f t="shared" ca="1" si="85"/>
        <v>9.1101466833625702E-2</v>
      </c>
      <c r="C775" s="190">
        <f t="shared" ca="1" si="86"/>
        <v>8.2371708879570876E-2</v>
      </c>
      <c r="D775" s="190">
        <f t="shared" ca="1" si="87"/>
        <v>3.0728580864203357E-2</v>
      </c>
      <c r="E775" s="190">
        <f t="shared" ca="1" si="88"/>
        <v>-1.2930708722856218E-2</v>
      </c>
      <c r="F775" s="189" t="b">
        <f t="shared" ca="1" si="89"/>
        <v>1</v>
      </c>
      <c r="G775" s="188">
        <f ca="1">IF(F775,IFERROR(((('Data Schema'!$C$3*(1+B775)^1)*((1-$I$4-$I$5+E775)*(1-$I$10)+$I$6-$I$11)-('Data Schema'!$C$3*(1+B775)^1-'Data Schema'!$C$3)*$I$12)/(1+C775)^1+(('Data Schema'!$C$3*(1+B775)^2)*((1-$I$4-$I$5+E775)*(1-$I$10)+$I$6-$I$11)-('Data Schema'!$C$3*(1+B775)^2-'Data Schema'!$C$3*(1+B775)^1)*$I$12)/(1+C775)^2+(('Data Schema'!$C$3*(1+B775)^3)*((1-$I$4-$I$5+E775)*(1-$I$10)+$I$6-$I$11)-('Data Schema'!$C$3*(1+B775)^3-'Data Schema'!$C$3*(1+B775)^2)*$I$12)/(1+C775)^3+(('Data Schema'!$C$3*(1+B775)^4)*((1-$I$4-$I$5+E775)*(1-$I$10)+$I$6-$I$11)-('Data Schema'!$C$3*(1+B775)^4-'Data Schema'!$C$3*(1+B775)^3)*$I$12)/(1+C775)^4+(('Data Schema'!$C$3*(1+B775)^5)*((1-$I$4-$I$5+E775)*(1-$I$10)+$I$6-$I$11)-('Data Schema'!$C$3*(1+B775)^5-'Data Schema'!$C$3*(1+B775)^4)*$I$12)/(1+C775)^5+((('Data Schema'!$C$3*(1+B775)^5)*((1-$I$4-$I$5+E775)*(1-$I$10)+$I$6-$I$11)-('Data Schema'!$C$3*(1+B775)^5-'Data Schema'!$C$3*(1+B775)^4)*$I$12)*(1+D775)/(C775-D775))/(1+C775)^5-'Data Schema'!$C$31+'Data Schema'!$C$21)/'Data Schema'!$B$17,0),"INVALID")</f>
        <v>29.540805297702196</v>
      </c>
      <c r="H775" s="189" t="b">
        <f t="shared" ca="1" si="90"/>
        <v>1</v>
      </c>
      <c r="I775" s="188">
        <f t="shared" ca="1" si="91"/>
        <v>29.540805297702196</v>
      </c>
      <c r="J775" s="349">
        <f t="shared" ca="1" si="84"/>
        <v>29.540805297702196</v>
      </c>
    </row>
    <row r="776" spans="1:10">
      <c r="A776" s="185">
        <v>597</v>
      </c>
      <c r="B776" s="190">
        <f t="shared" ca="1" si="85"/>
        <v>8.7574372564712094E-2</v>
      </c>
      <c r="C776" s="190">
        <f t="shared" ca="1" si="86"/>
        <v>4.3528574996767697E-2</v>
      </c>
      <c r="D776" s="190">
        <f t="shared" ca="1" si="87"/>
        <v>2.6603719068110723E-2</v>
      </c>
      <c r="E776" s="190">
        <f t="shared" ca="1" si="88"/>
        <v>6.4354151281156577E-3</v>
      </c>
      <c r="F776" s="189" t="b">
        <f t="shared" ca="1" si="89"/>
        <v>1</v>
      </c>
      <c r="G776" s="188">
        <f ca="1">IF(F776,IFERROR(((('Data Schema'!$C$3*(1+B776)^1)*((1-$I$4-$I$5+E776)*(1-$I$10)+$I$6-$I$11)-('Data Schema'!$C$3*(1+B776)^1-'Data Schema'!$C$3)*$I$12)/(1+C776)^1+(('Data Schema'!$C$3*(1+B776)^2)*((1-$I$4-$I$5+E776)*(1-$I$10)+$I$6-$I$11)-('Data Schema'!$C$3*(1+B776)^2-'Data Schema'!$C$3*(1+B776)^1)*$I$12)/(1+C776)^2+(('Data Schema'!$C$3*(1+B776)^3)*((1-$I$4-$I$5+E776)*(1-$I$10)+$I$6-$I$11)-('Data Schema'!$C$3*(1+B776)^3-'Data Schema'!$C$3*(1+B776)^2)*$I$12)/(1+C776)^3+(('Data Schema'!$C$3*(1+B776)^4)*((1-$I$4-$I$5+E776)*(1-$I$10)+$I$6-$I$11)-('Data Schema'!$C$3*(1+B776)^4-'Data Schema'!$C$3*(1+B776)^3)*$I$12)/(1+C776)^4+(('Data Schema'!$C$3*(1+B776)^5)*((1-$I$4-$I$5+E776)*(1-$I$10)+$I$6-$I$11)-('Data Schema'!$C$3*(1+B776)^5-'Data Schema'!$C$3*(1+B776)^4)*$I$12)/(1+C776)^5+((('Data Schema'!$C$3*(1+B776)^5)*((1-$I$4-$I$5+E776)*(1-$I$10)+$I$6-$I$11)-('Data Schema'!$C$3*(1+B776)^5-'Data Schema'!$C$3*(1+B776)^4)*$I$12)*(1+D776)/(C776-D776))/(1+C776)^5-'Data Schema'!$C$31+'Data Schema'!$C$21)/'Data Schema'!$B$17,0),"INVALID")</f>
        <v>210.34062445538859</v>
      </c>
      <c r="H776" s="189" t="b">
        <f t="shared" ca="1" si="90"/>
        <v>1</v>
      </c>
      <c r="I776" s="188">
        <f t="shared" ca="1" si="91"/>
        <v>210.34062445538859</v>
      </c>
      <c r="J776" s="349">
        <f t="shared" ca="1" si="84"/>
        <v>210.34062445538859</v>
      </c>
    </row>
    <row r="777" spans="1:10">
      <c r="A777" s="184">
        <v>598</v>
      </c>
      <c r="B777" s="190">
        <f t="shared" ca="1" si="85"/>
        <v>0.1208936717932257</v>
      </c>
      <c r="C777" s="190">
        <f t="shared" ca="1" si="86"/>
        <v>6.2805137467271593E-2</v>
      </c>
      <c r="D777" s="190">
        <f t="shared" ca="1" si="87"/>
        <v>3.5246239982847698E-2</v>
      </c>
      <c r="E777" s="190">
        <f t="shared" ca="1" si="88"/>
        <v>2.4468279154584074E-2</v>
      </c>
      <c r="F777" s="189" t="b">
        <f t="shared" ca="1" si="89"/>
        <v>1</v>
      </c>
      <c r="G777" s="188">
        <f ca="1">IF(F777,IFERROR(((('Data Schema'!$C$3*(1+B777)^1)*((1-$I$4-$I$5+E777)*(1-$I$10)+$I$6-$I$11)-('Data Schema'!$C$3*(1+B777)^1-'Data Schema'!$C$3)*$I$12)/(1+C777)^1+(('Data Schema'!$C$3*(1+B777)^2)*((1-$I$4-$I$5+E777)*(1-$I$10)+$I$6-$I$11)-('Data Schema'!$C$3*(1+B777)^2-'Data Schema'!$C$3*(1+B777)^1)*$I$12)/(1+C777)^2+(('Data Schema'!$C$3*(1+B777)^3)*((1-$I$4-$I$5+E777)*(1-$I$10)+$I$6-$I$11)-('Data Schema'!$C$3*(1+B777)^3-'Data Schema'!$C$3*(1+B777)^2)*$I$12)/(1+C777)^3+(('Data Schema'!$C$3*(1+B777)^4)*((1-$I$4-$I$5+E777)*(1-$I$10)+$I$6-$I$11)-('Data Schema'!$C$3*(1+B777)^4-'Data Schema'!$C$3*(1+B777)^3)*$I$12)/(1+C777)^4+(('Data Schema'!$C$3*(1+B777)^5)*((1-$I$4-$I$5+E777)*(1-$I$10)+$I$6-$I$11)-('Data Schema'!$C$3*(1+B777)^5-'Data Schema'!$C$3*(1+B777)^4)*$I$12)/(1+C777)^5+((('Data Schema'!$C$3*(1+B777)^5)*((1-$I$4-$I$5+E777)*(1-$I$10)+$I$6-$I$11)-('Data Schema'!$C$3*(1+B777)^5-'Data Schema'!$C$3*(1+B777)^4)*$I$12)*(1+D777)/(C777-D777))/(1+C777)^5-'Data Schema'!$C$31+'Data Schema'!$C$21)/'Data Schema'!$B$17,0),"INVALID")</f>
        <v>205.00090328963873</v>
      </c>
      <c r="H777" s="189" t="b">
        <f t="shared" ca="1" si="90"/>
        <v>1</v>
      </c>
      <c r="I777" s="188">
        <f t="shared" ca="1" si="91"/>
        <v>205.00090328963873</v>
      </c>
      <c r="J777" s="349">
        <f t="shared" ca="1" si="84"/>
        <v>205.00090328963873</v>
      </c>
    </row>
    <row r="778" spans="1:10">
      <c r="A778" s="185">
        <v>599</v>
      </c>
      <c r="B778" s="190">
        <f t="shared" ca="1" si="85"/>
        <v>8.6407670592081542E-2</v>
      </c>
      <c r="C778" s="190">
        <f t="shared" ca="1" si="86"/>
        <v>6.7836028085490399E-2</v>
      </c>
      <c r="D778" s="190">
        <f t="shared" ca="1" si="87"/>
        <v>2.3202810614767439E-2</v>
      </c>
      <c r="E778" s="190">
        <f t="shared" ca="1" si="88"/>
        <v>-2.1076515181525521E-2</v>
      </c>
      <c r="F778" s="189" t="b">
        <f t="shared" ca="1" si="89"/>
        <v>1</v>
      </c>
      <c r="G778" s="188">
        <f ca="1">IF(F778,IFERROR(((('Data Schema'!$C$3*(1+B778)^1)*((1-$I$4-$I$5+E778)*(1-$I$10)+$I$6-$I$11)-('Data Schema'!$C$3*(1+B778)^1-'Data Schema'!$C$3)*$I$12)/(1+C778)^1+(('Data Schema'!$C$3*(1+B778)^2)*((1-$I$4-$I$5+E778)*(1-$I$10)+$I$6-$I$11)-('Data Schema'!$C$3*(1+B778)^2-'Data Schema'!$C$3*(1+B778)^1)*$I$12)/(1+C778)^2+(('Data Schema'!$C$3*(1+B778)^3)*((1-$I$4-$I$5+E778)*(1-$I$10)+$I$6-$I$11)-('Data Schema'!$C$3*(1+B778)^3-'Data Schema'!$C$3*(1+B778)^2)*$I$12)/(1+C778)^3+(('Data Schema'!$C$3*(1+B778)^4)*((1-$I$4-$I$5+E778)*(1-$I$10)+$I$6-$I$11)-('Data Schema'!$C$3*(1+B778)^4-'Data Schema'!$C$3*(1+B778)^3)*$I$12)/(1+C778)^4+(('Data Schema'!$C$3*(1+B778)^5)*((1-$I$4-$I$5+E778)*(1-$I$10)+$I$6-$I$11)-('Data Schema'!$C$3*(1+B778)^5-'Data Schema'!$C$3*(1+B778)^4)*$I$12)/(1+C778)^5+((('Data Schema'!$C$3*(1+B778)^5)*((1-$I$4-$I$5+E778)*(1-$I$10)+$I$6-$I$11)-('Data Schema'!$C$3*(1+B778)^5-'Data Schema'!$C$3*(1+B778)^4)*$I$12)*(1+D778)/(C778-D778))/(1+C778)^5-'Data Schema'!$C$31+'Data Schema'!$C$21)/'Data Schema'!$B$17,0),"INVALID")</f>
        <v>19.472646905036473</v>
      </c>
      <c r="H778" s="189" t="b">
        <f t="shared" ca="1" si="90"/>
        <v>1</v>
      </c>
      <c r="I778" s="188">
        <f t="shared" ca="1" si="91"/>
        <v>19.472646905036473</v>
      </c>
      <c r="J778" s="349" t="str">
        <f t="shared" ca="1" si="84"/>
        <v/>
      </c>
    </row>
    <row r="779" spans="1:10">
      <c r="A779" s="184">
        <v>600</v>
      </c>
      <c r="B779" s="190">
        <f t="shared" ca="1" si="85"/>
        <v>0.10774314418356608</v>
      </c>
      <c r="C779" s="190">
        <f t="shared" ca="1" si="86"/>
        <v>6.2548128710270115E-2</v>
      </c>
      <c r="D779" s="190">
        <f t="shared" ca="1" si="87"/>
        <v>1.7825394692109926E-2</v>
      </c>
      <c r="E779" s="190">
        <f t="shared" ca="1" si="88"/>
        <v>5.9889819596839399E-3</v>
      </c>
      <c r="F779" s="189" t="b">
        <f t="shared" ca="1" si="89"/>
        <v>1</v>
      </c>
      <c r="G779" s="188">
        <f ca="1">IF(F779,IFERROR(((('Data Schema'!$C$3*(1+B779)^1)*((1-$I$4-$I$5+E779)*(1-$I$10)+$I$6-$I$11)-('Data Schema'!$C$3*(1+B779)^1-'Data Schema'!$C$3)*$I$12)/(1+C779)^1+(('Data Schema'!$C$3*(1+B779)^2)*((1-$I$4-$I$5+E779)*(1-$I$10)+$I$6-$I$11)-('Data Schema'!$C$3*(1+B779)^2-'Data Schema'!$C$3*(1+B779)^1)*$I$12)/(1+C779)^2+(('Data Schema'!$C$3*(1+B779)^3)*((1-$I$4-$I$5+E779)*(1-$I$10)+$I$6-$I$11)-('Data Schema'!$C$3*(1+B779)^3-'Data Schema'!$C$3*(1+B779)^2)*$I$12)/(1+C779)^3+(('Data Schema'!$C$3*(1+B779)^4)*((1-$I$4-$I$5+E779)*(1-$I$10)+$I$6-$I$11)-('Data Schema'!$C$3*(1+B779)^4-'Data Schema'!$C$3*(1+B779)^3)*$I$12)/(1+C779)^4+(('Data Schema'!$C$3*(1+B779)^5)*((1-$I$4-$I$5+E779)*(1-$I$10)+$I$6-$I$11)-('Data Schema'!$C$3*(1+B779)^5-'Data Schema'!$C$3*(1+B779)^4)*$I$12)/(1+C779)^5+((('Data Schema'!$C$3*(1+B779)^5)*((1-$I$4-$I$5+E779)*(1-$I$10)+$I$6-$I$11)-('Data Schema'!$C$3*(1+B779)^5-'Data Schema'!$C$3*(1+B779)^4)*$I$12)*(1+D779)/(C779-D779))/(1+C779)^5-'Data Schema'!$C$31+'Data Schema'!$C$21)/'Data Schema'!$B$17,0),"INVALID")</f>
        <v>82.252163421715821</v>
      </c>
      <c r="H779" s="189" t="b">
        <f t="shared" ca="1" si="90"/>
        <v>1</v>
      </c>
      <c r="I779" s="188">
        <f t="shared" ca="1" si="91"/>
        <v>82.252163421715821</v>
      </c>
      <c r="J779" s="349">
        <f t="shared" ca="1" si="84"/>
        <v>82.252163421715821</v>
      </c>
    </row>
    <row r="780" spans="1:10">
      <c r="A780" s="185">
        <v>601</v>
      </c>
      <c r="B780" s="190">
        <f t="shared" ca="1" si="85"/>
        <v>8.3238092764161928E-2</v>
      </c>
      <c r="C780" s="190">
        <f t="shared" ca="1" si="86"/>
        <v>6.8575549901206206E-2</v>
      </c>
      <c r="D780" s="190">
        <f t="shared" ca="1" si="87"/>
        <v>2.8700544037234842E-2</v>
      </c>
      <c r="E780" s="190">
        <f t="shared" ca="1" si="88"/>
        <v>-1.9885417366905668E-2</v>
      </c>
      <c r="F780" s="189" t="b">
        <f t="shared" ca="1" si="89"/>
        <v>1</v>
      </c>
      <c r="G780" s="188">
        <f ca="1">IF(F780,IFERROR(((('Data Schema'!$C$3*(1+B780)^1)*((1-$I$4-$I$5+E780)*(1-$I$10)+$I$6-$I$11)-('Data Schema'!$C$3*(1+B780)^1-'Data Schema'!$C$3)*$I$12)/(1+C780)^1+(('Data Schema'!$C$3*(1+B780)^2)*((1-$I$4-$I$5+E780)*(1-$I$10)+$I$6-$I$11)-('Data Schema'!$C$3*(1+B780)^2-'Data Schema'!$C$3*(1+B780)^1)*$I$12)/(1+C780)^2+(('Data Schema'!$C$3*(1+B780)^3)*((1-$I$4-$I$5+E780)*(1-$I$10)+$I$6-$I$11)-('Data Schema'!$C$3*(1+B780)^3-'Data Schema'!$C$3*(1+B780)^2)*$I$12)/(1+C780)^3+(('Data Schema'!$C$3*(1+B780)^4)*((1-$I$4-$I$5+E780)*(1-$I$10)+$I$6-$I$11)-('Data Schema'!$C$3*(1+B780)^4-'Data Schema'!$C$3*(1+B780)^3)*$I$12)/(1+C780)^4+(('Data Schema'!$C$3*(1+B780)^5)*((1-$I$4-$I$5+E780)*(1-$I$10)+$I$6-$I$11)-('Data Schema'!$C$3*(1+B780)^5-'Data Schema'!$C$3*(1+B780)^4)*$I$12)/(1+C780)^5+((('Data Schema'!$C$3*(1+B780)^5)*((1-$I$4-$I$5+E780)*(1-$I$10)+$I$6-$I$11)-('Data Schema'!$C$3*(1+B780)^5-'Data Schema'!$C$3*(1+B780)^4)*$I$12)*(1+D780)/(C780-D780))/(1+C780)^5-'Data Schema'!$C$31+'Data Schema'!$C$21)/'Data Schema'!$B$17,0),"INVALID")</f>
        <v>24.488828667463228</v>
      </c>
      <c r="H780" s="189" t="b">
        <f t="shared" ca="1" si="90"/>
        <v>1</v>
      </c>
      <c r="I780" s="188">
        <f t="shared" ca="1" si="91"/>
        <v>24.488828667463228</v>
      </c>
      <c r="J780" s="349">
        <f t="shared" ca="1" si="84"/>
        <v>24.488828667463228</v>
      </c>
    </row>
    <row r="781" spans="1:10">
      <c r="A781" s="184">
        <v>602</v>
      </c>
      <c r="B781" s="190">
        <f t="shared" ca="1" si="85"/>
        <v>9.3151035405185531E-2</v>
      </c>
      <c r="C781" s="190">
        <f t="shared" ca="1" si="86"/>
        <v>5.6142075349497764E-2</v>
      </c>
      <c r="D781" s="190">
        <f t="shared" ca="1" si="87"/>
        <v>2.5780221413247744E-2</v>
      </c>
      <c r="E781" s="190">
        <f t="shared" ca="1" si="88"/>
        <v>-1.5391313733729279E-3</v>
      </c>
      <c r="F781" s="189" t="b">
        <f t="shared" ca="1" si="89"/>
        <v>1</v>
      </c>
      <c r="G781" s="188">
        <f ca="1">IF(F781,IFERROR(((('Data Schema'!$C$3*(1+B781)^1)*((1-$I$4-$I$5+E781)*(1-$I$10)+$I$6-$I$11)-('Data Schema'!$C$3*(1+B781)^1-'Data Schema'!$C$3)*$I$12)/(1+C781)^1+(('Data Schema'!$C$3*(1+B781)^2)*((1-$I$4-$I$5+E781)*(1-$I$10)+$I$6-$I$11)-('Data Schema'!$C$3*(1+B781)^2-'Data Schema'!$C$3*(1+B781)^1)*$I$12)/(1+C781)^2+(('Data Schema'!$C$3*(1+B781)^3)*((1-$I$4-$I$5+E781)*(1-$I$10)+$I$6-$I$11)-('Data Schema'!$C$3*(1+B781)^3-'Data Schema'!$C$3*(1+B781)^2)*$I$12)/(1+C781)^3+(('Data Schema'!$C$3*(1+B781)^4)*((1-$I$4-$I$5+E781)*(1-$I$10)+$I$6-$I$11)-('Data Schema'!$C$3*(1+B781)^4-'Data Schema'!$C$3*(1+B781)^3)*$I$12)/(1+C781)^4+(('Data Schema'!$C$3*(1+B781)^5)*((1-$I$4-$I$5+E781)*(1-$I$10)+$I$6-$I$11)-('Data Schema'!$C$3*(1+B781)^5-'Data Schema'!$C$3*(1+B781)^4)*$I$12)/(1+C781)^5+((('Data Schema'!$C$3*(1+B781)^5)*((1-$I$4-$I$5+E781)*(1-$I$10)+$I$6-$I$11)-('Data Schema'!$C$3*(1+B781)^5-'Data Schema'!$C$3*(1+B781)^4)*$I$12)*(1+D781)/(C781-D781))/(1+C781)^5-'Data Schema'!$C$31+'Data Schema'!$C$21)/'Data Schema'!$B$17,0),"INVALID")</f>
        <v>92.037601248195699</v>
      </c>
      <c r="H781" s="189" t="b">
        <f t="shared" ca="1" si="90"/>
        <v>1</v>
      </c>
      <c r="I781" s="188">
        <f t="shared" ca="1" si="91"/>
        <v>92.037601248195699</v>
      </c>
      <c r="J781" s="349">
        <f t="shared" ca="1" si="84"/>
        <v>92.037601248195699</v>
      </c>
    </row>
    <row r="782" spans="1:10">
      <c r="A782" s="185">
        <v>603</v>
      </c>
      <c r="B782" s="190">
        <f t="shared" ca="1" si="85"/>
        <v>8.3506109573272036E-2</v>
      </c>
      <c r="C782" s="190">
        <f t="shared" ca="1" si="86"/>
        <v>4.3644238292437007E-2</v>
      </c>
      <c r="D782" s="190">
        <f t="shared" ca="1" si="87"/>
        <v>2.6176269268156138E-2</v>
      </c>
      <c r="E782" s="190">
        <f t="shared" ca="1" si="88"/>
        <v>1.5324263541573922E-2</v>
      </c>
      <c r="F782" s="189" t="b">
        <f t="shared" ca="1" si="89"/>
        <v>1</v>
      </c>
      <c r="G782" s="188">
        <f ca="1">IF(F782,IFERROR(((('Data Schema'!$C$3*(1+B782)^1)*((1-$I$4-$I$5+E782)*(1-$I$10)+$I$6-$I$11)-('Data Schema'!$C$3*(1+B782)^1-'Data Schema'!$C$3)*$I$12)/(1+C782)^1+(('Data Schema'!$C$3*(1+B782)^2)*((1-$I$4-$I$5+E782)*(1-$I$10)+$I$6-$I$11)-('Data Schema'!$C$3*(1+B782)^2-'Data Schema'!$C$3*(1+B782)^1)*$I$12)/(1+C782)^2+(('Data Schema'!$C$3*(1+B782)^3)*((1-$I$4-$I$5+E782)*(1-$I$10)+$I$6-$I$11)-('Data Schema'!$C$3*(1+B782)^3-'Data Schema'!$C$3*(1+B782)^2)*$I$12)/(1+C782)^3+(('Data Schema'!$C$3*(1+B782)^4)*((1-$I$4-$I$5+E782)*(1-$I$10)+$I$6-$I$11)-('Data Schema'!$C$3*(1+B782)^4-'Data Schema'!$C$3*(1+B782)^3)*$I$12)/(1+C782)^4+(('Data Schema'!$C$3*(1+B782)^5)*((1-$I$4-$I$5+E782)*(1-$I$10)+$I$6-$I$11)-('Data Schema'!$C$3*(1+B782)^5-'Data Schema'!$C$3*(1+B782)^4)*$I$12)/(1+C782)^5+((('Data Schema'!$C$3*(1+B782)^5)*((1-$I$4-$I$5+E782)*(1-$I$10)+$I$6-$I$11)-('Data Schema'!$C$3*(1+B782)^5-'Data Schema'!$C$3*(1+B782)^4)*$I$12)*(1+D782)/(C782-D782))/(1+C782)^5-'Data Schema'!$C$31+'Data Schema'!$C$21)/'Data Schema'!$B$17,0),"INVALID")</f>
        <v>245.84248716147434</v>
      </c>
      <c r="H782" s="189" t="b">
        <f t="shared" ca="1" si="90"/>
        <v>1</v>
      </c>
      <c r="I782" s="188">
        <f t="shared" ca="1" si="91"/>
        <v>245.84248716147434</v>
      </c>
      <c r="J782" s="349" t="str">
        <f t="shared" ca="1" si="84"/>
        <v/>
      </c>
    </row>
    <row r="783" spans="1:10">
      <c r="A783" s="184">
        <v>604</v>
      </c>
      <c r="B783" s="190">
        <f t="shared" ca="1" si="85"/>
        <v>8.5673213311766319E-2</v>
      </c>
      <c r="C783" s="190">
        <f t="shared" ca="1" si="86"/>
        <v>5.5008770473033111E-2</v>
      </c>
      <c r="D783" s="190">
        <f t="shared" ca="1" si="87"/>
        <v>2.4173230783128236E-2</v>
      </c>
      <c r="E783" s="190">
        <f t="shared" ca="1" si="88"/>
        <v>-3.5264498540258586E-2</v>
      </c>
      <c r="F783" s="189" t="b">
        <f t="shared" ca="1" si="89"/>
        <v>1</v>
      </c>
      <c r="G783" s="188">
        <f ca="1">IF(F783,IFERROR(((('Data Schema'!$C$3*(1+B783)^1)*((1-$I$4-$I$5+E783)*(1-$I$10)+$I$6-$I$11)-('Data Schema'!$C$3*(1+B783)^1-'Data Schema'!$C$3)*$I$12)/(1+C783)^1+(('Data Schema'!$C$3*(1+B783)^2)*((1-$I$4-$I$5+E783)*(1-$I$10)+$I$6-$I$11)-('Data Schema'!$C$3*(1+B783)^2-'Data Schema'!$C$3*(1+B783)^1)*$I$12)/(1+C783)^2+(('Data Schema'!$C$3*(1+B783)^3)*((1-$I$4-$I$5+E783)*(1-$I$10)+$I$6-$I$11)-('Data Schema'!$C$3*(1+B783)^3-'Data Schema'!$C$3*(1+B783)^2)*$I$12)/(1+C783)^3+(('Data Schema'!$C$3*(1+B783)^4)*((1-$I$4-$I$5+E783)*(1-$I$10)+$I$6-$I$11)-('Data Schema'!$C$3*(1+B783)^4-'Data Schema'!$C$3*(1+B783)^3)*$I$12)/(1+C783)^4+(('Data Schema'!$C$3*(1+B783)^5)*((1-$I$4-$I$5+E783)*(1-$I$10)+$I$6-$I$11)-('Data Schema'!$C$3*(1+B783)^5-'Data Schema'!$C$3*(1+B783)^4)*$I$12)/(1+C783)^5+((('Data Schema'!$C$3*(1+B783)^5)*((1-$I$4-$I$5+E783)*(1-$I$10)+$I$6-$I$11)-('Data Schema'!$C$3*(1+B783)^5-'Data Schema'!$C$3*(1+B783)^4)*$I$12)*(1+D783)/(C783-D783))/(1+C783)^5-'Data Schema'!$C$31+'Data Schema'!$C$21)/'Data Schema'!$B$17,0),"INVALID")</f>
        <v>-10.04957613286328</v>
      </c>
      <c r="H783" s="189" t="b">
        <f t="shared" ca="1" si="90"/>
        <v>0</v>
      </c>
      <c r="I783" s="188" t="str">
        <f t="shared" ca="1" si="91"/>
        <v/>
      </c>
      <c r="J783" s="349" t="str">
        <f t="shared" ca="1" si="84"/>
        <v/>
      </c>
    </row>
    <row r="784" spans="1:10">
      <c r="A784" s="185">
        <v>605</v>
      </c>
      <c r="B784" s="190">
        <f t="shared" ca="1" si="85"/>
        <v>0.12128601675903473</v>
      </c>
      <c r="C784" s="190">
        <f t="shared" ca="1" si="86"/>
        <v>8.4973122212631272E-2</v>
      </c>
      <c r="D784" s="190">
        <f t="shared" ca="1" si="87"/>
        <v>2.7320273333661792E-2</v>
      </c>
      <c r="E784" s="190">
        <f t="shared" ca="1" si="88"/>
        <v>1.3183765600301378E-4</v>
      </c>
      <c r="F784" s="189" t="b">
        <f t="shared" ca="1" si="89"/>
        <v>1</v>
      </c>
      <c r="G784" s="188">
        <f ca="1">IF(F784,IFERROR(((('Data Schema'!$C$3*(1+B784)^1)*((1-$I$4-$I$5+E784)*(1-$I$10)+$I$6-$I$11)-('Data Schema'!$C$3*(1+B784)^1-'Data Schema'!$C$3)*$I$12)/(1+C784)^1+(('Data Schema'!$C$3*(1+B784)^2)*((1-$I$4-$I$5+E784)*(1-$I$10)+$I$6-$I$11)-('Data Schema'!$C$3*(1+B784)^2-'Data Schema'!$C$3*(1+B784)^1)*$I$12)/(1+C784)^2+(('Data Schema'!$C$3*(1+B784)^3)*((1-$I$4-$I$5+E784)*(1-$I$10)+$I$6-$I$11)-('Data Schema'!$C$3*(1+B784)^3-'Data Schema'!$C$3*(1+B784)^2)*$I$12)/(1+C784)^3+(('Data Schema'!$C$3*(1+B784)^4)*((1-$I$4-$I$5+E784)*(1-$I$10)+$I$6-$I$11)-('Data Schema'!$C$3*(1+B784)^4-'Data Schema'!$C$3*(1+B784)^3)*$I$12)/(1+C784)^4+(('Data Schema'!$C$3*(1+B784)^5)*((1-$I$4-$I$5+E784)*(1-$I$10)+$I$6-$I$11)-('Data Schema'!$C$3*(1+B784)^5-'Data Schema'!$C$3*(1+B784)^4)*$I$12)/(1+C784)^5+((('Data Schema'!$C$3*(1+B784)^5)*((1-$I$4-$I$5+E784)*(1-$I$10)+$I$6-$I$11)-('Data Schema'!$C$3*(1+B784)^5-'Data Schema'!$C$3*(1+B784)^4)*$I$12)*(1+D784)/(C784-D784))/(1+C784)^5-'Data Schema'!$C$31+'Data Schema'!$C$21)/'Data Schema'!$B$17,0),"INVALID")</f>
        <v>52.379829329573134</v>
      </c>
      <c r="H784" s="189" t="b">
        <f t="shared" ca="1" si="90"/>
        <v>1</v>
      </c>
      <c r="I784" s="188">
        <f t="shared" ca="1" si="91"/>
        <v>52.379829329573134</v>
      </c>
      <c r="J784" s="349">
        <f t="shared" ca="1" si="84"/>
        <v>52.379829329573134</v>
      </c>
    </row>
    <row r="785" spans="1:10">
      <c r="A785" s="184">
        <v>606</v>
      </c>
      <c r="B785" s="190">
        <f t="shared" ca="1" si="85"/>
        <v>9.9800060376660171E-2</v>
      </c>
      <c r="C785" s="190">
        <f t="shared" ca="1" si="86"/>
        <v>4.6256310417628954E-2</v>
      </c>
      <c r="D785" s="190">
        <f t="shared" ca="1" si="87"/>
        <v>2.7309224733891788E-2</v>
      </c>
      <c r="E785" s="190">
        <f t="shared" ca="1" si="88"/>
        <v>3.2738353123629722E-2</v>
      </c>
      <c r="F785" s="189" t="b">
        <f t="shared" ca="1" si="89"/>
        <v>1</v>
      </c>
      <c r="G785" s="188">
        <f ca="1">IF(F785,IFERROR(((('Data Schema'!$C$3*(1+B785)^1)*((1-$I$4-$I$5+E785)*(1-$I$10)+$I$6-$I$11)-('Data Schema'!$C$3*(1+B785)^1-'Data Schema'!$C$3)*$I$12)/(1+C785)^1+(('Data Schema'!$C$3*(1+B785)^2)*((1-$I$4-$I$5+E785)*(1-$I$10)+$I$6-$I$11)-('Data Schema'!$C$3*(1+B785)^2-'Data Schema'!$C$3*(1+B785)^1)*$I$12)/(1+C785)^2+(('Data Schema'!$C$3*(1+B785)^3)*((1-$I$4-$I$5+E785)*(1-$I$10)+$I$6-$I$11)-('Data Schema'!$C$3*(1+B785)^3-'Data Schema'!$C$3*(1+B785)^2)*$I$12)/(1+C785)^3+(('Data Schema'!$C$3*(1+B785)^4)*((1-$I$4-$I$5+E785)*(1-$I$10)+$I$6-$I$11)-('Data Schema'!$C$3*(1+B785)^4-'Data Schema'!$C$3*(1+B785)^3)*$I$12)/(1+C785)^4+(('Data Schema'!$C$3*(1+B785)^5)*((1-$I$4-$I$5+E785)*(1-$I$10)+$I$6-$I$11)-('Data Schema'!$C$3*(1+B785)^5-'Data Schema'!$C$3*(1+B785)^4)*$I$12)/(1+C785)^5+((('Data Schema'!$C$3*(1+B785)^5)*((1-$I$4-$I$5+E785)*(1-$I$10)+$I$6-$I$11)-('Data Schema'!$C$3*(1+B785)^5-'Data Schema'!$C$3*(1+B785)^4)*$I$12)*(1+D785)/(C785-D785))/(1+C785)^5-'Data Schema'!$C$31+'Data Schema'!$C$21)/'Data Schema'!$B$17,0),"INVALID")</f>
        <v>328.10191516398459</v>
      </c>
      <c r="H785" s="189" t="b">
        <f t="shared" ca="1" si="90"/>
        <v>1</v>
      </c>
      <c r="I785" s="188">
        <f t="shared" ca="1" si="91"/>
        <v>328.10191516398459</v>
      </c>
      <c r="J785" s="349" t="str">
        <f t="shared" ca="1" si="84"/>
        <v/>
      </c>
    </row>
    <row r="786" spans="1:10">
      <c r="A786" s="185">
        <v>607</v>
      </c>
      <c r="B786" s="190">
        <f t="shared" ca="1" si="85"/>
        <v>6.8737939472483384E-2</v>
      </c>
      <c r="C786" s="190">
        <f t="shared" ca="1" si="86"/>
        <v>4.9214881400784331E-2</v>
      </c>
      <c r="D786" s="190">
        <f t="shared" ca="1" si="87"/>
        <v>2.3723324527751534E-2</v>
      </c>
      <c r="E786" s="190">
        <f t="shared" ca="1" si="88"/>
        <v>-2.43413176332654E-2</v>
      </c>
      <c r="F786" s="189" t="b">
        <f t="shared" ca="1" si="89"/>
        <v>1</v>
      </c>
      <c r="G786" s="188">
        <f ca="1">IF(F786,IFERROR(((('Data Schema'!$C$3*(1+B786)^1)*((1-$I$4-$I$5+E786)*(1-$I$10)+$I$6-$I$11)-('Data Schema'!$C$3*(1+B786)^1-'Data Schema'!$C$3)*$I$12)/(1+C786)^1+(('Data Schema'!$C$3*(1+B786)^2)*((1-$I$4-$I$5+E786)*(1-$I$10)+$I$6-$I$11)-('Data Schema'!$C$3*(1+B786)^2-'Data Schema'!$C$3*(1+B786)^1)*$I$12)/(1+C786)^2+(('Data Schema'!$C$3*(1+B786)^3)*((1-$I$4-$I$5+E786)*(1-$I$10)+$I$6-$I$11)-('Data Schema'!$C$3*(1+B786)^3-'Data Schema'!$C$3*(1+B786)^2)*$I$12)/(1+C786)^3+(('Data Schema'!$C$3*(1+B786)^4)*((1-$I$4-$I$5+E786)*(1-$I$10)+$I$6-$I$11)-('Data Schema'!$C$3*(1+B786)^4-'Data Schema'!$C$3*(1+B786)^3)*$I$12)/(1+C786)^4+(('Data Schema'!$C$3*(1+B786)^5)*((1-$I$4-$I$5+E786)*(1-$I$10)+$I$6-$I$11)-('Data Schema'!$C$3*(1+B786)^5-'Data Schema'!$C$3*(1+B786)^4)*$I$12)/(1+C786)^5+((('Data Schema'!$C$3*(1+B786)^5)*((1-$I$4-$I$5+E786)*(1-$I$10)+$I$6-$I$11)-('Data Schema'!$C$3*(1+B786)^5-'Data Schema'!$C$3*(1+B786)^4)*$I$12)*(1+D786)/(C786-D786))/(1+C786)^5-'Data Schema'!$C$31+'Data Schema'!$C$21)/'Data Schema'!$B$17,0),"INVALID")</f>
        <v>26.77064305515017</v>
      </c>
      <c r="H786" s="189" t="b">
        <f t="shared" ca="1" si="90"/>
        <v>1</v>
      </c>
      <c r="I786" s="188">
        <f t="shared" ca="1" si="91"/>
        <v>26.77064305515017</v>
      </c>
      <c r="J786" s="349">
        <f t="shared" ca="1" si="84"/>
        <v>26.77064305515017</v>
      </c>
    </row>
    <row r="787" spans="1:10">
      <c r="A787" s="184">
        <v>608</v>
      </c>
      <c r="B787" s="190">
        <f t="shared" ca="1" si="85"/>
        <v>9.6577297598516729E-2</v>
      </c>
      <c r="C787" s="190">
        <f t="shared" ca="1" si="86"/>
        <v>4.818739935775497E-2</v>
      </c>
      <c r="D787" s="190">
        <f t="shared" ca="1" si="87"/>
        <v>2.0698215079843322E-2</v>
      </c>
      <c r="E787" s="190">
        <f t="shared" ca="1" si="88"/>
        <v>-3.8813480173444867E-2</v>
      </c>
      <c r="F787" s="189" t="b">
        <f t="shared" ca="1" si="89"/>
        <v>1</v>
      </c>
      <c r="G787" s="188">
        <f ca="1">IF(F787,IFERROR(((('Data Schema'!$C$3*(1+B787)^1)*((1-$I$4-$I$5+E787)*(1-$I$10)+$I$6-$I$11)-('Data Schema'!$C$3*(1+B787)^1-'Data Schema'!$C$3)*$I$12)/(1+C787)^1+(('Data Schema'!$C$3*(1+B787)^2)*((1-$I$4-$I$5+E787)*(1-$I$10)+$I$6-$I$11)-('Data Schema'!$C$3*(1+B787)^2-'Data Schema'!$C$3*(1+B787)^1)*$I$12)/(1+C787)^2+(('Data Schema'!$C$3*(1+B787)^3)*((1-$I$4-$I$5+E787)*(1-$I$10)+$I$6-$I$11)-('Data Schema'!$C$3*(1+B787)^3-'Data Schema'!$C$3*(1+B787)^2)*$I$12)/(1+C787)^3+(('Data Schema'!$C$3*(1+B787)^4)*((1-$I$4-$I$5+E787)*(1-$I$10)+$I$6-$I$11)-('Data Schema'!$C$3*(1+B787)^4-'Data Schema'!$C$3*(1+B787)^3)*$I$12)/(1+C787)^4+(('Data Schema'!$C$3*(1+B787)^5)*((1-$I$4-$I$5+E787)*(1-$I$10)+$I$6-$I$11)-('Data Schema'!$C$3*(1+B787)^5-'Data Schema'!$C$3*(1+B787)^4)*$I$12)/(1+C787)^5+((('Data Schema'!$C$3*(1+B787)^5)*((1-$I$4-$I$5+E787)*(1-$I$10)+$I$6-$I$11)-('Data Schema'!$C$3*(1+B787)^5-'Data Schema'!$C$3*(1+B787)^4)*$I$12)*(1+D787)/(C787-D787))/(1+C787)^5-'Data Schema'!$C$31+'Data Schema'!$C$21)/'Data Schema'!$B$17,0),"INVALID")</f>
        <v>-23.854484535897463</v>
      </c>
      <c r="H787" s="189" t="b">
        <f t="shared" ca="1" si="90"/>
        <v>0</v>
      </c>
      <c r="I787" s="188" t="str">
        <f t="shared" ca="1" si="91"/>
        <v/>
      </c>
      <c r="J787" s="349" t="str">
        <f t="shared" ca="1" si="84"/>
        <v/>
      </c>
    </row>
    <row r="788" spans="1:10">
      <c r="A788" s="185">
        <v>609</v>
      </c>
      <c r="B788" s="190">
        <f t="shared" ca="1" si="85"/>
        <v>0.11135454173203668</v>
      </c>
      <c r="C788" s="190">
        <f t="shared" ca="1" si="86"/>
        <v>5.8978912327804695E-2</v>
      </c>
      <c r="D788" s="190">
        <f t="shared" ca="1" si="87"/>
        <v>2.4908350994007095E-2</v>
      </c>
      <c r="E788" s="190">
        <f t="shared" ca="1" si="88"/>
        <v>1.5114431591878976E-2</v>
      </c>
      <c r="F788" s="189" t="b">
        <f t="shared" ca="1" si="89"/>
        <v>1</v>
      </c>
      <c r="G788" s="188">
        <f ca="1">IF(F788,IFERROR(((('Data Schema'!$C$3*(1+B788)^1)*((1-$I$4-$I$5+E788)*(1-$I$10)+$I$6-$I$11)-('Data Schema'!$C$3*(1+B788)^1-'Data Schema'!$C$3)*$I$12)/(1+C788)^1+(('Data Schema'!$C$3*(1+B788)^2)*((1-$I$4-$I$5+E788)*(1-$I$10)+$I$6-$I$11)-('Data Schema'!$C$3*(1+B788)^2-'Data Schema'!$C$3*(1+B788)^1)*$I$12)/(1+C788)^2+(('Data Schema'!$C$3*(1+B788)^3)*((1-$I$4-$I$5+E788)*(1-$I$10)+$I$6-$I$11)-('Data Schema'!$C$3*(1+B788)^3-'Data Schema'!$C$3*(1+B788)^2)*$I$12)/(1+C788)^3+(('Data Schema'!$C$3*(1+B788)^4)*((1-$I$4-$I$5+E788)*(1-$I$10)+$I$6-$I$11)-('Data Schema'!$C$3*(1+B788)^4-'Data Schema'!$C$3*(1+B788)^3)*$I$12)/(1+C788)^4+(('Data Schema'!$C$3*(1+B788)^5)*((1-$I$4-$I$5+E788)*(1-$I$10)+$I$6-$I$11)-('Data Schema'!$C$3*(1+B788)^5-'Data Schema'!$C$3*(1+B788)^4)*$I$12)/(1+C788)^5+((('Data Schema'!$C$3*(1+B788)^5)*((1-$I$4-$I$5+E788)*(1-$I$10)+$I$6-$I$11)-('Data Schema'!$C$3*(1+B788)^5-'Data Schema'!$C$3*(1+B788)^4)*$I$12)*(1+D788)/(C788-D788))/(1+C788)^5-'Data Schema'!$C$31+'Data Schema'!$C$21)/'Data Schema'!$B$17,0),"INVALID")</f>
        <v>136.3507209768097</v>
      </c>
      <c r="H788" s="189" t="b">
        <f t="shared" ca="1" si="90"/>
        <v>1</v>
      </c>
      <c r="I788" s="188">
        <f t="shared" ca="1" si="91"/>
        <v>136.3507209768097</v>
      </c>
      <c r="J788" s="349">
        <f t="shared" ca="1" si="84"/>
        <v>136.3507209768097</v>
      </c>
    </row>
    <row r="789" spans="1:10">
      <c r="A789" s="184">
        <v>610</v>
      </c>
      <c r="B789" s="190">
        <f t="shared" ca="1" si="85"/>
        <v>0.10806568992301657</v>
      </c>
      <c r="C789" s="190">
        <f t="shared" ca="1" si="86"/>
        <v>6.9085853410353587E-2</v>
      </c>
      <c r="D789" s="190">
        <f t="shared" ca="1" si="87"/>
        <v>2.2564790366563618E-2</v>
      </c>
      <c r="E789" s="190">
        <f t="shared" ca="1" si="88"/>
        <v>-1.4209715036528538E-2</v>
      </c>
      <c r="F789" s="189" t="b">
        <f t="shared" ca="1" si="89"/>
        <v>1</v>
      </c>
      <c r="G789" s="188">
        <f ca="1">IF(F789,IFERROR(((('Data Schema'!$C$3*(1+B789)^1)*((1-$I$4-$I$5+E789)*(1-$I$10)+$I$6-$I$11)-('Data Schema'!$C$3*(1+B789)^1-'Data Schema'!$C$3)*$I$12)/(1+C789)^1+(('Data Schema'!$C$3*(1+B789)^2)*((1-$I$4-$I$5+E789)*(1-$I$10)+$I$6-$I$11)-('Data Schema'!$C$3*(1+B789)^2-'Data Schema'!$C$3*(1+B789)^1)*$I$12)/(1+C789)^2+(('Data Schema'!$C$3*(1+B789)^3)*((1-$I$4-$I$5+E789)*(1-$I$10)+$I$6-$I$11)-('Data Schema'!$C$3*(1+B789)^3-'Data Schema'!$C$3*(1+B789)^2)*$I$12)/(1+C789)^3+(('Data Schema'!$C$3*(1+B789)^4)*((1-$I$4-$I$5+E789)*(1-$I$10)+$I$6-$I$11)-('Data Schema'!$C$3*(1+B789)^4-'Data Schema'!$C$3*(1+B789)^3)*$I$12)/(1+C789)^4+(('Data Schema'!$C$3*(1+B789)^5)*((1-$I$4-$I$5+E789)*(1-$I$10)+$I$6-$I$11)-('Data Schema'!$C$3*(1+B789)^5-'Data Schema'!$C$3*(1+B789)^4)*$I$12)/(1+C789)^5+((('Data Schema'!$C$3*(1+B789)^5)*((1-$I$4-$I$5+E789)*(1-$I$10)+$I$6-$I$11)-('Data Schema'!$C$3*(1+B789)^5-'Data Schema'!$C$3*(1+B789)^4)*$I$12)*(1+D789)/(C789-D789))/(1+C789)^5-'Data Schema'!$C$31+'Data Schema'!$C$21)/'Data Schema'!$B$17,0),"INVALID")</f>
        <v>34.452313053419019</v>
      </c>
      <c r="H789" s="189" t="b">
        <f t="shared" ca="1" si="90"/>
        <v>1</v>
      </c>
      <c r="I789" s="188">
        <f t="shared" ca="1" si="91"/>
        <v>34.452313053419019</v>
      </c>
      <c r="J789" s="349">
        <f t="shared" ca="1" si="84"/>
        <v>34.452313053419019</v>
      </c>
    </row>
    <row r="790" spans="1:10">
      <c r="A790" s="185">
        <v>611</v>
      </c>
      <c r="B790" s="190">
        <f t="shared" ca="1" si="85"/>
        <v>9.9857754982548605E-2</v>
      </c>
      <c r="C790" s="190">
        <f t="shared" ca="1" si="86"/>
        <v>4.3139550219469323E-2</v>
      </c>
      <c r="D790" s="190">
        <f t="shared" ca="1" si="87"/>
        <v>2.6540360442110861E-2</v>
      </c>
      <c r="E790" s="190">
        <f t="shared" ca="1" si="88"/>
        <v>2.1945000908999854E-2</v>
      </c>
      <c r="F790" s="189" t="b">
        <f t="shared" ca="1" si="89"/>
        <v>1</v>
      </c>
      <c r="G790" s="188">
        <f ca="1">IF(F790,IFERROR(((('Data Schema'!$C$3*(1+B790)^1)*((1-$I$4-$I$5+E790)*(1-$I$10)+$I$6-$I$11)-('Data Schema'!$C$3*(1+B790)^1-'Data Schema'!$C$3)*$I$12)/(1+C790)^1+(('Data Schema'!$C$3*(1+B790)^2)*((1-$I$4-$I$5+E790)*(1-$I$10)+$I$6-$I$11)-('Data Schema'!$C$3*(1+B790)^2-'Data Schema'!$C$3*(1+B790)^1)*$I$12)/(1+C790)^2+(('Data Schema'!$C$3*(1+B790)^3)*((1-$I$4-$I$5+E790)*(1-$I$10)+$I$6-$I$11)-('Data Schema'!$C$3*(1+B790)^3-'Data Schema'!$C$3*(1+B790)^2)*$I$12)/(1+C790)^3+(('Data Schema'!$C$3*(1+B790)^4)*((1-$I$4-$I$5+E790)*(1-$I$10)+$I$6-$I$11)-('Data Schema'!$C$3*(1+B790)^4-'Data Schema'!$C$3*(1+B790)^3)*$I$12)/(1+C790)^4+(('Data Schema'!$C$3*(1+B790)^5)*((1-$I$4-$I$5+E790)*(1-$I$10)+$I$6-$I$11)-('Data Schema'!$C$3*(1+B790)^5-'Data Schema'!$C$3*(1+B790)^4)*$I$12)/(1+C790)^5+((('Data Schema'!$C$3*(1+B790)^5)*((1-$I$4-$I$5+E790)*(1-$I$10)+$I$6-$I$11)-('Data Schema'!$C$3*(1+B790)^5-'Data Schema'!$C$3*(1+B790)^4)*$I$12)*(1+D790)/(C790-D790))/(1+C790)^5-'Data Schema'!$C$31+'Data Schema'!$C$21)/'Data Schema'!$B$17,0),"INVALID")</f>
        <v>314.98978217559932</v>
      </c>
      <c r="H790" s="189" t="b">
        <f t="shared" ca="1" si="90"/>
        <v>1</v>
      </c>
      <c r="I790" s="188">
        <f t="shared" ca="1" si="91"/>
        <v>314.98978217559932</v>
      </c>
      <c r="J790" s="349" t="str">
        <f t="shared" ca="1" si="84"/>
        <v/>
      </c>
    </row>
    <row r="791" spans="1:10">
      <c r="A791" s="184">
        <v>612</v>
      </c>
      <c r="B791" s="190">
        <f t="shared" ca="1" si="85"/>
        <v>8.2317705480853431E-2</v>
      </c>
      <c r="C791" s="190">
        <f t="shared" ca="1" si="86"/>
        <v>5.4098186528758099E-2</v>
      </c>
      <c r="D791" s="190">
        <f t="shared" ca="1" si="87"/>
        <v>2.6775120210418633E-2</v>
      </c>
      <c r="E791" s="190">
        <f t="shared" ca="1" si="88"/>
        <v>3.2111602956971054E-2</v>
      </c>
      <c r="F791" s="189" t="b">
        <f t="shared" ca="1" si="89"/>
        <v>1</v>
      </c>
      <c r="G791" s="188">
        <f ca="1">IF(F791,IFERROR(((('Data Schema'!$C$3*(1+B791)^1)*((1-$I$4-$I$5+E791)*(1-$I$10)+$I$6-$I$11)-('Data Schema'!$C$3*(1+B791)^1-'Data Schema'!$C$3)*$I$12)/(1+C791)^1+(('Data Schema'!$C$3*(1+B791)^2)*((1-$I$4-$I$5+E791)*(1-$I$10)+$I$6-$I$11)-('Data Schema'!$C$3*(1+B791)^2-'Data Schema'!$C$3*(1+B791)^1)*$I$12)/(1+C791)^2+(('Data Schema'!$C$3*(1+B791)^3)*((1-$I$4-$I$5+E791)*(1-$I$10)+$I$6-$I$11)-('Data Schema'!$C$3*(1+B791)^3-'Data Schema'!$C$3*(1+B791)^2)*$I$12)/(1+C791)^3+(('Data Schema'!$C$3*(1+B791)^4)*((1-$I$4-$I$5+E791)*(1-$I$10)+$I$6-$I$11)-('Data Schema'!$C$3*(1+B791)^4-'Data Schema'!$C$3*(1+B791)^3)*$I$12)/(1+C791)^4+(('Data Schema'!$C$3*(1+B791)^5)*((1-$I$4-$I$5+E791)*(1-$I$10)+$I$6-$I$11)-('Data Schema'!$C$3*(1+B791)^5-'Data Schema'!$C$3*(1+B791)^4)*$I$12)/(1+C791)^5+((('Data Schema'!$C$3*(1+B791)^5)*((1-$I$4-$I$5+E791)*(1-$I$10)+$I$6-$I$11)-('Data Schema'!$C$3*(1+B791)^5-'Data Schema'!$C$3*(1+B791)^4)*$I$12)*(1+D791)/(C791-D791))/(1+C791)^5-'Data Schema'!$C$31+'Data Schema'!$C$21)/'Data Schema'!$B$17,0),"INVALID")</f>
        <v>206.87336798142846</v>
      </c>
      <c r="H791" s="189" t="b">
        <f t="shared" ca="1" si="90"/>
        <v>1</v>
      </c>
      <c r="I791" s="188">
        <f t="shared" ca="1" si="91"/>
        <v>206.87336798142846</v>
      </c>
      <c r="J791" s="349">
        <f t="shared" ca="1" si="84"/>
        <v>206.87336798142846</v>
      </c>
    </row>
    <row r="792" spans="1:10">
      <c r="A792" s="185">
        <v>613</v>
      </c>
      <c r="B792" s="190">
        <f t="shared" ca="1" si="85"/>
        <v>9.402000113161231E-2</v>
      </c>
      <c r="C792" s="190">
        <f t="shared" ca="1" si="86"/>
        <v>6.7596936086924478E-2</v>
      </c>
      <c r="D792" s="190">
        <f t="shared" ca="1" si="87"/>
        <v>3.0593587564156276E-2</v>
      </c>
      <c r="E792" s="190">
        <f t="shared" ca="1" si="88"/>
        <v>5.3320705983146274E-3</v>
      </c>
      <c r="F792" s="189" t="b">
        <f t="shared" ca="1" si="89"/>
        <v>1</v>
      </c>
      <c r="G792" s="188">
        <f ca="1">IF(F792,IFERROR(((('Data Schema'!$C$3*(1+B792)^1)*((1-$I$4-$I$5+E792)*(1-$I$10)+$I$6-$I$11)-('Data Schema'!$C$3*(1+B792)^1-'Data Schema'!$C$3)*$I$12)/(1+C792)^1+(('Data Schema'!$C$3*(1+B792)^2)*((1-$I$4-$I$5+E792)*(1-$I$10)+$I$6-$I$11)-('Data Schema'!$C$3*(1+B792)^2-'Data Schema'!$C$3*(1+B792)^1)*$I$12)/(1+C792)^2+(('Data Schema'!$C$3*(1+B792)^3)*((1-$I$4-$I$5+E792)*(1-$I$10)+$I$6-$I$11)-('Data Schema'!$C$3*(1+B792)^3-'Data Schema'!$C$3*(1+B792)^2)*$I$12)/(1+C792)^3+(('Data Schema'!$C$3*(1+B792)^4)*((1-$I$4-$I$5+E792)*(1-$I$10)+$I$6-$I$11)-('Data Schema'!$C$3*(1+B792)^4-'Data Schema'!$C$3*(1+B792)^3)*$I$12)/(1+C792)^4+(('Data Schema'!$C$3*(1+B792)^5)*((1-$I$4-$I$5+E792)*(1-$I$10)+$I$6-$I$11)-('Data Schema'!$C$3*(1+B792)^5-'Data Schema'!$C$3*(1+B792)^4)*$I$12)/(1+C792)^5+((('Data Schema'!$C$3*(1+B792)^5)*((1-$I$4-$I$5+E792)*(1-$I$10)+$I$6-$I$11)-('Data Schema'!$C$3*(1+B792)^5-'Data Schema'!$C$3*(1+B792)^4)*$I$12)*(1+D792)/(C792-D792))/(1+C792)^5-'Data Schema'!$C$31+'Data Schema'!$C$21)/'Data Schema'!$B$17,0),"INVALID")</f>
        <v>89.731668344700509</v>
      </c>
      <c r="H792" s="189" t="b">
        <f t="shared" ca="1" si="90"/>
        <v>1</v>
      </c>
      <c r="I792" s="188">
        <f t="shared" ca="1" si="91"/>
        <v>89.731668344700509</v>
      </c>
      <c r="J792" s="349">
        <f t="shared" ca="1" si="84"/>
        <v>89.731668344700509</v>
      </c>
    </row>
    <row r="793" spans="1:10">
      <c r="A793" s="184">
        <v>614</v>
      </c>
      <c r="B793" s="190">
        <f t="shared" ca="1" si="85"/>
        <v>0.14535155853892809</v>
      </c>
      <c r="C793" s="190">
        <f t="shared" ca="1" si="86"/>
        <v>6.1744858376747466E-2</v>
      </c>
      <c r="D793" s="190">
        <f t="shared" ca="1" si="87"/>
        <v>2.9931724495145841E-2</v>
      </c>
      <c r="E793" s="190">
        <f t="shared" ca="1" si="88"/>
        <v>6.2981598493724237E-5</v>
      </c>
      <c r="F793" s="189" t="b">
        <f t="shared" ca="1" si="89"/>
        <v>1</v>
      </c>
      <c r="G793" s="188">
        <f ca="1">IF(F793,IFERROR(((('Data Schema'!$C$3*(1+B793)^1)*((1-$I$4-$I$5+E793)*(1-$I$10)+$I$6-$I$11)-('Data Schema'!$C$3*(1+B793)^1-'Data Schema'!$C$3)*$I$12)/(1+C793)^1+(('Data Schema'!$C$3*(1+B793)^2)*((1-$I$4-$I$5+E793)*(1-$I$10)+$I$6-$I$11)-('Data Schema'!$C$3*(1+B793)^2-'Data Schema'!$C$3*(1+B793)^1)*$I$12)/(1+C793)^2+(('Data Schema'!$C$3*(1+B793)^3)*((1-$I$4-$I$5+E793)*(1-$I$10)+$I$6-$I$11)-('Data Schema'!$C$3*(1+B793)^3-'Data Schema'!$C$3*(1+B793)^2)*$I$12)/(1+C793)^3+(('Data Schema'!$C$3*(1+B793)^4)*((1-$I$4-$I$5+E793)*(1-$I$10)+$I$6-$I$11)-('Data Schema'!$C$3*(1+B793)^4-'Data Schema'!$C$3*(1+B793)^3)*$I$12)/(1+C793)^4+(('Data Schema'!$C$3*(1+B793)^5)*((1-$I$4-$I$5+E793)*(1-$I$10)+$I$6-$I$11)-('Data Schema'!$C$3*(1+B793)^5-'Data Schema'!$C$3*(1+B793)^4)*$I$12)/(1+C793)^5+((('Data Schema'!$C$3*(1+B793)^5)*((1-$I$4-$I$5+E793)*(1-$I$10)+$I$6-$I$11)-('Data Schema'!$C$3*(1+B793)^5-'Data Schema'!$C$3*(1+B793)^4)*$I$12)*(1+D793)/(C793-D793))/(1+C793)^5-'Data Schema'!$C$31+'Data Schema'!$C$21)/'Data Schema'!$B$17,0),"INVALID")</f>
        <v>110.9649691086709</v>
      </c>
      <c r="H793" s="189" t="b">
        <f t="shared" ca="1" si="90"/>
        <v>1</v>
      </c>
      <c r="I793" s="188">
        <f t="shared" ca="1" si="91"/>
        <v>110.9649691086709</v>
      </c>
      <c r="J793" s="349">
        <f t="shared" ca="1" si="84"/>
        <v>110.9649691086709</v>
      </c>
    </row>
    <row r="794" spans="1:10">
      <c r="A794" s="185">
        <v>615</v>
      </c>
      <c r="B794" s="190">
        <f t="shared" ca="1" si="85"/>
        <v>0.14321496872522299</v>
      </c>
      <c r="C794" s="190">
        <f t="shared" ca="1" si="86"/>
        <v>5.644452037233845E-2</v>
      </c>
      <c r="D794" s="190">
        <f t="shared" ca="1" si="87"/>
        <v>2.5089720487564849E-2</v>
      </c>
      <c r="E794" s="190">
        <f t="shared" ca="1" si="88"/>
        <v>3.558665519444499E-2</v>
      </c>
      <c r="F794" s="189" t="b">
        <f t="shared" ca="1" si="89"/>
        <v>1</v>
      </c>
      <c r="G794" s="188">
        <f ca="1">IF(F794,IFERROR(((('Data Schema'!$C$3*(1+B794)^1)*((1-$I$4-$I$5+E794)*(1-$I$10)+$I$6-$I$11)-('Data Schema'!$C$3*(1+B794)^1-'Data Schema'!$C$3)*$I$12)/(1+C794)^1+(('Data Schema'!$C$3*(1+B794)^2)*((1-$I$4-$I$5+E794)*(1-$I$10)+$I$6-$I$11)-('Data Schema'!$C$3*(1+B794)^2-'Data Schema'!$C$3*(1+B794)^1)*$I$12)/(1+C794)^2+(('Data Schema'!$C$3*(1+B794)^3)*((1-$I$4-$I$5+E794)*(1-$I$10)+$I$6-$I$11)-('Data Schema'!$C$3*(1+B794)^3-'Data Schema'!$C$3*(1+B794)^2)*$I$12)/(1+C794)^3+(('Data Schema'!$C$3*(1+B794)^4)*((1-$I$4-$I$5+E794)*(1-$I$10)+$I$6-$I$11)-('Data Schema'!$C$3*(1+B794)^4-'Data Schema'!$C$3*(1+B794)^3)*$I$12)/(1+C794)^4+(('Data Schema'!$C$3*(1+B794)^5)*((1-$I$4-$I$5+E794)*(1-$I$10)+$I$6-$I$11)-('Data Schema'!$C$3*(1+B794)^5-'Data Schema'!$C$3*(1+B794)^4)*$I$12)/(1+C794)^5+((('Data Schema'!$C$3*(1+B794)^5)*((1-$I$4-$I$5+E794)*(1-$I$10)+$I$6-$I$11)-('Data Schema'!$C$3*(1+B794)^5-'Data Schema'!$C$3*(1+B794)^4)*$I$12)*(1+D794)/(C794-D794))/(1+C794)^5-'Data Schema'!$C$31+'Data Schema'!$C$21)/'Data Schema'!$B$17,0),"INVALID")</f>
        <v>243.95812967304735</v>
      </c>
      <c r="H794" s="189" t="b">
        <f t="shared" ca="1" si="90"/>
        <v>1</v>
      </c>
      <c r="I794" s="188">
        <f t="shared" ca="1" si="91"/>
        <v>243.95812967304735</v>
      </c>
      <c r="J794" s="349" t="str">
        <f t="shared" ca="1" si="84"/>
        <v/>
      </c>
    </row>
    <row r="795" spans="1:10">
      <c r="A795" s="184">
        <v>616</v>
      </c>
      <c r="B795" s="190">
        <f t="shared" ca="1" si="85"/>
        <v>0.11357465351019319</v>
      </c>
      <c r="C795" s="190">
        <f t="shared" ca="1" si="86"/>
        <v>6.9349379462948654E-2</v>
      </c>
      <c r="D795" s="190">
        <f t="shared" ca="1" si="87"/>
        <v>2.0153719368600533E-2</v>
      </c>
      <c r="E795" s="190">
        <f t="shared" ca="1" si="88"/>
        <v>-1.1473196811495034E-2</v>
      </c>
      <c r="F795" s="189" t="b">
        <f t="shared" ca="1" si="89"/>
        <v>1</v>
      </c>
      <c r="G795" s="188">
        <f ca="1">IF(F795,IFERROR(((('Data Schema'!$C$3*(1+B795)^1)*((1-$I$4-$I$5+E795)*(1-$I$10)+$I$6-$I$11)-('Data Schema'!$C$3*(1+B795)^1-'Data Schema'!$C$3)*$I$12)/(1+C795)^1+(('Data Schema'!$C$3*(1+B795)^2)*((1-$I$4-$I$5+E795)*(1-$I$10)+$I$6-$I$11)-('Data Schema'!$C$3*(1+B795)^2-'Data Schema'!$C$3*(1+B795)^1)*$I$12)/(1+C795)^2+(('Data Schema'!$C$3*(1+B795)^3)*((1-$I$4-$I$5+E795)*(1-$I$10)+$I$6-$I$11)-('Data Schema'!$C$3*(1+B795)^3-'Data Schema'!$C$3*(1+B795)^2)*$I$12)/(1+C795)^3+(('Data Schema'!$C$3*(1+B795)^4)*((1-$I$4-$I$5+E795)*(1-$I$10)+$I$6-$I$11)-('Data Schema'!$C$3*(1+B795)^4-'Data Schema'!$C$3*(1+B795)^3)*$I$12)/(1+C795)^4+(('Data Schema'!$C$3*(1+B795)^5)*((1-$I$4-$I$5+E795)*(1-$I$10)+$I$6-$I$11)-('Data Schema'!$C$3*(1+B795)^5-'Data Schema'!$C$3*(1+B795)^4)*$I$12)/(1+C795)^5+((('Data Schema'!$C$3*(1+B795)^5)*((1-$I$4-$I$5+E795)*(1-$I$10)+$I$6-$I$11)-('Data Schema'!$C$3*(1+B795)^5-'Data Schema'!$C$3*(1+B795)^4)*$I$12)*(1+D795)/(C795-D795))/(1+C795)^5-'Data Schema'!$C$31+'Data Schema'!$C$21)/'Data Schema'!$B$17,0),"INVALID")</f>
        <v>38.810109613236136</v>
      </c>
      <c r="H795" s="189" t="b">
        <f t="shared" ca="1" si="90"/>
        <v>1</v>
      </c>
      <c r="I795" s="188">
        <f t="shared" ca="1" si="91"/>
        <v>38.810109613236136</v>
      </c>
      <c r="J795" s="349">
        <f t="shared" ca="1" si="84"/>
        <v>38.810109613236136</v>
      </c>
    </row>
    <row r="796" spans="1:10">
      <c r="A796" s="185">
        <v>617</v>
      </c>
      <c r="B796" s="190">
        <f t="shared" ca="1" si="85"/>
        <v>0.15140673969078616</v>
      </c>
      <c r="C796" s="190">
        <f t="shared" ca="1" si="86"/>
        <v>6.6646734103266742E-2</v>
      </c>
      <c r="D796" s="190">
        <f t="shared" ca="1" si="87"/>
        <v>1.8641210096855432E-2</v>
      </c>
      <c r="E796" s="190">
        <f t="shared" ca="1" si="88"/>
        <v>-2.6812715161234103E-2</v>
      </c>
      <c r="F796" s="189" t="b">
        <f t="shared" ca="1" si="89"/>
        <v>1</v>
      </c>
      <c r="G796" s="188">
        <f ca="1">IF(F796,IFERROR(((('Data Schema'!$C$3*(1+B796)^1)*((1-$I$4-$I$5+E796)*(1-$I$10)+$I$6-$I$11)-('Data Schema'!$C$3*(1+B796)^1-'Data Schema'!$C$3)*$I$12)/(1+C796)^1+(('Data Schema'!$C$3*(1+B796)^2)*((1-$I$4-$I$5+E796)*(1-$I$10)+$I$6-$I$11)-('Data Schema'!$C$3*(1+B796)^2-'Data Schema'!$C$3*(1+B796)^1)*$I$12)/(1+C796)^2+(('Data Schema'!$C$3*(1+B796)^3)*((1-$I$4-$I$5+E796)*(1-$I$10)+$I$6-$I$11)-('Data Schema'!$C$3*(1+B796)^3-'Data Schema'!$C$3*(1+B796)^2)*$I$12)/(1+C796)^3+(('Data Schema'!$C$3*(1+B796)^4)*((1-$I$4-$I$5+E796)*(1-$I$10)+$I$6-$I$11)-('Data Schema'!$C$3*(1+B796)^4-'Data Schema'!$C$3*(1+B796)^3)*$I$12)/(1+C796)^4+(('Data Schema'!$C$3*(1+B796)^5)*((1-$I$4-$I$5+E796)*(1-$I$10)+$I$6-$I$11)-('Data Schema'!$C$3*(1+B796)^5-'Data Schema'!$C$3*(1+B796)^4)*$I$12)/(1+C796)^5+((('Data Schema'!$C$3*(1+B796)^5)*((1-$I$4-$I$5+E796)*(1-$I$10)+$I$6-$I$11)-('Data Schema'!$C$3*(1+B796)^5-'Data Schema'!$C$3*(1+B796)^4)*$I$12)*(1+D796)/(C796-D796))/(1+C796)^5-'Data Schema'!$C$31+'Data Schema'!$C$21)/'Data Schema'!$B$17,0),"INVALID")</f>
        <v>7.9810555228366313</v>
      </c>
      <c r="H796" s="189" t="b">
        <f t="shared" ca="1" si="90"/>
        <v>0</v>
      </c>
      <c r="I796" s="188" t="str">
        <f t="shared" ca="1" si="91"/>
        <v/>
      </c>
      <c r="J796" s="349" t="str">
        <f t="shared" ca="1" si="84"/>
        <v/>
      </c>
    </row>
    <row r="797" spans="1:10">
      <c r="A797" s="184">
        <v>618</v>
      </c>
      <c r="B797" s="190">
        <f t="shared" ca="1" si="85"/>
        <v>9.323671103864474E-2</v>
      </c>
      <c r="C797" s="190">
        <f t="shared" ca="1" si="86"/>
        <v>5.3233855038566251E-2</v>
      </c>
      <c r="D797" s="190">
        <f t="shared" ca="1" si="87"/>
        <v>2.2203242506849217E-2</v>
      </c>
      <c r="E797" s="190">
        <f t="shared" ca="1" si="88"/>
        <v>-3.0604993785904276E-3</v>
      </c>
      <c r="F797" s="189" t="b">
        <f t="shared" ca="1" si="89"/>
        <v>1</v>
      </c>
      <c r="G797" s="188">
        <f ca="1">IF(F797,IFERROR(((('Data Schema'!$C$3*(1+B797)^1)*((1-$I$4-$I$5+E797)*(1-$I$10)+$I$6-$I$11)-('Data Schema'!$C$3*(1+B797)^1-'Data Schema'!$C$3)*$I$12)/(1+C797)^1+(('Data Schema'!$C$3*(1+B797)^2)*((1-$I$4-$I$5+E797)*(1-$I$10)+$I$6-$I$11)-('Data Schema'!$C$3*(1+B797)^2-'Data Schema'!$C$3*(1+B797)^1)*$I$12)/(1+C797)^2+(('Data Schema'!$C$3*(1+B797)^3)*((1-$I$4-$I$5+E797)*(1-$I$10)+$I$6-$I$11)-('Data Schema'!$C$3*(1+B797)^3-'Data Schema'!$C$3*(1+B797)^2)*$I$12)/(1+C797)^3+(('Data Schema'!$C$3*(1+B797)^4)*((1-$I$4-$I$5+E797)*(1-$I$10)+$I$6-$I$11)-('Data Schema'!$C$3*(1+B797)^4-'Data Schema'!$C$3*(1+B797)^3)*$I$12)/(1+C797)^4+(('Data Schema'!$C$3*(1+B797)^5)*((1-$I$4-$I$5+E797)*(1-$I$10)+$I$6-$I$11)-('Data Schema'!$C$3*(1+B797)^5-'Data Schema'!$C$3*(1+B797)^4)*$I$12)/(1+C797)^5+((('Data Schema'!$C$3*(1+B797)^5)*((1-$I$4-$I$5+E797)*(1-$I$10)+$I$6-$I$11)-('Data Schema'!$C$3*(1+B797)^5-'Data Schema'!$C$3*(1+B797)^4)*$I$12)*(1+D797)/(C797-D797))/(1+C797)^5-'Data Schema'!$C$31+'Data Schema'!$C$21)/'Data Schema'!$B$17,0),"INVALID")</f>
        <v>86.582149999496139</v>
      </c>
      <c r="H797" s="189" t="b">
        <f t="shared" ca="1" si="90"/>
        <v>1</v>
      </c>
      <c r="I797" s="188">
        <f t="shared" ca="1" si="91"/>
        <v>86.582149999496139</v>
      </c>
      <c r="J797" s="349">
        <f t="shared" ca="1" si="84"/>
        <v>86.582149999496139</v>
      </c>
    </row>
    <row r="798" spans="1:10">
      <c r="A798" s="185">
        <v>619</v>
      </c>
      <c r="B798" s="190">
        <f t="shared" ca="1" si="85"/>
        <v>0.128983907374778</v>
      </c>
      <c r="C798" s="190">
        <f t="shared" ca="1" si="86"/>
        <v>8.1309063180726684E-2</v>
      </c>
      <c r="D798" s="190">
        <f t="shared" ca="1" si="87"/>
        <v>2.4756371228710234E-2</v>
      </c>
      <c r="E798" s="190">
        <f t="shared" ca="1" si="88"/>
        <v>3.5164132854921058E-2</v>
      </c>
      <c r="F798" s="189" t="b">
        <f t="shared" ca="1" si="89"/>
        <v>1</v>
      </c>
      <c r="G798" s="188">
        <f ca="1">IF(F798,IFERROR(((('Data Schema'!$C$3*(1+B798)^1)*((1-$I$4-$I$5+E798)*(1-$I$10)+$I$6-$I$11)-('Data Schema'!$C$3*(1+B798)^1-'Data Schema'!$C$3)*$I$12)/(1+C798)^1+(('Data Schema'!$C$3*(1+B798)^2)*((1-$I$4-$I$5+E798)*(1-$I$10)+$I$6-$I$11)-('Data Schema'!$C$3*(1+B798)^2-'Data Schema'!$C$3*(1+B798)^1)*$I$12)/(1+C798)^2+(('Data Schema'!$C$3*(1+B798)^3)*((1-$I$4-$I$5+E798)*(1-$I$10)+$I$6-$I$11)-('Data Schema'!$C$3*(1+B798)^3-'Data Schema'!$C$3*(1+B798)^2)*$I$12)/(1+C798)^3+(('Data Schema'!$C$3*(1+B798)^4)*((1-$I$4-$I$5+E798)*(1-$I$10)+$I$6-$I$11)-('Data Schema'!$C$3*(1+B798)^4-'Data Schema'!$C$3*(1+B798)^3)*$I$12)/(1+C798)^4+(('Data Schema'!$C$3*(1+B798)^5)*((1-$I$4-$I$5+E798)*(1-$I$10)+$I$6-$I$11)-('Data Schema'!$C$3*(1+B798)^5-'Data Schema'!$C$3*(1+B798)^4)*$I$12)/(1+C798)^5+((('Data Schema'!$C$3*(1+B798)^5)*((1-$I$4-$I$5+E798)*(1-$I$10)+$I$6-$I$11)-('Data Schema'!$C$3*(1+B798)^5-'Data Schema'!$C$3*(1+B798)^4)*$I$12)*(1+D798)/(C798-D798))/(1+C798)^5-'Data Schema'!$C$31+'Data Schema'!$C$21)/'Data Schema'!$B$17,0),"INVALID")</f>
        <v>121.60836516049297</v>
      </c>
      <c r="H798" s="189" t="b">
        <f t="shared" ca="1" si="90"/>
        <v>1</v>
      </c>
      <c r="I798" s="188">
        <f t="shared" ca="1" si="91"/>
        <v>121.60836516049297</v>
      </c>
      <c r="J798" s="349">
        <f t="shared" ca="1" si="84"/>
        <v>121.60836516049297</v>
      </c>
    </row>
    <row r="799" spans="1:10">
      <c r="A799" s="184">
        <v>620</v>
      </c>
      <c r="B799" s="190">
        <f t="shared" ca="1" si="85"/>
        <v>7.4316289740058869E-2</v>
      </c>
      <c r="C799" s="190">
        <f t="shared" ca="1" si="86"/>
        <v>6.3377838428705729E-2</v>
      </c>
      <c r="D799" s="190">
        <f t="shared" ca="1" si="87"/>
        <v>1.6131272674201287E-2</v>
      </c>
      <c r="E799" s="190">
        <f t="shared" ca="1" si="88"/>
        <v>-9.1598104998962774E-4</v>
      </c>
      <c r="F799" s="189" t="b">
        <f t="shared" ca="1" si="89"/>
        <v>1</v>
      </c>
      <c r="G799" s="188">
        <f ca="1">IF(F799,IFERROR(((('Data Schema'!$C$3*(1+B799)^1)*((1-$I$4-$I$5+E799)*(1-$I$10)+$I$6-$I$11)-('Data Schema'!$C$3*(1+B799)^1-'Data Schema'!$C$3)*$I$12)/(1+C799)^1+(('Data Schema'!$C$3*(1+B799)^2)*((1-$I$4-$I$5+E799)*(1-$I$10)+$I$6-$I$11)-('Data Schema'!$C$3*(1+B799)^2-'Data Schema'!$C$3*(1+B799)^1)*$I$12)/(1+C799)^2+(('Data Schema'!$C$3*(1+B799)^3)*((1-$I$4-$I$5+E799)*(1-$I$10)+$I$6-$I$11)-('Data Schema'!$C$3*(1+B799)^3-'Data Schema'!$C$3*(1+B799)^2)*$I$12)/(1+C799)^3+(('Data Schema'!$C$3*(1+B799)^4)*((1-$I$4-$I$5+E799)*(1-$I$10)+$I$6-$I$11)-('Data Schema'!$C$3*(1+B799)^4-'Data Schema'!$C$3*(1+B799)^3)*$I$12)/(1+C799)^4+(('Data Schema'!$C$3*(1+B799)^5)*((1-$I$4-$I$5+E799)*(1-$I$10)+$I$6-$I$11)-('Data Schema'!$C$3*(1+B799)^5-'Data Schema'!$C$3*(1+B799)^4)*$I$12)/(1+C799)^5+((('Data Schema'!$C$3*(1+B799)^5)*((1-$I$4-$I$5+E799)*(1-$I$10)+$I$6-$I$11)-('Data Schema'!$C$3*(1+B799)^5-'Data Schema'!$C$3*(1+B799)^4)*$I$12)*(1+D799)/(C799-D799))/(1+C799)^5-'Data Schema'!$C$31+'Data Schema'!$C$21)/'Data Schema'!$B$17,0),"INVALID")</f>
        <v>55.186451951381812</v>
      </c>
      <c r="H799" s="189" t="b">
        <f t="shared" ca="1" si="90"/>
        <v>1</v>
      </c>
      <c r="I799" s="188">
        <f t="shared" ca="1" si="91"/>
        <v>55.186451951381812</v>
      </c>
      <c r="J799" s="349">
        <f t="shared" ca="1" si="84"/>
        <v>55.186451951381812</v>
      </c>
    </row>
    <row r="800" spans="1:10">
      <c r="A800" s="185">
        <v>621</v>
      </c>
      <c r="B800" s="190">
        <f t="shared" ca="1" si="85"/>
        <v>0.10526702316830086</v>
      </c>
      <c r="C800" s="190">
        <f t="shared" ca="1" si="86"/>
        <v>5.0587418156412101E-2</v>
      </c>
      <c r="D800" s="190">
        <f t="shared" ca="1" si="87"/>
        <v>2.3421860253214709E-2</v>
      </c>
      <c r="E800" s="190">
        <f t="shared" ca="1" si="88"/>
        <v>-2.9602403458937068E-2</v>
      </c>
      <c r="F800" s="189" t="b">
        <f t="shared" ca="1" si="89"/>
        <v>1</v>
      </c>
      <c r="G800" s="188">
        <f ca="1">IF(F800,IFERROR(((('Data Schema'!$C$3*(1+B800)^1)*((1-$I$4-$I$5+E800)*(1-$I$10)+$I$6-$I$11)-('Data Schema'!$C$3*(1+B800)^1-'Data Schema'!$C$3)*$I$12)/(1+C800)^1+(('Data Schema'!$C$3*(1+B800)^2)*((1-$I$4-$I$5+E800)*(1-$I$10)+$I$6-$I$11)-('Data Schema'!$C$3*(1+B800)^2-'Data Schema'!$C$3*(1+B800)^1)*$I$12)/(1+C800)^2+(('Data Schema'!$C$3*(1+B800)^3)*((1-$I$4-$I$5+E800)*(1-$I$10)+$I$6-$I$11)-('Data Schema'!$C$3*(1+B800)^3-'Data Schema'!$C$3*(1+B800)^2)*$I$12)/(1+C800)^3+(('Data Schema'!$C$3*(1+B800)^4)*((1-$I$4-$I$5+E800)*(1-$I$10)+$I$6-$I$11)-('Data Schema'!$C$3*(1+B800)^4-'Data Schema'!$C$3*(1+B800)^3)*$I$12)/(1+C800)^4+(('Data Schema'!$C$3*(1+B800)^5)*((1-$I$4-$I$5+E800)*(1-$I$10)+$I$6-$I$11)-('Data Schema'!$C$3*(1+B800)^5-'Data Schema'!$C$3*(1+B800)^4)*$I$12)/(1+C800)^5+((('Data Schema'!$C$3*(1+B800)^5)*((1-$I$4-$I$5+E800)*(1-$I$10)+$I$6-$I$11)-('Data Schema'!$C$3*(1+B800)^5-'Data Schema'!$C$3*(1+B800)^4)*$I$12)*(1+D800)/(C800-D800))/(1+C800)^5-'Data Schema'!$C$31+'Data Schema'!$C$21)/'Data Schema'!$B$17,0),"INVALID")</f>
        <v>8.1723898467295299</v>
      </c>
      <c r="H800" s="189" t="b">
        <f t="shared" ca="1" si="90"/>
        <v>0</v>
      </c>
      <c r="I800" s="188" t="str">
        <f t="shared" ca="1" si="91"/>
        <v/>
      </c>
      <c r="J800" s="349" t="str">
        <f t="shared" ca="1" si="84"/>
        <v/>
      </c>
    </row>
    <row r="801" spans="1:10">
      <c r="A801" s="184">
        <v>622</v>
      </c>
      <c r="B801" s="190">
        <f t="shared" ca="1" si="85"/>
        <v>8.8750714209164985E-2</v>
      </c>
      <c r="C801" s="190">
        <f t="shared" ca="1" si="86"/>
        <v>4.5788440873851331E-2</v>
      </c>
      <c r="D801" s="190">
        <f t="shared" ca="1" si="87"/>
        <v>2.1985230978272301E-2</v>
      </c>
      <c r="E801" s="190">
        <f t="shared" ca="1" si="88"/>
        <v>1.5369768144366445E-2</v>
      </c>
      <c r="F801" s="189" t="b">
        <f t="shared" ca="1" si="89"/>
        <v>1</v>
      </c>
      <c r="G801" s="188">
        <f ca="1">IF(F801,IFERROR(((('Data Schema'!$C$3*(1+B801)^1)*((1-$I$4-$I$5+E801)*(1-$I$10)+$I$6-$I$11)-('Data Schema'!$C$3*(1+B801)^1-'Data Schema'!$C$3)*$I$12)/(1+C801)^1+(('Data Schema'!$C$3*(1+B801)^2)*((1-$I$4-$I$5+E801)*(1-$I$10)+$I$6-$I$11)-('Data Schema'!$C$3*(1+B801)^2-'Data Schema'!$C$3*(1+B801)^1)*$I$12)/(1+C801)^2+(('Data Schema'!$C$3*(1+B801)^3)*((1-$I$4-$I$5+E801)*(1-$I$10)+$I$6-$I$11)-('Data Schema'!$C$3*(1+B801)^3-'Data Schema'!$C$3*(1+B801)^2)*$I$12)/(1+C801)^3+(('Data Schema'!$C$3*(1+B801)^4)*((1-$I$4-$I$5+E801)*(1-$I$10)+$I$6-$I$11)-('Data Schema'!$C$3*(1+B801)^4-'Data Schema'!$C$3*(1+B801)^3)*$I$12)/(1+C801)^4+(('Data Schema'!$C$3*(1+B801)^5)*((1-$I$4-$I$5+E801)*(1-$I$10)+$I$6-$I$11)-('Data Schema'!$C$3*(1+B801)^5-'Data Schema'!$C$3*(1+B801)^4)*$I$12)/(1+C801)^5+((('Data Schema'!$C$3*(1+B801)^5)*((1-$I$4-$I$5+E801)*(1-$I$10)+$I$6-$I$11)-('Data Schema'!$C$3*(1+B801)^5-'Data Schema'!$C$3*(1+B801)^4)*$I$12)*(1+D801)/(C801-D801))/(1+C801)^5-'Data Schema'!$C$31+'Data Schema'!$C$21)/'Data Schema'!$B$17,0),"INVALID")</f>
        <v>185.04049024723062</v>
      </c>
      <c r="H801" s="189" t="b">
        <f t="shared" ca="1" si="90"/>
        <v>1</v>
      </c>
      <c r="I801" s="188">
        <f t="shared" ca="1" si="91"/>
        <v>185.04049024723062</v>
      </c>
      <c r="J801" s="349">
        <f t="shared" ca="1" si="84"/>
        <v>185.04049024723062</v>
      </c>
    </row>
    <row r="802" spans="1:10">
      <c r="A802" s="185">
        <v>623</v>
      </c>
      <c r="B802" s="190">
        <f t="shared" ca="1" si="85"/>
        <v>0.11122052824052162</v>
      </c>
      <c r="C802" s="190">
        <f t="shared" ca="1" si="86"/>
        <v>6.1871761275857827E-2</v>
      </c>
      <c r="D802" s="190">
        <f t="shared" ca="1" si="87"/>
        <v>2.5681137707641612E-2</v>
      </c>
      <c r="E802" s="190">
        <f t="shared" ca="1" si="88"/>
        <v>-7.5489678023735862E-3</v>
      </c>
      <c r="F802" s="189" t="b">
        <f t="shared" ca="1" si="89"/>
        <v>1</v>
      </c>
      <c r="G802" s="188">
        <f ca="1">IF(F802,IFERROR(((('Data Schema'!$C$3*(1+B802)^1)*((1-$I$4-$I$5+E802)*(1-$I$10)+$I$6-$I$11)-('Data Schema'!$C$3*(1+B802)^1-'Data Schema'!$C$3)*$I$12)/(1+C802)^1+(('Data Schema'!$C$3*(1+B802)^2)*((1-$I$4-$I$5+E802)*(1-$I$10)+$I$6-$I$11)-('Data Schema'!$C$3*(1+B802)^2-'Data Schema'!$C$3*(1+B802)^1)*$I$12)/(1+C802)^2+(('Data Schema'!$C$3*(1+B802)^3)*((1-$I$4-$I$5+E802)*(1-$I$10)+$I$6-$I$11)-('Data Schema'!$C$3*(1+B802)^3-'Data Schema'!$C$3*(1+B802)^2)*$I$12)/(1+C802)^3+(('Data Schema'!$C$3*(1+B802)^4)*((1-$I$4-$I$5+E802)*(1-$I$10)+$I$6-$I$11)-('Data Schema'!$C$3*(1+B802)^4-'Data Schema'!$C$3*(1+B802)^3)*$I$12)/(1+C802)^4+(('Data Schema'!$C$3*(1+B802)^5)*((1-$I$4-$I$5+E802)*(1-$I$10)+$I$6-$I$11)-('Data Schema'!$C$3*(1+B802)^5-'Data Schema'!$C$3*(1+B802)^4)*$I$12)/(1+C802)^5+((('Data Schema'!$C$3*(1+B802)^5)*((1-$I$4-$I$5+E802)*(1-$I$10)+$I$6-$I$11)-('Data Schema'!$C$3*(1+B802)^5-'Data Schema'!$C$3*(1+B802)^4)*$I$12)*(1+D802)/(C802-D802))/(1+C802)^5-'Data Schema'!$C$31+'Data Schema'!$C$21)/'Data Schema'!$B$17,0),"INVALID")</f>
        <v>64.90406131242743</v>
      </c>
      <c r="H802" s="189" t="b">
        <f t="shared" ca="1" si="90"/>
        <v>1</v>
      </c>
      <c r="I802" s="188">
        <f t="shared" ca="1" si="91"/>
        <v>64.90406131242743</v>
      </c>
      <c r="J802" s="349">
        <f t="shared" ca="1" si="84"/>
        <v>64.90406131242743</v>
      </c>
    </row>
    <row r="803" spans="1:10">
      <c r="A803" s="184">
        <v>624</v>
      </c>
      <c r="B803" s="190">
        <f t="shared" ca="1" si="85"/>
        <v>0.12473735558581756</v>
      </c>
      <c r="C803" s="190">
        <f t="shared" ca="1" si="86"/>
        <v>8.3908673042425663E-2</v>
      </c>
      <c r="D803" s="190">
        <f t="shared" ca="1" si="87"/>
        <v>2.4811597442822068E-2</v>
      </c>
      <c r="E803" s="190">
        <f t="shared" ca="1" si="88"/>
        <v>1.1649691848377922E-2</v>
      </c>
      <c r="F803" s="189" t="b">
        <f t="shared" ca="1" si="89"/>
        <v>1</v>
      </c>
      <c r="G803" s="188">
        <f ca="1">IF(F803,IFERROR(((('Data Schema'!$C$3*(1+B803)^1)*((1-$I$4-$I$5+E803)*(1-$I$10)+$I$6-$I$11)-('Data Schema'!$C$3*(1+B803)^1-'Data Schema'!$C$3)*$I$12)/(1+C803)^1+(('Data Schema'!$C$3*(1+B803)^2)*((1-$I$4-$I$5+E803)*(1-$I$10)+$I$6-$I$11)-('Data Schema'!$C$3*(1+B803)^2-'Data Schema'!$C$3*(1+B803)^1)*$I$12)/(1+C803)^2+(('Data Schema'!$C$3*(1+B803)^3)*((1-$I$4-$I$5+E803)*(1-$I$10)+$I$6-$I$11)-('Data Schema'!$C$3*(1+B803)^3-'Data Schema'!$C$3*(1+B803)^2)*$I$12)/(1+C803)^3+(('Data Schema'!$C$3*(1+B803)^4)*((1-$I$4-$I$5+E803)*(1-$I$10)+$I$6-$I$11)-('Data Schema'!$C$3*(1+B803)^4-'Data Schema'!$C$3*(1+B803)^3)*$I$12)/(1+C803)^4+(('Data Schema'!$C$3*(1+B803)^5)*((1-$I$4-$I$5+E803)*(1-$I$10)+$I$6-$I$11)-('Data Schema'!$C$3*(1+B803)^5-'Data Schema'!$C$3*(1+B803)^4)*$I$12)/(1+C803)^5+((('Data Schema'!$C$3*(1+B803)^5)*((1-$I$4-$I$5+E803)*(1-$I$10)+$I$6-$I$11)-('Data Schema'!$C$3*(1+B803)^5-'Data Schema'!$C$3*(1+B803)^4)*$I$12)*(1+D803)/(C803-D803))/(1+C803)^5-'Data Schema'!$C$31+'Data Schema'!$C$21)/'Data Schema'!$B$17,0),"INVALID")</f>
        <v>72.399887731356586</v>
      </c>
      <c r="H803" s="189" t="b">
        <f t="shared" ca="1" si="90"/>
        <v>1</v>
      </c>
      <c r="I803" s="188">
        <f t="shared" ca="1" si="91"/>
        <v>72.399887731356586</v>
      </c>
      <c r="J803" s="349">
        <f t="shared" ca="1" si="84"/>
        <v>72.399887731356586</v>
      </c>
    </row>
    <row r="804" spans="1:10">
      <c r="A804" s="185">
        <v>625</v>
      </c>
      <c r="B804" s="190">
        <f t="shared" ca="1" si="85"/>
        <v>7.7614879086734423E-2</v>
      </c>
      <c r="C804" s="190">
        <f t="shared" ca="1" si="86"/>
        <v>6.3054960786641343E-2</v>
      </c>
      <c r="D804" s="190">
        <f t="shared" ca="1" si="87"/>
        <v>2.5091531808710273E-2</v>
      </c>
      <c r="E804" s="190">
        <f t="shared" ca="1" si="88"/>
        <v>8.8155913047933548E-3</v>
      </c>
      <c r="F804" s="189" t="b">
        <f t="shared" ca="1" si="89"/>
        <v>1</v>
      </c>
      <c r="G804" s="188">
        <f ca="1">IF(F804,IFERROR(((('Data Schema'!$C$3*(1+B804)^1)*((1-$I$4-$I$5+E804)*(1-$I$10)+$I$6-$I$11)-('Data Schema'!$C$3*(1+B804)^1-'Data Schema'!$C$3)*$I$12)/(1+C804)^1+(('Data Schema'!$C$3*(1+B804)^2)*((1-$I$4-$I$5+E804)*(1-$I$10)+$I$6-$I$11)-('Data Schema'!$C$3*(1+B804)^2-'Data Schema'!$C$3*(1+B804)^1)*$I$12)/(1+C804)^2+(('Data Schema'!$C$3*(1+B804)^3)*((1-$I$4-$I$5+E804)*(1-$I$10)+$I$6-$I$11)-('Data Schema'!$C$3*(1+B804)^3-'Data Schema'!$C$3*(1+B804)^2)*$I$12)/(1+C804)^3+(('Data Schema'!$C$3*(1+B804)^4)*((1-$I$4-$I$5+E804)*(1-$I$10)+$I$6-$I$11)-('Data Schema'!$C$3*(1+B804)^4-'Data Schema'!$C$3*(1+B804)^3)*$I$12)/(1+C804)^4+(('Data Schema'!$C$3*(1+B804)^5)*((1-$I$4-$I$5+E804)*(1-$I$10)+$I$6-$I$11)-('Data Schema'!$C$3*(1+B804)^5-'Data Schema'!$C$3*(1+B804)^4)*$I$12)/(1+C804)^5+((('Data Schema'!$C$3*(1+B804)^5)*((1-$I$4-$I$5+E804)*(1-$I$10)+$I$6-$I$11)-('Data Schema'!$C$3*(1+B804)^5-'Data Schema'!$C$3*(1+B804)^4)*$I$12)*(1+D804)/(C804-D804))/(1+C804)^5-'Data Schema'!$C$31+'Data Schema'!$C$21)/'Data Schema'!$B$17,0),"INVALID")</f>
        <v>91.292894093309158</v>
      </c>
      <c r="H804" s="189" t="b">
        <f t="shared" ca="1" si="90"/>
        <v>1</v>
      </c>
      <c r="I804" s="188">
        <f t="shared" ca="1" si="91"/>
        <v>91.292894093309158</v>
      </c>
      <c r="J804" s="349">
        <f t="shared" ca="1" si="84"/>
        <v>91.292894093309158</v>
      </c>
    </row>
    <row r="805" spans="1:10">
      <c r="A805" s="184">
        <v>626</v>
      </c>
      <c r="B805" s="190">
        <f t="shared" ca="1" si="85"/>
        <v>0.14016206441176016</v>
      </c>
      <c r="C805" s="190">
        <f t="shared" ca="1" si="86"/>
        <v>4.9326191708528894E-2</v>
      </c>
      <c r="D805" s="190">
        <f t="shared" ca="1" si="87"/>
        <v>2.8401014656796845E-2</v>
      </c>
      <c r="E805" s="190">
        <f t="shared" ca="1" si="88"/>
        <v>4.3661745730488546E-2</v>
      </c>
      <c r="F805" s="189" t="b">
        <f t="shared" ca="1" si="89"/>
        <v>1</v>
      </c>
      <c r="G805" s="188">
        <f ca="1">IF(F805,IFERROR(((('Data Schema'!$C$3*(1+B805)^1)*((1-$I$4-$I$5+E805)*(1-$I$10)+$I$6-$I$11)-('Data Schema'!$C$3*(1+B805)^1-'Data Schema'!$C$3)*$I$12)/(1+C805)^1+(('Data Schema'!$C$3*(1+B805)^2)*((1-$I$4-$I$5+E805)*(1-$I$10)+$I$6-$I$11)-('Data Schema'!$C$3*(1+B805)^2-'Data Schema'!$C$3*(1+B805)^1)*$I$12)/(1+C805)^2+(('Data Schema'!$C$3*(1+B805)^3)*((1-$I$4-$I$5+E805)*(1-$I$10)+$I$6-$I$11)-('Data Schema'!$C$3*(1+B805)^3-'Data Schema'!$C$3*(1+B805)^2)*$I$12)/(1+C805)^3+(('Data Schema'!$C$3*(1+B805)^4)*((1-$I$4-$I$5+E805)*(1-$I$10)+$I$6-$I$11)-('Data Schema'!$C$3*(1+B805)^4-'Data Schema'!$C$3*(1+B805)^3)*$I$12)/(1+C805)^4+(('Data Schema'!$C$3*(1+B805)^5)*((1-$I$4-$I$5+E805)*(1-$I$10)+$I$6-$I$11)-('Data Schema'!$C$3*(1+B805)^5-'Data Schema'!$C$3*(1+B805)^4)*$I$12)/(1+C805)^5+((('Data Schema'!$C$3*(1+B805)^5)*((1-$I$4-$I$5+E805)*(1-$I$10)+$I$6-$I$11)-('Data Schema'!$C$3*(1+B805)^5-'Data Schema'!$C$3*(1+B805)^4)*$I$12)*(1+D805)/(C805-D805))/(1+C805)^5-'Data Schema'!$C$31+'Data Schema'!$C$21)/'Data Schema'!$B$17,0),"INVALID")</f>
        <v>406.75240960468346</v>
      </c>
      <c r="H805" s="189" t="b">
        <f t="shared" ca="1" si="90"/>
        <v>1</v>
      </c>
      <c r="I805" s="188">
        <f t="shared" ca="1" si="91"/>
        <v>406.75240960468346</v>
      </c>
      <c r="J805" s="349" t="str">
        <f t="shared" ca="1" si="84"/>
        <v/>
      </c>
    </row>
    <row r="806" spans="1:10">
      <c r="A806" s="185">
        <v>627</v>
      </c>
      <c r="B806" s="190">
        <f t="shared" ca="1" si="85"/>
        <v>0.12505291744773891</v>
      </c>
      <c r="C806" s="190">
        <f t="shared" ca="1" si="86"/>
        <v>6.1950626105405138E-2</v>
      </c>
      <c r="D806" s="190">
        <f t="shared" ca="1" si="87"/>
        <v>2.3287122020843307E-2</v>
      </c>
      <c r="E806" s="190">
        <f t="shared" ca="1" si="88"/>
        <v>-9.8198624789764908E-3</v>
      </c>
      <c r="F806" s="189" t="b">
        <f t="shared" ca="1" si="89"/>
        <v>1</v>
      </c>
      <c r="G806" s="188">
        <f ca="1">IF(F806,IFERROR(((('Data Schema'!$C$3*(1+B806)^1)*((1-$I$4-$I$5+E806)*(1-$I$10)+$I$6-$I$11)-('Data Schema'!$C$3*(1+B806)^1-'Data Schema'!$C$3)*$I$12)/(1+C806)^1+(('Data Schema'!$C$3*(1+B806)^2)*((1-$I$4-$I$5+E806)*(1-$I$10)+$I$6-$I$11)-('Data Schema'!$C$3*(1+B806)^2-'Data Schema'!$C$3*(1+B806)^1)*$I$12)/(1+C806)^2+(('Data Schema'!$C$3*(1+B806)^3)*((1-$I$4-$I$5+E806)*(1-$I$10)+$I$6-$I$11)-('Data Schema'!$C$3*(1+B806)^3-'Data Schema'!$C$3*(1+B806)^2)*$I$12)/(1+C806)^3+(('Data Schema'!$C$3*(1+B806)^4)*((1-$I$4-$I$5+E806)*(1-$I$10)+$I$6-$I$11)-('Data Schema'!$C$3*(1+B806)^4-'Data Schema'!$C$3*(1+B806)^3)*$I$12)/(1+C806)^4+(('Data Schema'!$C$3*(1+B806)^5)*((1-$I$4-$I$5+E806)*(1-$I$10)+$I$6-$I$11)-('Data Schema'!$C$3*(1+B806)^5-'Data Schema'!$C$3*(1+B806)^4)*$I$12)/(1+C806)^5+((('Data Schema'!$C$3*(1+B806)^5)*((1-$I$4-$I$5+E806)*(1-$I$10)+$I$6-$I$11)-('Data Schema'!$C$3*(1+B806)^5-'Data Schema'!$C$3*(1+B806)^4)*$I$12)*(1+D806)/(C806-D806))/(1+C806)^5-'Data Schema'!$C$31+'Data Schema'!$C$21)/'Data Schema'!$B$17,0),"INVALID")</f>
        <v>57.800496615953179</v>
      </c>
      <c r="H806" s="189" t="b">
        <f t="shared" ca="1" si="90"/>
        <v>1</v>
      </c>
      <c r="I806" s="188">
        <f t="shared" ca="1" si="91"/>
        <v>57.800496615953179</v>
      </c>
      <c r="J806" s="349">
        <f t="shared" ca="1" si="84"/>
        <v>57.800496615953179</v>
      </c>
    </row>
    <row r="807" spans="1:10">
      <c r="A807" s="184">
        <v>628</v>
      </c>
      <c r="B807" s="190">
        <f t="shared" ca="1" si="85"/>
        <v>0.12605060808499316</v>
      </c>
      <c r="C807" s="190">
        <f t="shared" ca="1" si="86"/>
        <v>4.800682787371309E-2</v>
      </c>
      <c r="D807" s="190">
        <f t="shared" ca="1" si="87"/>
        <v>2.0043906422398595E-2</v>
      </c>
      <c r="E807" s="190">
        <f t="shared" ca="1" si="88"/>
        <v>2.5071699683657043E-4</v>
      </c>
      <c r="F807" s="189" t="b">
        <f t="shared" ca="1" si="89"/>
        <v>1</v>
      </c>
      <c r="G807" s="188">
        <f ca="1">IF(F807,IFERROR(((('Data Schema'!$C$3*(1+B807)^1)*((1-$I$4-$I$5+E807)*(1-$I$10)+$I$6-$I$11)-('Data Schema'!$C$3*(1+B807)^1-'Data Schema'!$C$3)*$I$12)/(1+C807)^1+(('Data Schema'!$C$3*(1+B807)^2)*((1-$I$4-$I$5+E807)*(1-$I$10)+$I$6-$I$11)-('Data Schema'!$C$3*(1+B807)^2-'Data Schema'!$C$3*(1+B807)^1)*$I$12)/(1+C807)^2+(('Data Schema'!$C$3*(1+B807)^3)*((1-$I$4-$I$5+E807)*(1-$I$10)+$I$6-$I$11)-('Data Schema'!$C$3*(1+B807)^3-'Data Schema'!$C$3*(1+B807)^2)*$I$12)/(1+C807)^3+(('Data Schema'!$C$3*(1+B807)^4)*((1-$I$4-$I$5+E807)*(1-$I$10)+$I$6-$I$11)-('Data Schema'!$C$3*(1+B807)^4-'Data Schema'!$C$3*(1+B807)^3)*$I$12)/(1+C807)^4+(('Data Schema'!$C$3*(1+B807)^5)*((1-$I$4-$I$5+E807)*(1-$I$10)+$I$6-$I$11)-('Data Schema'!$C$3*(1+B807)^5-'Data Schema'!$C$3*(1+B807)^4)*$I$12)/(1+C807)^5+((('Data Schema'!$C$3*(1+B807)^5)*((1-$I$4-$I$5+E807)*(1-$I$10)+$I$6-$I$11)-('Data Schema'!$C$3*(1+B807)^5-'Data Schema'!$C$3*(1+B807)^4)*$I$12)*(1+D807)/(C807-D807))/(1+C807)^5-'Data Schema'!$C$31+'Data Schema'!$C$21)/'Data Schema'!$B$17,0),"INVALID")</f>
        <v>123.97007467637363</v>
      </c>
      <c r="H807" s="189" t="b">
        <f t="shared" ca="1" si="90"/>
        <v>1</v>
      </c>
      <c r="I807" s="188">
        <f t="shared" ca="1" si="91"/>
        <v>123.97007467637363</v>
      </c>
      <c r="J807" s="349">
        <f t="shared" ca="1" si="84"/>
        <v>123.97007467637363</v>
      </c>
    </row>
    <row r="808" spans="1:10">
      <c r="A808" s="185">
        <v>629</v>
      </c>
      <c r="B808" s="190">
        <f t="shared" ca="1" si="85"/>
        <v>9.4592123181565888E-2</v>
      </c>
      <c r="C808" s="190">
        <f t="shared" ca="1" si="86"/>
        <v>4.5247577175298523E-2</v>
      </c>
      <c r="D808" s="190">
        <f t="shared" ca="1" si="87"/>
        <v>2.4571632212517555E-2</v>
      </c>
      <c r="E808" s="190">
        <f t="shared" ca="1" si="88"/>
        <v>4.5100682417197951E-3</v>
      </c>
      <c r="F808" s="189" t="b">
        <f t="shared" ca="1" si="89"/>
        <v>1</v>
      </c>
      <c r="G808" s="188">
        <f ca="1">IF(F808,IFERROR(((('Data Schema'!$C$3*(1+B808)^1)*((1-$I$4-$I$5+E808)*(1-$I$10)+$I$6-$I$11)-('Data Schema'!$C$3*(1+B808)^1-'Data Schema'!$C$3)*$I$12)/(1+C808)^1+(('Data Schema'!$C$3*(1+B808)^2)*((1-$I$4-$I$5+E808)*(1-$I$10)+$I$6-$I$11)-('Data Schema'!$C$3*(1+B808)^2-'Data Schema'!$C$3*(1+B808)^1)*$I$12)/(1+C808)^2+(('Data Schema'!$C$3*(1+B808)^3)*((1-$I$4-$I$5+E808)*(1-$I$10)+$I$6-$I$11)-('Data Schema'!$C$3*(1+B808)^3-'Data Schema'!$C$3*(1+B808)^2)*$I$12)/(1+C808)^3+(('Data Schema'!$C$3*(1+B808)^4)*((1-$I$4-$I$5+E808)*(1-$I$10)+$I$6-$I$11)-('Data Schema'!$C$3*(1+B808)^4-'Data Schema'!$C$3*(1+B808)^3)*$I$12)/(1+C808)^4+(('Data Schema'!$C$3*(1+B808)^5)*((1-$I$4-$I$5+E808)*(1-$I$10)+$I$6-$I$11)-('Data Schema'!$C$3*(1+B808)^5-'Data Schema'!$C$3*(1+B808)^4)*$I$12)/(1+C808)^5+((('Data Schema'!$C$3*(1+B808)^5)*((1-$I$4-$I$5+E808)*(1-$I$10)+$I$6-$I$11)-('Data Schema'!$C$3*(1+B808)^5-'Data Schema'!$C$3*(1+B808)^4)*$I$12)*(1+D808)/(C808-D808))/(1+C808)^5-'Data Schema'!$C$31+'Data Schema'!$C$21)/'Data Schema'!$B$17,0),"INVALID")</f>
        <v>168.12471089351479</v>
      </c>
      <c r="H808" s="189" t="b">
        <f t="shared" ca="1" si="90"/>
        <v>1</v>
      </c>
      <c r="I808" s="188">
        <f t="shared" ca="1" si="91"/>
        <v>168.12471089351479</v>
      </c>
      <c r="J808" s="349">
        <f t="shared" ca="1" si="84"/>
        <v>168.12471089351479</v>
      </c>
    </row>
    <row r="809" spans="1:10">
      <c r="A809" s="184">
        <v>630</v>
      </c>
      <c r="B809" s="190">
        <f t="shared" ca="1" si="85"/>
        <v>7.3001423102940388E-2</v>
      </c>
      <c r="C809" s="190">
        <f t="shared" ca="1" si="86"/>
        <v>6.9919133680354184E-2</v>
      </c>
      <c r="D809" s="190">
        <f t="shared" ca="1" si="87"/>
        <v>2.4277080265076061E-2</v>
      </c>
      <c r="E809" s="190">
        <f t="shared" ca="1" si="88"/>
        <v>-2.9048781963976814E-2</v>
      </c>
      <c r="F809" s="189" t="b">
        <f t="shared" ca="1" si="89"/>
        <v>1</v>
      </c>
      <c r="G809" s="188">
        <f ca="1">IF(F809,IFERROR(((('Data Schema'!$C$3*(1+B809)^1)*((1-$I$4-$I$5+E809)*(1-$I$10)+$I$6-$I$11)-('Data Schema'!$C$3*(1+B809)^1-'Data Schema'!$C$3)*$I$12)/(1+C809)^1+(('Data Schema'!$C$3*(1+B809)^2)*((1-$I$4-$I$5+E809)*(1-$I$10)+$I$6-$I$11)-('Data Schema'!$C$3*(1+B809)^2-'Data Schema'!$C$3*(1+B809)^1)*$I$12)/(1+C809)^2+(('Data Schema'!$C$3*(1+B809)^3)*((1-$I$4-$I$5+E809)*(1-$I$10)+$I$6-$I$11)-('Data Schema'!$C$3*(1+B809)^3-'Data Schema'!$C$3*(1+B809)^2)*$I$12)/(1+C809)^3+(('Data Schema'!$C$3*(1+B809)^4)*((1-$I$4-$I$5+E809)*(1-$I$10)+$I$6-$I$11)-('Data Schema'!$C$3*(1+B809)^4-'Data Schema'!$C$3*(1+B809)^3)*$I$12)/(1+C809)^4+(('Data Schema'!$C$3*(1+B809)^5)*((1-$I$4-$I$5+E809)*(1-$I$10)+$I$6-$I$11)-('Data Schema'!$C$3*(1+B809)^5-'Data Schema'!$C$3*(1+B809)^4)*$I$12)/(1+C809)^5+((('Data Schema'!$C$3*(1+B809)^5)*((1-$I$4-$I$5+E809)*(1-$I$10)+$I$6-$I$11)-('Data Schema'!$C$3*(1+B809)^5-'Data Schema'!$C$3*(1+B809)^4)*$I$12)*(1+D809)/(C809-D809))/(1+C809)^5-'Data Schema'!$C$31+'Data Schema'!$C$21)/'Data Schema'!$B$17,0),"INVALID")</f>
        <v>3.1166200318912192</v>
      </c>
      <c r="H809" s="189" t="b">
        <f t="shared" ca="1" si="90"/>
        <v>0</v>
      </c>
      <c r="I809" s="188" t="str">
        <f t="shared" ca="1" si="91"/>
        <v/>
      </c>
      <c r="J809" s="349" t="str">
        <f t="shared" ca="1" si="84"/>
        <v/>
      </c>
    </row>
    <row r="810" spans="1:10">
      <c r="A810" s="185">
        <v>631</v>
      </c>
      <c r="B810" s="190">
        <f t="shared" ca="1" si="85"/>
        <v>0.12159476280430576</v>
      </c>
      <c r="C810" s="190">
        <f t="shared" ca="1" si="86"/>
        <v>6.5915139723696559E-2</v>
      </c>
      <c r="D810" s="190">
        <f t="shared" ca="1" si="87"/>
        <v>2.8035205171364642E-2</v>
      </c>
      <c r="E810" s="190">
        <f t="shared" ca="1" si="88"/>
        <v>-1.2801476756381632E-2</v>
      </c>
      <c r="F810" s="189" t="b">
        <f t="shared" ca="1" si="89"/>
        <v>1</v>
      </c>
      <c r="G810" s="188">
        <f ca="1">IF(F810,IFERROR(((('Data Schema'!$C$3*(1+B810)^1)*((1-$I$4-$I$5+E810)*(1-$I$10)+$I$6-$I$11)-('Data Schema'!$C$3*(1+B810)^1-'Data Schema'!$C$3)*$I$12)/(1+C810)^1+(('Data Schema'!$C$3*(1+B810)^2)*((1-$I$4-$I$5+E810)*(1-$I$10)+$I$6-$I$11)-('Data Schema'!$C$3*(1+B810)^2-'Data Schema'!$C$3*(1+B810)^1)*$I$12)/(1+C810)^2+(('Data Schema'!$C$3*(1+B810)^3)*((1-$I$4-$I$5+E810)*(1-$I$10)+$I$6-$I$11)-('Data Schema'!$C$3*(1+B810)^3-'Data Schema'!$C$3*(1+B810)^2)*$I$12)/(1+C810)^3+(('Data Schema'!$C$3*(1+B810)^4)*((1-$I$4-$I$5+E810)*(1-$I$10)+$I$6-$I$11)-('Data Schema'!$C$3*(1+B810)^4-'Data Schema'!$C$3*(1+B810)^3)*$I$12)/(1+C810)^4+(('Data Schema'!$C$3*(1+B810)^5)*((1-$I$4-$I$5+E810)*(1-$I$10)+$I$6-$I$11)-('Data Schema'!$C$3*(1+B810)^5-'Data Schema'!$C$3*(1+B810)^4)*$I$12)/(1+C810)^5+((('Data Schema'!$C$3*(1+B810)^5)*((1-$I$4-$I$5+E810)*(1-$I$10)+$I$6-$I$11)-('Data Schema'!$C$3*(1+B810)^5-'Data Schema'!$C$3*(1+B810)^4)*$I$12)*(1+D810)/(C810-D810))/(1+C810)^5-'Data Schema'!$C$31+'Data Schema'!$C$21)/'Data Schema'!$B$17,0),"INVALID")</f>
        <v>49.190320517811607</v>
      </c>
      <c r="H810" s="189" t="b">
        <f t="shared" ca="1" si="90"/>
        <v>1</v>
      </c>
      <c r="I810" s="188">
        <f t="shared" ca="1" si="91"/>
        <v>49.190320517811607</v>
      </c>
      <c r="J810" s="349">
        <f t="shared" ca="1" si="84"/>
        <v>49.190320517811607</v>
      </c>
    </row>
    <row r="811" spans="1:10">
      <c r="A811" s="184">
        <v>632</v>
      </c>
      <c r="B811" s="190">
        <f t="shared" ca="1" si="85"/>
        <v>0.11087054521223173</v>
      </c>
      <c r="C811" s="190">
        <f t="shared" ca="1" si="86"/>
        <v>5.8379001024828389E-2</v>
      </c>
      <c r="D811" s="190">
        <f t="shared" ca="1" si="87"/>
        <v>2.6193132073988084E-2</v>
      </c>
      <c r="E811" s="190">
        <f t="shared" ca="1" si="88"/>
        <v>9.889750001303859E-3</v>
      </c>
      <c r="F811" s="189" t="b">
        <f t="shared" ca="1" si="89"/>
        <v>1</v>
      </c>
      <c r="G811" s="188">
        <f ca="1">IF(F811,IFERROR(((('Data Schema'!$C$3*(1+B811)^1)*((1-$I$4-$I$5+E811)*(1-$I$10)+$I$6-$I$11)-('Data Schema'!$C$3*(1+B811)^1-'Data Schema'!$C$3)*$I$12)/(1+C811)^1+(('Data Schema'!$C$3*(1+B811)^2)*((1-$I$4-$I$5+E811)*(1-$I$10)+$I$6-$I$11)-('Data Schema'!$C$3*(1+B811)^2-'Data Schema'!$C$3*(1+B811)^1)*$I$12)/(1+C811)^2+(('Data Schema'!$C$3*(1+B811)^3)*((1-$I$4-$I$5+E811)*(1-$I$10)+$I$6-$I$11)-('Data Schema'!$C$3*(1+B811)^3-'Data Schema'!$C$3*(1+B811)^2)*$I$12)/(1+C811)^3+(('Data Schema'!$C$3*(1+B811)^4)*((1-$I$4-$I$5+E811)*(1-$I$10)+$I$6-$I$11)-('Data Schema'!$C$3*(1+B811)^4-'Data Schema'!$C$3*(1+B811)^3)*$I$12)/(1+C811)^4+(('Data Schema'!$C$3*(1+B811)^5)*((1-$I$4-$I$5+E811)*(1-$I$10)+$I$6-$I$11)-('Data Schema'!$C$3*(1+B811)^5-'Data Schema'!$C$3*(1+B811)^4)*$I$12)/(1+C811)^5+((('Data Schema'!$C$3*(1+B811)^5)*((1-$I$4-$I$5+E811)*(1-$I$10)+$I$6-$I$11)-('Data Schema'!$C$3*(1+B811)^5-'Data Schema'!$C$3*(1+B811)^4)*$I$12)*(1+D811)/(C811-D811))/(1+C811)^5-'Data Schema'!$C$31+'Data Schema'!$C$21)/'Data Schema'!$B$17,0),"INVALID")</f>
        <v>127.76808056191585</v>
      </c>
      <c r="H811" s="189" t="b">
        <f t="shared" ca="1" si="90"/>
        <v>1</v>
      </c>
      <c r="I811" s="188">
        <f t="shared" ca="1" si="91"/>
        <v>127.76808056191585</v>
      </c>
      <c r="J811" s="349">
        <f t="shared" ca="1" si="84"/>
        <v>127.76808056191585</v>
      </c>
    </row>
    <row r="812" spans="1:10">
      <c r="A812" s="185">
        <v>633</v>
      </c>
      <c r="B812" s="190">
        <f t="shared" ca="1" si="85"/>
        <v>0.12018739763727208</v>
      </c>
      <c r="C812" s="190">
        <f t="shared" ca="1" si="86"/>
        <v>6.6195539289353275E-2</v>
      </c>
      <c r="D812" s="190">
        <f t="shared" ca="1" si="87"/>
        <v>2.9982058252308954E-2</v>
      </c>
      <c r="E812" s="190">
        <f t="shared" ca="1" si="88"/>
        <v>-4.4635781283750127E-2</v>
      </c>
      <c r="F812" s="189" t="b">
        <f t="shared" ca="1" si="89"/>
        <v>1</v>
      </c>
      <c r="G812" s="188">
        <f ca="1">IF(F812,IFERROR(((('Data Schema'!$C$3*(1+B812)^1)*((1-$I$4-$I$5+E812)*(1-$I$10)+$I$6-$I$11)-('Data Schema'!$C$3*(1+B812)^1-'Data Schema'!$C$3)*$I$12)/(1+C812)^1+(('Data Schema'!$C$3*(1+B812)^2)*((1-$I$4-$I$5+E812)*(1-$I$10)+$I$6-$I$11)-('Data Schema'!$C$3*(1+B812)^2-'Data Schema'!$C$3*(1+B812)^1)*$I$12)/(1+C812)^2+(('Data Schema'!$C$3*(1+B812)^3)*((1-$I$4-$I$5+E812)*(1-$I$10)+$I$6-$I$11)-('Data Schema'!$C$3*(1+B812)^3-'Data Schema'!$C$3*(1+B812)^2)*$I$12)/(1+C812)^3+(('Data Schema'!$C$3*(1+B812)^4)*((1-$I$4-$I$5+E812)*(1-$I$10)+$I$6-$I$11)-('Data Schema'!$C$3*(1+B812)^4-'Data Schema'!$C$3*(1+B812)^3)*$I$12)/(1+C812)^4+(('Data Schema'!$C$3*(1+B812)^5)*((1-$I$4-$I$5+E812)*(1-$I$10)+$I$6-$I$11)-('Data Schema'!$C$3*(1+B812)^5-'Data Schema'!$C$3*(1+B812)^4)*$I$12)/(1+C812)^5+((('Data Schema'!$C$3*(1+B812)^5)*((1-$I$4-$I$5+E812)*(1-$I$10)+$I$6-$I$11)-('Data Schema'!$C$3*(1+B812)^5-'Data Schema'!$C$3*(1+B812)^4)*$I$12)*(1+D812)/(C812-D812))/(1+C812)^5-'Data Schema'!$C$31+'Data Schema'!$C$21)/'Data Schema'!$B$17,0),"INVALID")</f>
        <v>-38.455285895538161</v>
      </c>
      <c r="H812" s="189" t="b">
        <f t="shared" ca="1" si="90"/>
        <v>0</v>
      </c>
      <c r="I812" s="188" t="str">
        <f t="shared" ca="1" si="91"/>
        <v/>
      </c>
      <c r="J812" s="349" t="str">
        <f t="shared" ca="1" si="84"/>
        <v/>
      </c>
    </row>
    <row r="813" spans="1:10">
      <c r="A813" s="184">
        <v>634</v>
      </c>
      <c r="B813" s="190">
        <f t="shared" ca="1" si="85"/>
        <v>0.14490836447012551</v>
      </c>
      <c r="C813" s="190">
        <f t="shared" ca="1" si="86"/>
        <v>7.2803567554206056E-2</v>
      </c>
      <c r="D813" s="190">
        <f t="shared" ca="1" si="87"/>
        <v>2.4294644079959276E-2</v>
      </c>
      <c r="E813" s="190">
        <f t="shared" ca="1" si="88"/>
        <v>1.9753681999398118E-2</v>
      </c>
      <c r="F813" s="189" t="b">
        <f t="shared" ca="1" si="89"/>
        <v>1</v>
      </c>
      <c r="G813" s="188">
        <f ca="1">IF(F813,IFERROR(((('Data Schema'!$C$3*(1+B813)^1)*((1-$I$4-$I$5+E813)*(1-$I$10)+$I$6-$I$11)-('Data Schema'!$C$3*(1+B813)^1-'Data Schema'!$C$3)*$I$12)/(1+C813)^1+(('Data Schema'!$C$3*(1+B813)^2)*((1-$I$4-$I$5+E813)*(1-$I$10)+$I$6-$I$11)-('Data Schema'!$C$3*(1+B813)^2-'Data Schema'!$C$3*(1+B813)^1)*$I$12)/(1+C813)^2+(('Data Schema'!$C$3*(1+B813)^3)*((1-$I$4-$I$5+E813)*(1-$I$10)+$I$6-$I$11)-('Data Schema'!$C$3*(1+B813)^3-'Data Schema'!$C$3*(1+B813)^2)*$I$12)/(1+C813)^3+(('Data Schema'!$C$3*(1+B813)^4)*((1-$I$4-$I$5+E813)*(1-$I$10)+$I$6-$I$11)-('Data Schema'!$C$3*(1+B813)^4-'Data Schema'!$C$3*(1+B813)^3)*$I$12)/(1+C813)^4+(('Data Schema'!$C$3*(1+B813)^5)*((1-$I$4-$I$5+E813)*(1-$I$10)+$I$6-$I$11)-('Data Schema'!$C$3*(1+B813)^5-'Data Schema'!$C$3*(1+B813)^4)*$I$12)/(1+C813)^5+((('Data Schema'!$C$3*(1+B813)^5)*((1-$I$4-$I$5+E813)*(1-$I$10)+$I$6-$I$11)-('Data Schema'!$C$3*(1+B813)^5-'Data Schema'!$C$3*(1+B813)^4)*$I$12)*(1+D813)/(C813-D813))/(1+C813)^5-'Data Schema'!$C$31+'Data Schema'!$C$21)/'Data Schema'!$B$17,0),"INVALID")</f>
        <v>117.16178154165502</v>
      </c>
      <c r="H813" s="189" t="b">
        <f t="shared" ca="1" si="90"/>
        <v>1</v>
      </c>
      <c r="I813" s="188">
        <f t="shared" ca="1" si="91"/>
        <v>117.16178154165502</v>
      </c>
      <c r="J813" s="349">
        <f t="shared" ca="1" si="84"/>
        <v>117.16178154165502</v>
      </c>
    </row>
    <row r="814" spans="1:10">
      <c r="A814" s="185">
        <v>635</v>
      </c>
      <c r="B814" s="190">
        <f t="shared" ca="1" si="85"/>
        <v>8.4021784368229491E-2</v>
      </c>
      <c r="C814" s="190">
        <f t="shared" ca="1" si="86"/>
        <v>7.3376230241661289E-2</v>
      </c>
      <c r="D814" s="190">
        <f t="shared" ca="1" si="87"/>
        <v>1.4686857956244151E-2</v>
      </c>
      <c r="E814" s="190">
        <f t="shared" ca="1" si="88"/>
        <v>2.6749898452326761E-2</v>
      </c>
      <c r="F814" s="189" t="b">
        <f t="shared" ca="1" si="89"/>
        <v>1</v>
      </c>
      <c r="G814" s="188">
        <f ca="1">IF(F814,IFERROR(((('Data Schema'!$C$3*(1+B814)^1)*((1-$I$4-$I$5+E814)*(1-$I$10)+$I$6-$I$11)-('Data Schema'!$C$3*(1+B814)^1-'Data Schema'!$C$3)*$I$12)/(1+C814)^1+(('Data Schema'!$C$3*(1+B814)^2)*((1-$I$4-$I$5+E814)*(1-$I$10)+$I$6-$I$11)-('Data Schema'!$C$3*(1+B814)^2-'Data Schema'!$C$3*(1+B814)^1)*$I$12)/(1+C814)^2+(('Data Schema'!$C$3*(1+B814)^3)*((1-$I$4-$I$5+E814)*(1-$I$10)+$I$6-$I$11)-('Data Schema'!$C$3*(1+B814)^3-'Data Schema'!$C$3*(1+B814)^2)*$I$12)/(1+C814)^3+(('Data Schema'!$C$3*(1+B814)^4)*((1-$I$4-$I$5+E814)*(1-$I$10)+$I$6-$I$11)-('Data Schema'!$C$3*(1+B814)^4-'Data Schema'!$C$3*(1+B814)^3)*$I$12)/(1+C814)^4+(('Data Schema'!$C$3*(1+B814)^5)*((1-$I$4-$I$5+E814)*(1-$I$10)+$I$6-$I$11)-('Data Schema'!$C$3*(1+B814)^5-'Data Schema'!$C$3*(1+B814)^4)*$I$12)/(1+C814)^5+((('Data Schema'!$C$3*(1+B814)^5)*((1-$I$4-$I$5+E814)*(1-$I$10)+$I$6-$I$11)-('Data Schema'!$C$3*(1+B814)^5-'Data Schema'!$C$3*(1+B814)^4)*$I$12)*(1+D814)/(C814-D814))/(1+C814)^5-'Data Schema'!$C$31+'Data Schema'!$C$21)/'Data Schema'!$B$17,0),"INVALID")</f>
        <v>87.823323574152653</v>
      </c>
      <c r="H814" s="189" t="b">
        <f t="shared" ca="1" si="90"/>
        <v>1</v>
      </c>
      <c r="I814" s="188">
        <f t="shared" ca="1" si="91"/>
        <v>87.823323574152653</v>
      </c>
      <c r="J814" s="349">
        <f t="shared" ca="1" si="84"/>
        <v>87.823323574152653</v>
      </c>
    </row>
    <row r="815" spans="1:10">
      <c r="A815" s="184">
        <v>636</v>
      </c>
      <c r="B815" s="190">
        <f t="shared" ca="1" si="85"/>
        <v>0.12116240948770249</v>
      </c>
      <c r="C815" s="190">
        <f t="shared" ca="1" si="86"/>
        <v>5.9630477857738971E-2</v>
      </c>
      <c r="D815" s="190">
        <f t="shared" ca="1" si="87"/>
        <v>2.0401403785054111E-2</v>
      </c>
      <c r="E815" s="190">
        <f t="shared" ca="1" si="88"/>
        <v>5.2751144784483686E-3</v>
      </c>
      <c r="F815" s="189" t="b">
        <f t="shared" ca="1" si="89"/>
        <v>1</v>
      </c>
      <c r="G815" s="188">
        <f ca="1">IF(F815,IFERROR(((('Data Schema'!$C$3*(1+B815)^1)*((1-$I$4-$I$5+E815)*(1-$I$10)+$I$6-$I$11)-('Data Schema'!$C$3*(1+B815)^1-'Data Schema'!$C$3)*$I$12)/(1+C815)^1+(('Data Schema'!$C$3*(1+B815)^2)*((1-$I$4-$I$5+E815)*(1-$I$10)+$I$6-$I$11)-('Data Schema'!$C$3*(1+B815)^2-'Data Schema'!$C$3*(1+B815)^1)*$I$12)/(1+C815)^2+(('Data Schema'!$C$3*(1+B815)^3)*((1-$I$4-$I$5+E815)*(1-$I$10)+$I$6-$I$11)-('Data Schema'!$C$3*(1+B815)^3-'Data Schema'!$C$3*(1+B815)^2)*$I$12)/(1+C815)^3+(('Data Schema'!$C$3*(1+B815)^4)*((1-$I$4-$I$5+E815)*(1-$I$10)+$I$6-$I$11)-('Data Schema'!$C$3*(1+B815)^4-'Data Schema'!$C$3*(1+B815)^3)*$I$12)/(1+C815)^4+(('Data Schema'!$C$3*(1+B815)^5)*((1-$I$4-$I$5+E815)*(1-$I$10)+$I$6-$I$11)-('Data Schema'!$C$3*(1+B815)^5-'Data Schema'!$C$3*(1+B815)^4)*$I$12)/(1+C815)^5+((('Data Schema'!$C$3*(1+B815)^5)*((1-$I$4-$I$5+E815)*(1-$I$10)+$I$6-$I$11)-('Data Schema'!$C$3*(1+B815)^5-'Data Schema'!$C$3*(1+B815)^4)*$I$12)*(1+D815)/(C815-D815))/(1+C815)^5-'Data Schema'!$C$31+'Data Schema'!$C$21)/'Data Schema'!$B$17,0),"INVALID")</f>
        <v>97.380658691276849</v>
      </c>
      <c r="H815" s="189" t="b">
        <f t="shared" ca="1" si="90"/>
        <v>1</v>
      </c>
      <c r="I815" s="188">
        <f t="shared" ca="1" si="91"/>
        <v>97.380658691276849</v>
      </c>
      <c r="J815" s="349">
        <f t="shared" ca="1" si="84"/>
        <v>97.380658691276849</v>
      </c>
    </row>
    <row r="816" spans="1:10">
      <c r="A816" s="185">
        <v>637</v>
      </c>
      <c r="B816" s="190">
        <f t="shared" ca="1" si="85"/>
        <v>7.1675253180857365E-2</v>
      </c>
      <c r="C816" s="190">
        <f t="shared" ca="1" si="86"/>
        <v>5.2225401873463369E-2</v>
      </c>
      <c r="D816" s="190">
        <f t="shared" ca="1" si="87"/>
        <v>2.3785022308182226E-2</v>
      </c>
      <c r="E816" s="190">
        <f t="shared" ca="1" si="88"/>
        <v>-1.8986254729693314E-2</v>
      </c>
      <c r="F816" s="189" t="b">
        <f t="shared" ca="1" si="89"/>
        <v>1</v>
      </c>
      <c r="G816" s="188">
        <f ca="1">IF(F816,IFERROR(((('Data Schema'!$C$3*(1+B816)^1)*((1-$I$4-$I$5+E816)*(1-$I$10)+$I$6-$I$11)-('Data Schema'!$C$3*(1+B816)^1-'Data Schema'!$C$3)*$I$12)/(1+C816)^1+(('Data Schema'!$C$3*(1+B816)^2)*((1-$I$4-$I$5+E816)*(1-$I$10)+$I$6-$I$11)-('Data Schema'!$C$3*(1+B816)^2-'Data Schema'!$C$3*(1+B816)^1)*$I$12)/(1+C816)^2+(('Data Schema'!$C$3*(1+B816)^3)*((1-$I$4-$I$5+E816)*(1-$I$10)+$I$6-$I$11)-('Data Schema'!$C$3*(1+B816)^3-'Data Schema'!$C$3*(1+B816)^2)*$I$12)/(1+C816)^3+(('Data Schema'!$C$3*(1+B816)^4)*((1-$I$4-$I$5+E816)*(1-$I$10)+$I$6-$I$11)-('Data Schema'!$C$3*(1+B816)^4-'Data Schema'!$C$3*(1+B816)^3)*$I$12)/(1+C816)^4+(('Data Schema'!$C$3*(1+B816)^5)*((1-$I$4-$I$5+E816)*(1-$I$10)+$I$6-$I$11)-('Data Schema'!$C$3*(1+B816)^5-'Data Schema'!$C$3*(1+B816)^4)*$I$12)/(1+C816)^5+((('Data Schema'!$C$3*(1+B816)^5)*((1-$I$4-$I$5+E816)*(1-$I$10)+$I$6-$I$11)-('Data Schema'!$C$3*(1+B816)^5-'Data Schema'!$C$3*(1+B816)^4)*$I$12)*(1+D816)/(C816-D816))/(1+C816)^5-'Data Schema'!$C$31+'Data Schema'!$C$21)/'Data Schema'!$B$17,0),"INVALID")</f>
        <v>39.394375526221012</v>
      </c>
      <c r="H816" s="189" t="b">
        <f t="shared" ca="1" si="90"/>
        <v>1</v>
      </c>
      <c r="I816" s="188">
        <f t="shared" ca="1" si="91"/>
        <v>39.394375526221012</v>
      </c>
      <c r="J816" s="349">
        <f t="shared" ca="1" si="84"/>
        <v>39.394375526221012</v>
      </c>
    </row>
    <row r="817" spans="1:10">
      <c r="A817" s="184">
        <v>638</v>
      </c>
      <c r="B817" s="190">
        <f t="shared" ca="1" si="85"/>
        <v>0.11229137091037736</v>
      </c>
      <c r="C817" s="190">
        <f t="shared" ca="1" si="86"/>
        <v>4.870356602579122E-2</v>
      </c>
      <c r="D817" s="190">
        <f t="shared" ca="1" si="87"/>
        <v>1.2445400474694782E-2</v>
      </c>
      <c r="E817" s="190">
        <f t="shared" ca="1" si="88"/>
        <v>-4.2591180810318506E-3</v>
      </c>
      <c r="F817" s="189" t="b">
        <f t="shared" ca="1" si="89"/>
        <v>1</v>
      </c>
      <c r="G817" s="188">
        <f ca="1">IF(F817,IFERROR(((('Data Schema'!$C$3*(1+B817)^1)*((1-$I$4-$I$5+E817)*(1-$I$10)+$I$6-$I$11)-('Data Schema'!$C$3*(1+B817)^1-'Data Schema'!$C$3)*$I$12)/(1+C817)^1+(('Data Schema'!$C$3*(1+B817)^2)*((1-$I$4-$I$5+E817)*(1-$I$10)+$I$6-$I$11)-('Data Schema'!$C$3*(1+B817)^2-'Data Schema'!$C$3*(1+B817)^1)*$I$12)/(1+C817)^2+(('Data Schema'!$C$3*(1+B817)^3)*((1-$I$4-$I$5+E817)*(1-$I$10)+$I$6-$I$11)-('Data Schema'!$C$3*(1+B817)^3-'Data Schema'!$C$3*(1+B817)^2)*$I$12)/(1+C817)^3+(('Data Schema'!$C$3*(1+B817)^4)*((1-$I$4-$I$5+E817)*(1-$I$10)+$I$6-$I$11)-('Data Schema'!$C$3*(1+B817)^4-'Data Schema'!$C$3*(1+B817)^3)*$I$12)/(1+C817)^4+(('Data Schema'!$C$3*(1+B817)^5)*((1-$I$4-$I$5+E817)*(1-$I$10)+$I$6-$I$11)-('Data Schema'!$C$3*(1+B817)^5-'Data Schema'!$C$3*(1+B817)^4)*$I$12)/(1+C817)^5+((('Data Schema'!$C$3*(1+B817)^5)*((1-$I$4-$I$5+E817)*(1-$I$10)+$I$6-$I$11)-('Data Schema'!$C$3*(1+B817)^5-'Data Schema'!$C$3*(1+B817)^4)*$I$12)*(1+D817)/(C817-D817))/(1+C817)^5-'Data Schema'!$C$31+'Data Schema'!$C$21)/'Data Schema'!$B$17,0),"INVALID")</f>
        <v>78.126407739873059</v>
      </c>
      <c r="H817" s="189" t="b">
        <f t="shared" ca="1" si="90"/>
        <v>1</v>
      </c>
      <c r="I817" s="188">
        <f t="shared" ca="1" si="91"/>
        <v>78.126407739873059</v>
      </c>
      <c r="J817" s="349">
        <f t="shared" ca="1" si="84"/>
        <v>78.126407739873059</v>
      </c>
    </row>
    <row r="818" spans="1:10">
      <c r="A818" s="185">
        <v>639</v>
      </c>
      <c r="B818" s="190">
        <f t="shared" ca="1" si="85"/>
        <v>6.3357093095118444E-2</v>
      </c>
      <c r="C818" s="190">
        <f t="shared" ca="1" si="86"/>
        <v>6.8070257326674127E-2</v>
      </c>
      <c r="D818" s="190">
        <f t="shared" ca="1" si="87"/>
        <v>1.9528579898339889E-2</v>
      </c>
      <c r="E818" s="190">
        <f t="shared" ca="1" si="88"/>
        <v>1.0993505269196015E-2</v>
      </c>
      <c r="F818" s="189" t="b">
        <f t="shared" ca="1" si="89"/>
        <v>1</v>
      </c>
      <c r="G818" s="188">
        <f ca="1">IF(F818,IFERROR(((('Data Schema'!$C$3*(1+B818)^1)*((1-$I$4-$I$5+E818)*(1-$I$10)+$I$6-$I$11)-('Data Schema'!$C$3*(1+B818)^1-'Data Schema'!$C$3)*$I$12)/(1+C818)^1+(('Data Schema'!$C$3*(1+B818)^2)*((1-$I$4-$I$5+E818)*(1-$I$10)+$I$6-$I$11)-('Data Schema'!$C$3*(1+B818)^2-'Data Schema'!$C$3*(1+B818)^1)*$I$12)/(1+C818)^2+(('Data Schema'!$C$3*(1+B818)^3)*((1-$I$4-$I$5+E818)*(1-$I$10)+$I$6-$I$11)-('Data Schema'!$C$3*(1+B818)^3-'Data Schema'!$C$3*(1+B818)^2)*$I$12)/(1+C818)^3+(('Data Schema'!$C$3*(1+B818)^4)*((1-$I$4-$I$5+E818)*(1-$I$10)+$I$6-$I$11)-('Data Schema'!$C$3*(1+B818)^4-'Data Schema'!$C$3*(1+B818)^3)*$I$12)/(1+C818)^4+(('Data Schema'!$C$3*(1+B818)^5)*((1-$I$4-$I$5+E818)*(1-$I$10)+$I$6-$I$11)-('Data Schema'!$C$3*(1+B818)^5-'Data Schema'!$C$3*(1+B818)^4)*$I$12)/(1+C818)^5+((('Data Schema'!$C$3*(1+B818)^5)*((1-$I$4-$I$5+E818)*(1-$I$10)+$I$6-$I$11)-('Data Schema'!$C$3*(1+B818)^5-'Data Schema'!$C$3*(1+B818)^4)*$I$12)*(1+D818)/(C818-D818))/(1+C818)^5-'Data Schema'!$C$31+'Data Schema'!$C$21)/'Data Schema'!$B$17,0),"INVALID")</f>
        <v>70.671351758527805</v>
      </c>
      <c r="H818" s="189" t="b">
        <f t="shared" ca="1" si="90"/>
        <v>1</v>
      </c>
      <c r="I818" s="188">
        <f t="shared" ca="1" si="91"/>
        <v>70.671351758527805</v>
      </c>
      <c r="J818" s="349">
        <f t="shared" ca="1" si="84"/>
        <v>70.671351758527805</v>
      </c>
    </row>
    <row r="819" spans="1:10">
      <c r="A819" s="184">
        <v>640</v>
      </c>
      <c r="B819" s="190">
        <f t="shared" ca="1" si="85"/>
        <v>0.12999500834533245</v>
      </c>
      <c r="C819" s="190">
        <f t="shared" ca="1" si="86"/>
        <v>5.2139370511916139E-2</v>
      </c>
      <c r="D819" s="190">
        <f t="shared" ca="1" si="87"/>
        <v>2.8842990215352735E-2</v>
      </c>
      <c r="E819" s="190">
        <f t="shared" ca="1" si="88"/>
        <v>-1.9402536251439988E-2</v>
      </c>
      <c r="F819" s="189" t="b">
        <f t="shared" ca="1" si="89"/>
        <v>1</v>
      </c>
      <c r="G819" s="188">
        <f ca="1">IF(F819,IFERROR(((('Data Schema'!$C$3*(1+B819)^1)*((1-$I$4-$I$5+E819)*(1-$I$10)+$I$6-$I$11)-('Data Schema'!$C$3*(1+B819)^1-'Data Schema'!$C$3)*$I$12)/(1+C819)^1+(('Data Schema'!$C$3*(1+B819)^2)*((1-$I$4-$I$5+E819)*(1-$I$10)+$I$6-$I$11)-('Data Schema'!$C$3*(1+B819)^2-'Data Schema'!$C$3*(1+B819)^1)*$I$12)/(1+C819)^2+(('Data Schema'!$C$3*(1+B819)^3)*((1-$I$4-$I$5+E819)*(1-$I$10)+$I$6-$I$11)-('Data Schema'!$C$3*(1+B819)^3-'Data Schema'!$C$3*(1+B819)^2)*$I$12)/(1+C819)^3+(('Data Schema'!$C$3*(1+B819)^4)*((1-$I$4-$I$5+E819)*(1-$I$10)+$I$6-$I$11)-('Data Schema'!$C$3*(1+B819)^4-'Data Schema'!$C$3*(1+B819)^3)*$I$12)/(1+C819)^4+(('Data Schema'!$C$3*(1+B819)^5)*((1-$I$4-$I$5+E819)*(1-$I$10)+$I$6-$I$11)-('Data Schema'!$C$3*(1+B819)^5-'Data Schema'!$C$3*(1+B819)^4)*$I$12)/(1+C819)^5+((('Data Schema'!$C$3*(1+B819)^5)*((1-$I$4-$I$5+E819)*(1-$I$10)+$I$6-$I$11)-('Data Schema'!$C$3*(1+B819)^5-'Data Schema'!$C$3*(1+B819)^4)*$I$12)*(1+D819)/(C819-D819))/(1+C819)^5-'Data Schema'!$C$31+'Data Schema'!$C$21)/'Data Schema'!$B$17,0),"INVALID")</f>
        <v>57.059463434549514</v>
      </c>
      <c r="H819" s="189" t="b">
        <f t="shared" ca="1" si="90"/>
        <v>1</v>
      </c>
      <c r="I819" s="188">
        <f t="shared" ca="1" si="91"/>
        <v>57.059463434549514</v>
      </c>
      <c r="J819" s="349">
        <f t="shared" ca="1" si="84"/>
        <v>57.059463434549514</v>
      </c>
    </row>
    <row r="820" spans="1:10">
      <c r="A820" s="185">
        <v>641</v>
      </c>
      <c r="B820" s="190">
        <f t="shared" ca="1" si="85"/>
        <v>0.10858686489373796</v>
      </c>
      <c r="C820" s="190">
        <f t="shared" ca="1" si="86"/>
        <v>4.9276691002881144E-2</v>
      </c>
      <c r="D820" s="190">
        <f t="shared" ca="1" si="87"/>
        <v>1.8215317101469269E-2</v>
      </c>
      <c r="E820" s="190">
        <f t="shared" ca="1" si="88"/>
        <v>-1.4347293619750236E-2</v>
      </c>
      <c r="F820" s="189" t="b">
        <f t="shared" ca="1" si="89"/>
        <v>1</v>
      </c>
      <c r="G820" s="188">
        <f ca="1">IF(F820,IFERROR(((('Data Schema'!$C$3*(1+B820)^1)*((1-$I$4-$I$5+E820)*(1-$I$10)+$I$6-$I$11)-('Data Schema'!$C$3*(1+B820)^1-'Data Schema'!$C$3)*$I$12)/(1+C820)^1+(('Data Schema'!$C$3*(1+B820)^2)*((1-$I$4-$I$5+E820)*(1-$I$10)+$I$6-$I$11)-('Data Schema'!$C$3*(1+B820)^2-'Data Schema'!$C$3*(1+B820)^1)*$I$12)/(1+C820)^2+(('Data Schema'!$C$3*(1+B820)^3)*((1-$I$4-$I$5+E820)*(1-$I$10)+$I$6-$I$11)-('Data Schema'!$C$3*(1+B820)^3-'Data Schema'!$C$3*(1+B820)^2)*$I$12)/(1+C820)^3+(('Data Schema'!$C$3*(1+B820)^4)*((1-$I$4-$I$5+E820)*(1-$I$10)+$I$6-$I$11)-('Data Schema'!$C$3*(1+B820)^4-'Data Schema'!$C$3*(1+B820)^3)*$I$12)/(1+C820)^4+(('Data Schema'!$C$3*(1+B820)^5)*((1-$I$4-$I$5+E820)*(1-$I$10)+$I$6-$I$11)-('Data Schema'!$C$3*(1+B820)^5-'Data Schema'!$C$3*(1+B820)^4)*$I$12)/(1+C820)^5+((('Data Schema'!$C$3*(1+B820)^5)*((1-$I$4-$I$5+E820)*(1-$I$10)+$I$6-$I$11)-('Data Schema'!$C$3*(1+B820)^5-'Data Schema'!$C$3*(1+B820)^4)*$I$12)*(1+D820)/(C820-D820))/(1+C820)^5-'Data Schema'!$C$31+'Data Schema'!$C$21)/'Data Schema'!$B$17,0),"INVALID")</f>
        <v>56.358426371182176</v>
      </c>
      <c r="H820" s="189" t="b">
        <f t="shared" ca="1" si="90"/>
        <v>1</v>
      </c>
      <c r="I820" s="188">
        <f t="shared" ca="1" si="91"/>
        <v>56.358426371182176</v>
      </c>
      <c r="J820" s="349">
        <f t="shared" ref="J820:J883" ca="1" si="92">IF(AND(F820=TRUE,H820=TRUE,ISNUMBER(G820),G820&gt;=$B$153,G820&lt;=$B$154),G820,"")</f>
        <v>56.358426371182176</v>
      </c>
    </row>
    <row r="821" spans="1:10">
      <c r="A821" s="184">
        <v>642</v>
      </c>
      <c r="B821" s="190">
        <f t="shared" ref="B821:B884" ca="1" si="93">MAX($D$139,MIN($E$139,NORMINV(RAND(),$B$139,$C$139)))</f>
        <v>9.6864976594936786E-2</v>
      </c>
      <c r="C821" s="190">
        <f t="shared" ref="C821:C884" ca="1" si="94">MAX($D$140,MIN($E$140,NORMINV(RAND(),$B$140,$C$140)))</f>
        <v>5.9581975358791582E-2</v>
      </c>
      <c r="D821" s="190">
        <f t="shared" ref="D821:D884" ca="1" si="95">MAX($D$141,MIN($E$141,NORMINV(RAND(),$B$141,$C$141)))</f>
        <v>2.5917439001060548E-2</v>
      </c>
      <c r="E821" s="190">
        <f t="shared" ref="E821:E884" ca="1" si="96">MAX($D$142,MIN($E$142,NORMINV(RAND(),$B$142,$C$142)))</f>
        <v>1.946873370143401E-2</v>
      </c>
      <c r="F821" s="189" t="b">
        <f t="shared" ref="F821:F884" ca="1" si="97">C821&gt;D821+$B$144</f>
        <v>1</v>
      </c>
      <c r="G821" s="188">
        <f ca="1">IF(F821,IFERROR(((('Data Schema'!$C$3*(1+B821)^1)*((1-$I$4-$I$5+E821)*(1-$I$10)+$I$6-$I$11)-('Data Schema'!$C$3*(1+B821)^1-'Data Schema'!$C$3)*$I$12)/(1+C821)^1+(('Data Schema'!$C$3*(1+B821)^2)*((1-$I$4-$I$5+E821)*(1-$I$10)+$I$6-$I$11)-('Data Schema'!$C$3*(1+B821)^2-'Data Schema'!$C$3*(1+B821)^1)*$I$12)/(1+C821)^2+(('Data Schema'!$C$3*(1+B821)^3)*((1-$I$4-$I$5+E821)*(1-$I$10)+$I$6-$I$11)-('Data Schema'!$C$3*(1+B821)^3-'Data Schema'!$C$3*(1+B821)^2)*$I$12)/(1+C821)^3+(('Data Schema'!$C$3*(1+B821)^4)*((1-$I$4-$I$5+E821)*(1-$I$10)+$I$6-$I$11)-('Data Schema'!$C$3*(1+B821)^4-'Data Schema'!$C$3*(1+B821)^3)*$I$12)/(1+C821)^4+(('Data Schema'!$C$3*(1+B821)^5)*((1-$I$4-$I$5+E821)*(1-$I$10)+$I$6-$I$11)-('Data Schema'!$C$3*(1+B821)^5-'Data Schema'!$C$3*(1+B821)^4)*$I$12)/(1+C821)^5+((('Data Schema'!$C$3*(1+B821)^5)*((1-$I$4-$I$5+E821)*(1-$I$10)+$I$6-$I$11)-('Data Schema'!$C$3*(1+B821)^5-'Data Schema'!$C$3*(1+B821)^4)*$I$12)*(1+D821)/(C821-D821))/(1+C821)^5-'Data Schema'!$C$31+'Data Schema'!$C$21)/'Data Schema'!$B$17,0),"INVALID")</f>
        <v>141.86238539146481</v>
      </c>
      <c r="H821" s="189" t="b">
        <f t="shared" ref="H821:H884" ca="1" si="98">AND(ISNUMBER(G821),G821&gt;$F$29*$B$145,G821&lt;$F$29*$B$146)</f>
        <v>1</v>
      </c>
      <c r="I821" s="188">
        <f t="shared" ref="I821:I884" ca="1" si="99">IF(AND(F821=TRUE,H821=TRUE),G821,"")</f>
        <v>141.86238539146481</v>
      </c>
      <c r="J821" s="349">
        <f t="shared" ca="1" si="92"/>
        <v>141.86238539146481</v>
      </c>
    </row>
    <row r="822" spans="1:10">
      <c r="A822" s="185">
        <v>643</v>
      </c>
      <c r="B822" s="190">
        <f t="shared" ca="1" si="93"/>
        <v>0.1039374832954732</v>
      </c>
      <c r="C822" s="190">
        <f t="shared" ca="1" si="94"/>
        <v>6.2173231285009303E-2</v>
      </c>
      <c r="D822" s="190">
        <f t="shared" ca="1" si="95"/>
        <v>3.2437563582668236E-2</v>
      </c>
      <c r="E822" s="190">
        <f t="shared" ca="1" si="96"/>
        <v>-6.7323271774212962E-3</v>
      </c>
      <c r="F822" s="189" t="b">
        <f t="shared" ca="1" si="97"/>
        <v>1</v>
      </c>
      <c r="G822" s="188">
        <f ca="1">IF(F822,IFERROR(((('Data Schema'!$C$3*(1+B822)^1)*((1-$I$4-$I$5+E822)*(1-$I$10)+$I$6-$I$11)-('Data Schema'!$C$3*(1+B822)^1-'Data Schema'!$C$3)*$I$12)/(1+C822)^1+(('Data Schema'!$C$3*(1+B822)^2)*((1-$I$4-$I$5+E822)*(1-$I$10)+$I$6-$I$11)-('Data Schema'!$C$3*(1+B822)^2-'Data Schema'!$C$3*(1+B822)^1)*$I$12)/(1+C822)^2+(('Data Schema'!$C$3*(1+B822)^3)*((1-$I$4-$I$5+E822)*(1-$I$10)+$I$6-$I$11)-('Data Schema'!$C$3*(1+B822)^3-'Data Schema'!$C$3*(1+B822)^2)*$I$12)/(1+C822)^3+(('Data Schema'!$C$3*(1+B822)^4)*((1-$I$4-$I$5+E822)*(1-$I$10)+$I$6-$I$11)-('Data Schema'!$C$3*(1+B822)^4-'Data Schema'!$C$3*(1+B822)^3)*$I$12)/(1+C822)^4+(('Data Schema'!$C$3*(1+B822)^5)*((1-$I$4-$I$5+E822)*(1-$I$10)+$I$6-$I$11)-('Data Schema'!$C$3*(1+B822)^5-'Data Schema'!$C$3*(1+B822)^4)*$I$12)/(1+C822)^5+((('Data Schema'!$C$3*(1+B822)^5)*((1-$I$4-$I$5+E822)*(1-$I$10)+$I$6-$I$11)-('Data Schema'!$C$3*(1+B822)^5-'Data Schema'!$C$3*(1+B822)^4)*$I$12)*(1+D822)/(C822-D822))/(1+C822)^5-'Data Schema'!$C$31+'Data Schema'!$C$21)/'Data Schema'!$B$17,0),"INVALID")</f>
        <v>79.179888189085915</v>
      </c>
      <c r="H822" s="189" t="b">
        <f t="shared" ca="1" si="98"/>
        <v>1</v>
      </c>
      <c r="I822" s="188">
        <f t="shared" ca="1" si="99"/>
        <v>79.179888189085915</v>
      </c>
      <c r="J822" s="349">
        <f t="shared" ca="1" si="92"/>
        <v>79.179888189085915</v>
      </c>
    </row>
    <row r="823" spans="1:10">
      <c r="A823" s="184">
        <v>644</v>
      </c>
      <c r="B823" s="190">
        <f t="shared" ca="1" si="93"/>
        <v>0.10811371749681167</v>
      </c>
      <c r="C823" s="190">
        <f t="shared" ca="1" si="94"/>
        <v>5.089947193179889E-2</v>
      </c>
      <c r="D823" s="190">
        <f t="shared" ca="1" si="95"/>
        <v>1.9777458706563791E-2</v>
      </c>
      <c r="E823" s="190">
        <f t="shared" ca="1" si="96"/>
        <v>-2.7026998644665658E-2</v>
      </c>
      <c r="F823" s="189" t="b">
        <f t="shared" ca="1" si="97"/>
        <v>1</v>
      </c>
      <c r="G823" s="188">
        <f ca="1">IF(F823,IFERROR(((('Data Schema'!$C$3*(1+B823)^1)*((1-$I$4-$I$5+E823)*(1-$I$10)+$I$6-$I$11)-('Data Schema'!$C$3*(1+B823)^1-'Data Schema'!$C$3)*$I$12)/(1+C823)^1+(('Data Schema'!$C$3*(1+B823)^2)*((1-$I$4-$I$5+E823)*(1-$I$10)+$I$6-$I$11)-('Data Schema'!$C$3*(1+B823)^2-'Data Schema'!$C$3*(1+B823)^1)*$I$12)/(1+C823)^2+(('Data Schema'!$C$3*(1+B823)^3)*((1-$I$4-$I$5+E823)*(1-$I$10)+$I$6-$I$11)-('Data Schema'!$C$3*(1+B823)^3-'Data Schema'!$C$3*(1+B823)^2)*$I$12)/(1+C823)^3+(('Data Schema'!$C$3*(1+B823)^4)*((1-$I$4-$I$5+E823)*(1-$I$10)+$I$6-$I$11)-('Data Schema'!$C$3*(1+B823)^4-'Data Schema'!$C$3*(1+B823)^3)*$I$12)/(1+C823)^4+(('Data Schema'!$C$3*(1+B823)^5)*((1-$I$4-$I$5+E823)*(1-$I$10)+$I$6-$I$11)-('Data Schema'!$C$3*(1+B823)^5-'Data Schema'!$C$3*(1+B823)^4)*$I$12)/(1+C823)^5+((('Data Schema'!$C$3*(1+B823)^5)*((1-$I$4-$I$5+E823)*(1-$I$10)+$I$6-$I$11)-('Data Schema'!$C$3*(1+B823)^5-'Data Schema'!$C$3*(1+B823)^4)*$I$12)*(1+D823)/(C823-D823))/(1+C823)^5-'Data Schema'!$C$31+'Data Schema'!$C$21)/'Data Schema'!$B$17,0),"INVALID")</f>
        <v>14.694987115184084</v>
      </c>
      <c r="H823" s="189" t="b">
        <f t="shared" ca="1" si="98"/>
        <v>1</v>
      </c>
      <c r="I823" s="188">
        <f t="shared" ca="1" si="99"/>
        <v>14.694987115184084</v>
      </c>
      <c r="J823" s="349" t="str">
        <f t="shared" ca="1" si="92"/>
        <v/>
      </c>
    </row>
    <row r="824" spans="1:10">
      <c r="A824" s="185">
        <v>645</v>
      </c>
      <c r="B824" s="190">
        <f t="shared" ca="1" si="93"/>
        <v>0.10446230820403364</v>
      </c>
      <c r="C824" s="190">
        <f t="shared" ca="1" si="94"/>
        <v>4.9613711349009167E-2</v>
      </c>
      <c r="D824" s="190">
        <f t="shared" ca="1" si="95"/>
        <v>2.2689446247970473E-2</v>
      </c>
      <c r="E824" s="190">
        <f t="shared" ca="1" si="96"/>
        <v>8.0762168099605732E-3</v>
      </c>
      <c r="F824" s="189" t="b">
        <f t="shared" ca="1" si="97"/>
        <v>1</v>
      </c>
      <c r="G824" s="188">
        <f ca="1">IF(F824,IFERROR(((('Data Schema'!$C$3*(1+B824)^1)*((1-$I$4-$I$5+E824)*(1-$I$10)+$I$6-$I$11)-('Data Schema'!$C$3*(1+B824)^1-'Data Schema'!$C$3)*$I$12)/(1+C824)^1+(('Data Schema'!$C$3*(1+B824)^2)*((1-$I$4-$I$5+E824)*(1-$I$10)+$I$6-$I$11)-('Data Schema'!$C$3*(1+B824)^2-'Data Schema'!$C$3*(1+B824)^1)*$I$12)/(1+C824)^2+(('Data Schema'!$C$3*(1+B824)^3)*((1-$I$4-$I$5+E824)*(1-$I$10)+$I$6-$I$11)-('Data Schema'!$C$3*(1+B824)^3-'Data Schema'!$C$3*(1+B824)^2)*$I$12)/(1+C824)^3+(('Data Schema'!$C$3*(1+B824)^4)*((1-$I$4-$I$5+E824)*(1-$I$10)+$I$6-$I$11)-('Data Schema'!$C$3*(1+B824)^4-'Data Schema'!$C$3*(1+B824)^3)*$I$12)/(1+C824)^4+(('Data Schema'!$C$3*(1+B824)^5)*((1-$I$4-$I$5+E824)*(1-$I$10)+$I$6-$I$11)-('Data Schema'!$C$3*(1+B824)^5-'Data Schema'!$C$3*(1+B824)^4)*$I$12)/(1+C824)^5+((('Data Schema'!$C$3*(1+B824)^5)*((1-$I$4-$I$5+E824)*(1-$I$10)+$I$6-$I$11)-('Data Schema'!$C$3*(1+B824)^5-'Data Schema'!$C$3*(1+B824)^4)*$I$12)*(1+D824)/(C824-D824))/(1+C824)^5-'Data Schema'!$C$31+'Data Schema'!$C$21)/'Data Schema'!$B$17,0),"INVALID")</f>
        <v>146.1394140168351</v>
      </c>
      <c r="H824" s="189" t="b">
        <f t="shared" ca="1" si="98"/>
        <v>1</v>
      </c>
      <c r="I824" s="188">
        <f t="shared" ca="1" si="99"/>
        <v>146.1394140168351</v>
      </c>
      <c r="J824" s="349">
        <f t="shared" ca="1" si="92"/>
        <v>146.1394140168351</v>
      </c>
    </row>
    <row r="825" spans="1:10">
      <c r="A825" s="184">
        <v>646</v>
      </c>
      <c r="B825" s="190">
        <f t="shared" ca="1" si="93"/>
        <v>0.11646549191801156</v>
      </c>
      <c r="C825" s="190">
        <f t="shared" ca="1" si="94"/>
        <v>4.7348886213662858E-2</v>
      </c>
      <c r="D825" s="190">
        <f t="shared" ca="1" si="95"/>
        <v>2.3921356519141446E-2</v>
      </c>
      <c r="E825" s="190">
        <f t="shared" ca="1" si="96"/>
        <v>-1.5497045017063686E-2</v>
      </c>
      <c r="F825" s="189" t="b">
        <f t="shared" ca="1" si="97"/>
        <v>1</v>
      </c>
      <c r="G825" s="188">
        <f ca="1">IF(F825,IFERROR(((('Data Schema'!$C$3*(1+B825)^1)*((1-$I$4-$I$5+E825)*(1-$I$10)+$I$6-$I$11)-('Data Schema'!$C$3*(1+B825)^1-'Data Schema'!$C$3)*$I$12)/(1+C825)^1+(('Data Schema'!$C$3*(1+B825)^2)*((1-$I$4-$I$5+E825)*(1-$I$10)+$I$6-$I$11)-('Data Schema'!$C$3*(1+B825)^2-'Data Schema'!$C$3*(1+B825)^1)*$I$12)/(1+C825)^2+(('Data Schema'!$C$3*(1+B825)^3)*((1-$I$4-$I$5+E825)*(1-$I$10)+$I$6-$I$11)-('Data Schema'!$C$3*(1+B825)^3-'Data Schema'!$C$3*(1+B825)^2)*$I$12)/(1+C825)^3+(('Data Schema'!$C$3*(1+B825)^4)*((1-$I$4-$I$5+E825)*(1-$I$10)+$I$6-$I$11)-('Data Schema'!$C$3*(1+B825)^4-'Data Schema'!$C$3*(1+B825)^3)*$I$12)/(1+C825)^4+(('Data Schema'!$C$3*(1+B825)^5)*((1-$I$4-$I$5+E825)*(1-$I$10)+$I$6-$I$11)-('Data Schema'!$C$3*(1+B825)^5-'Data Schema'!$C$3*(1+B825)^4)*$I$12)/(1+C825)^5+((('Data Schema'!$C$3*(1+B825)^5)*((1-$I$4-$I$5+E825)*(1-$I$10)+$I$6-$I$11)-('Data Schema'!$C$3*(1+B825)^5-'Data Schema'!$C$3*(1+B825)^4)*$I$12)*(1+D825)/(C825-D825))/(1+C825)^5-'Data Schema'!$C$31+'Data Schema'!$C$21)/'Data Schema'!$B$17,0),"INVALID")</f>
        <v>72.714873038667179</v>
      </c>
      <c r="H825" s="189" t="b">
        <f t="shared" ca="1" si="98"/>
        <v>1</v>
      </c>
      <c r="I825" s="188">
        <f t="shared" ca="1" si="99"/>
        <v>72.714873038667179</v>
      </c>
      <c r="J825" s="349">
        <f t="shared" ca="1" si="92"/>
        <v>72.714873038667179</v>
      </c>
    </row>
    <row r="826" spans="1:10">
      <c r="A826" s="185">
        <v>647</v>
      </c>
      <c r="B826" s="190">
        <f t="shared" ca="1" si="93"/>
        <v>0.11528411731029312</v>
      </c>
      <c r="C826" s="190">
        <f t="shared" ca="1" si="94"/>
        <v>4.970310741553971E-2</v>
      </c>
      <c r="D826" s="190">
        <f t="shared" ca="1" si="95"/>
        <v>2.1997113219756288E-2</v>
      </c>
      <c r="E826" s="190">
        <f t="shared" ca="1" si="96"/>
        <v>-1.8845684759973069E-2</v>
      </c>
      <c r="F826" s="189" t="b">
        <f t="shared" ca="1" si="97"/>
        <v>1</v>
      </c>
      <c r="G826" s="188">
        <f ca="1">IF(F826,IFERROR(((('Data Schema'!$C$3*(1+B826)^1)*((1-$I$4-$I$5+E826)*(1-$I$10)+$I$6-$I$11)-('Data Schema'!$C$3*(1+B826)^1-'Data Schema'!$C$3)*$I$12)/(1+C826)^1+(('Data Schema'!$C$3*(1+B826)^2)*((1-$I$4-$I$5+E826)*(1-$I$10)+$I$6-$I$11)-('Data Schema'!$C$3*(1+B826)^2-'Data Schema'!$C$3*(1+B826)^1)*$I$12)/(1+C826)^2+(('Data Schema'!$C$3*(1+B826)^3)*((1-$I$4-$I$5+E826)*(1-$I$10)+$I$6-$I$11)-('Data Schema'!$C$3*(1+B826)^3-'Data Schema'!$C$3*(1+B826)^2)*$I$12)/(1+C826)^3+(('Data Schema'!$C$3*(1+B826)^4)*((1-$I$4-$I$5+E826)*(1-$I$10)+$I$6-$I$11)-('Data Schema'!$C$3*(1+B826)^4-'Data Schema'!$C$3*(1+B826)^3)*$I$12)/(1+C826)^4+(('Data Schema'!$C$3*(1+B826)^5)*((1-$I$4-$I$5+E826)*(1-$I$10)+$I$6-$I$11)-('Data Schema'!$C$3*(1+B826)^5-'Data Schema'!$C$3*(1+B826)^4)*$I$12)/(1+C826)^5+((('Data Schema'!$C$3*(1+B826)^5)*((1-$I$4-$I$5+E826)*(1-$I$10)+$I$6-$I$11)-('Data Schema'!$C$3*(1+B826)^5-'Data Schema'!$C$3*(1+B826)^4)*$I$12)*(1+D826)/(C826-D826))/(1+C826)^5-'Data Schema'!$C$31+'Data Schema'!$C$21)/'Data Schema'!$B$17,0),"INVALID")</f>
        <v>47.939397022258788</v>
      </c>
      <c r="H826" s="189" t="b">
        <f t="shared" ca="1" si="98"/>
        <v>1</v>
      </c>
      <c r="I826" s="188">
        <f t="shared" ca="1" si="99"/>
        <v>47.939397022258788</v>
      </c>
      <c r="J826" s="349">
        <f t="shared" ca="1" si="92"/>
        <v>47.939397022258788</v>
      </c>
    </row>
    <row r="827" spans="1:10">
      <c r="A827" s="184">
        <v>648</v>
      </c>
      <c r="B827" s="190">
        <f t="shared" ca="1" si="93"/>
        <v>8.7590207766427078E-2</v>
      </c>
      <c r="C827" s="190">
        <f t="shared" ca="1" si="94"/>
        <v>6.3732155136251425E-2</v>
      </c>
      <c r="D827" s="190">
        <f t="shared" ca="1" si="95"/>
        <v>3.8016083934050593E-2</v>
      </c>
      <c r="E827" s="190">
        <f t="shared" ca="1" si="96"/>
        <v>-1.7943370144672148E-3</v>
      </c>
      <c r="F827" s="189" t="b">
        <f t="shared" ca="1" si="97"/>
        <v>1</v>
      </c>
      <c r="G827" s="188">
        <f ca="1">IF(F827,IFERROR(((('Data Schema'!$C$3*(1+B827)^1)*((1-$I$4-$I$5+E827)*(1-$I$10)+$I$6-$I$11)-('Data Schema'!$C$3*(1+B827)^1-'Data Schema'!$C$3)*$I$12)/(1+C827)^1+(('Data Schema'!$C$3*(1+B827)^2)*((1-$I$4-$I$5+E827)*(1-$I$10)+$I$6-$I$11)-('Data Schema'!$C$3*(1+B827)^2-'Data Schema'!$C$3*(1+B827)^1)*$I$12)/(1+C827)^2+(('Data Schema'!$C$3*(1+B827)^3)*((1-$I$4-$I$5+E827)*(1-$I$10)+$I$6-$I$11)-('Data Schema'!$C$3*(1+B827)^3-'Data Schema'!$C$3*(1+B827)^2)*$I$12)/(1+C827)^3+(('Data Schema'!$C$3*(1+B827)^4)*((1-$I$4-$I$5+E827)*(1-$I$10)+$I$6-$I$11)-('Data Schema'!$C$3*(1+B827)^4-'Data Schema'!$C$3*(1+B827)^3)*$I$12)/(1+C827)^4+(('Data Schema'!$C$3*(1+B827)^5)*((1-$I$4-$I$5+E827)*(1-$I$10)+$I$6-$I$11)-('Data Schema'!$C$3*(1+B827)^5-'Data Schema'!$C$3*(1+B827)^4)*$I$12)/(1+C827)^5+((('Data Schema'!$C$3*(1+B827)^5)*((1-$I$4-$I$5+E827)*(1-$I$10)+$I$6-$I$11)-('Data Schema'!$C$3*(1+B827)^5-'Data Schema'!$C$3*(1+B827)^4)*$I$12)*(1+D827)/(C827-D827))/(1+C827)^5-'Data Schema'!$C$31+'Data Schema'!$C$21)/'Data Schema'!$B$17,0),"INVALID")</f>
        <v>101.92109217581688</v>
      </c>
      <c r="H827" s="189" t="b">
        <f t="shared" ca="1" si="98"/>
        <v>1</v>
      </c>
      <c r="I827" s="188">
        <f t="shared" ca="1" si="99"/>
        <v>101.92109217581688</v>
      </c>
      <c r="J827" s="349">
        <f t="shared" ca="1" si="92"/>
        <v>101.92109217581688</v>
      </c>
    </row>
    <row r="828" spans="1:10">
      <c r="A828" s="185">
        <v>649</v>
      </c>
      <c r="B828" s="190">
        <f t="shared" ca="1" si="93"/>
        <v>0.12676050088894722</v>
      </c>
      <c r="C828" s="190">
        <f t="shared" ca="1" si="94"/>
        <v>4.9723641142107478E-2</v>
      </c>
      <c r="D828" s="190">
        <f t="shared" ca="1" si="95"/>
        <v>2.5856132422019978E-2</v>
      </c>
      <c r="E828" s="190">
        <f t="shared" ca="1" si="96"/>
        <v>-2.1630580379583483E-2</v>
      </c>
      <c r="F828" s="189" t="b">
        <f t="shared" ca="1" si="97"/>
        <v>1</v>
      </c>
      <c r="G828" s="188">
        <f ca="1">IF(F828,IFERROR(((('Data Schema'!$C$3*(1+B828)^1)*((1-$I$4-$I$5+E828)*(1-$I$10)+$I$6-$I$11)-('Data Schema'!$C$3*(1+B828)^1-'Data Schema'!$C$3)*$I$12)/(1+C828)^1+(('Data Schema'!$C$3*(1+B828)^2)*((1-$I$4-$I$5+E828)*(1-$I$10)+$I$6-$I$11)-('Data Schema'!$C$3*(1+B828)^2-'Data Schema'!$C$3*(1+B828)^1)*$I$12)/(1+C828)^2+(('Data Schema'!$C$3*(1+B828)^3)*((1-$I$4-$I$5+E828)*(1-$I$10)+$I$6-$I$11)-('Data Schema'!$C$3*(1+B828)^3-'Data Schema'!$C$3*(1+B828)^2)*$I$12)/(1+C828)^3+(('Data Schema'!$C$3*(1+B828)^4)*((1-$I$4-$I$5+E828)*(1-$I$10)+$I$6-$I$11)-('Data Schema'!$C$3*(1+B828)^4-'Data Schema'!$C$3*(1+B828)^3)*$I$12)/(1+C828)^4+(('Data Schema'!$C$3*(1+B828)^5)*((1-$I$4-$I$5+E828)*(1-$I$10)+$I$6-$I$11)-('Data Schema'!$C$3*(1+B828)^5-'Data Schema'!$C$3*(1+B828)^4)*$I$12)/(1+C828)^5+((('Data Schema'!$C$3*(1+B828)^5)*((1-$I$4-$I$5+E828)*(1-$I$10)+$I$6-$I$11)-('Data Schema'!$C$3*(1+B828)^5-'Data Schema'!$C$3*(1+B828)^4)*$I$12)*(1+D828)/(C828-D828))/(1+C828)^5-'Data Schema'!$C$31+'Data Schema'!$C$21)/'Data Schema'!$B$17,0),"INVALID")</f>
        <v>45.610446676431749</v>
      </c>
      <c r="H828" s="189" t="b">
        <f t="shared" ca="1" si="98"/>
        <v>1</v>
      </c>
      <c r="I828" s="188">
        <f t="shared" ca="1" si="99"/>
        <v>45.610446676431749</v>
      </c>
      <c r="J828" s="349">
        <f t="shared" ca="1" si="92"/>
        <v>45.610446676431749</v>
      </c>
    </row>
    <row r="829" spans="1:10">
      <c r="A829" s="184">
        <v>650</v>
      </c>
      <c r="B829" s="190">
        <f t="shared" ca="1" si="93"/>
        <v>7.328817574869001E-2</v>
      </c>
      <c r="C829" s="190">
        <f t="shared" ca="1" si="94"/>
        <v>4.7263885004400777E-2</v>
      </c>
      <c r="D829" s="190">
        <f t="shared" ca="1" si="95"/>
        <v>3.698147391765829E-2</v>
      </c>
      <c r="E829" s="190">
        <f t="shared" ca="1" si="96"/>
        <v>-4.3554769389597237E-2</v>
      </c>
      <c r="F829" s="189" t="b">
        <f t="shared" ca="1" si="97"/>
        <v>0</v>
      </c>
      <c r="G829" s="188" t="str">
        <f ca="1">IF(F829,IFERROR(((('Data Schema'!$C$3*(1+B829)^1)*((1-$I$4-$I$5+E829)*(1-$I$10)+$I$6-$I$11)-('Data Schema'!$C$3*(1+B829)^1-'Data Schema'!$C$3)*$I$12)/(1+C829)^1+(('Data Schema'!$C$3*(1+B829)^2)*((1-$I$4-$I$5+E829)*(1-$I$10)+$I$6-$I$11)-('Data Schema'!$C$3*(1+B829)^2-'Data Schema'!$C$3*(1+B829)^1)*$I$12)/(1+C829)^2+(('Data Schema'!$C$3*(1+B829)^3)*((1-$I$4-$I$5+E829)*(1-$I$10)+$I$6-$I$11)-('Data Schema'!$C$3*(1+B829)^3-'Data Schema'!$C$3*(1+B829)^2)*$I$12)/(1+C829)^3+(('Data Schema'!$C$3*(1+B829)^4)*((1-$I$4-$I$5+E829)*(1-$I$10)+$I$6-$I$11)-('Data Schema'!$C$3*(1+B829)^4-'Data Schema'!$C$3*(1+B829)^3)*$I$12)/(1+C829)^4+(('Data Schema'!$C$3*(1+B829)^5)*((1-$I$4-$I$5+E829)*(1-$I$10)+$I$6-$I$11)-('Data Schema'!$C$3*(1+B829)^5-'Data Schema'!$C$3*(1+B829)^4)*$I$12)/(1+C829)^5+((('Data Schema'!$C$3*(1+B829)^5)*((1-$I$4-$I$5+E829)*(1-$I$10)+$I$6-$I$11)-('Data Schema'!$C$3*(1+B829)^5-'Data Schema'!$C$3*(1+B829)^4)*$I$12)*(1+D829)/(C829-D829))/(1+C829)^5-'Data Schema'!$C$31+'Data Schema'!$C$21)/'Data Schema'!$B$17,0),"INVALID")</f>
        <v>INVALID</v>
      </c>
      <c r="H829" s="189" t="b">
        <f t="shared" ca="1" si="98"/>
        <v>0</v>
      </c>
      <c r="I829" s="188" t="str">
        <f t="shared" ca="1" si="99"/>
        <v/>
      </c>
      <c r="J829" s="349" t="str">
        <f t="shared" ca="1" si="92"/>
        <v/>
      </c>
    </row>
    <row r="830" spans="1:10">
      <c r="A830" s="185">
        <v>651</v>
      </c>
      <c r="B830" s="190">
        <f t="shared" ca="1" si="93"/>
        <v>0.10067290058426193</v>
      </c>
      <c r="C830" s="190">
        <f t="shared" ca="1" si="94"/>
        <v>5.9709693698224098E-2</v>
      </c>
      <c r="D830" s="190">
        <f t="shared" ca="1" si="95"/>
        <v>2.9306295380388269E-2</v>
      </c>
      <c r="E830" s="190">
        <f t="shared" ca="1" si="96"/>
        <v>-3.0980468257503992E-3</v>
      </c>
      <c r="F830" s="189" t="b">
        <f t="shared" ca="1" si="97"/>
        <v>1</v>
      </c>
      <c r="G830" s="188">
        <f ca="1">IF(F830,IFERROR(((('Data Schema'!$C$3*(1+B830)^1)*((1-$I$4-$I$5+E830)*(1-$I$10)+$I$6-$I$11)-('Data Schema'!$C$3*(1+B830)^1-'Data Schema'!$C$3)*$I$12)/(1+C830)^1+(('Data Schema'!$C$3*(1+B830)^2)*((1-$I$4-$I$5+E830)*(1-$I$10)+$I$6-$I$11)-('Data Schema'!$C$3*(1+B830)^2-'Data Schema'!$C$3*(1+B830)^1)*$I$12)/(1+C830)^2+(('Data Schema'!$C$3*(1+B830)^3)*((1-$I$4-$I$5+E830)*(1-$I$10)+$I$6-$I$11)-('Data Schema'!$C$3*(1+B830)^3-'Data Schema'!$C$3*(1+B830)^2)*$I$12)/(1+C830)^3+(('Data Schema'!$C$3*(1+B830)^4)*((1-$I$4-$I$5+E830)*(1-$I$10)+$I$6-$I$11)-('Data Schema'!$C$3*(1+B830)^4-'Data Schema'!$C$3*(1+B830)^3)*$I$12)/(1+C830)^4+(('Data Schema'!$C$3*(1+B830)^5)*((1-$I$4-$I$5+E830)*(1-$I$10)+$I$6-$I$11)-('Data Schema'!$C$3*(1+B830)^5-'Data Schema'!$C$3*(1+B830)^4)*$I$12)/(1+C830)^5+((('Data Schema'!$C$3*(1+B830)^5)*((1-$I$4-$I$5+E830)*(1-$I$10)+$I$6-$I$11)-('Data Schema'!$C$3*(1+B830)^5-'Data Schema'!$C$3*(1+B830)^4)*$I$12)*(1+D830)/(C830-D830))/(1+C830)^5-'Data Schema'!$C$31+'Data Schema'!$C$21)/'Data Schema'!$B$17,0),"INVALID")</f>
        <v>88.525784649713813</v>
      </c>
      <c r="H830" s="189" t="b">
        <f t="shared" ca="1" si="98"/>
        <v>1</v>
      </c>
      <c r="I830" s="188">
        <f t="shared" ca="1" si="99"/>
        <v>88.525784649713813</v>
      </c>
      <c r="J830" s="349">
        <f t="shared" ca="1" si="92"/>
        <v>88.525784649713813</v>
      </c>
    </row>
    <row r="831" spans="1:10">
      <c r="A831" s="184">
        <v>652</v>
      </c>
      <c r="B831" s="190">
        <f t="shared" ca="1" si="93"/>
        <v>9.4974889229924392E-2</v>
      </c>
      <c r="C831" s="190">
        <f t="shared" ca="1" si="94"/>
        <v>6.7627234033924857E-2</v>
      </c>
      <c r="D831" s="190">
        <f t="shared" ca="1" si="95"/>
        <v>2.8470122873910785E-2</v>
      </c>
      <c r="E831" s="190">
        <f t="shared" ca="1" si="96"/>
        <v>-2.3650746889129749E-2</v>
      </c>
      <c r="F831" s="189" t="b">
        <f t="shared" ca="1" si="97"/>
        <v>1</v>
      </c>
      <c r="G831" s="188">
        <f ca="1">IF(F831,IFERROR(((('Data Schema'!$C$3*(1+B831)^1)*((1-$I$4-$I$5+E831)*(1-$I$10)+$I$6-$I$11)-('Data Schema'!$C$3*(1+B831)^1-'Data Schema'!$C$3)*$I$12)/(1+C831)^1+(('Data Schema'!$C$3*(1+B831)^2)*((1-$I$4-$I$5+E831)*(1-$I$10)+$I$6-$I$11)-('Data Schema'!$C$3*(1+B831)^2-'Data Schema'!$C$3*(1+B831)^1)*$I$12)/(1+C831)^2+(('Data Schema'!$C$3*(1+B831)^3)*((1-$I$4-$I$5+E831)*(1-$I$10)+$I$6-$I$11)-('Data Schema'!$C$3*(1+B831)^3-'Data Schema'!$C$3*(1+B831)^2)*$I$12)/(1+C831)^3+(('Data Schema'!$C$3*(1+B831)^4)*((1-$I$4-$I$5+E831)*(1-$I$10)+$I$6-$I$11)-('Data Schema'!$C$3*(1+B831)^4-'Data Schema'!$C$3*(1+B831)^3)*$I$12)/(1+C831)^4+(('Data Schema'!$C$3*(1+B831)^5)*((1-$I$4-$I$5+E831)*(1-$I$10)+$I$6-$I$11)-('Data Schema'!$C$3*(1+B831)^5-'Data Schema'!$C$3*(1+B831)^4)*$I$12)/(1+C831)^5+((('Data Schema'!$C$3*(1+B831)^5)*((1-$I$4-$I$5+E831)*(1-$I$10)+$I$6-$I$11)-('Data Schema'!$C$3*(1+B831)^5-'Data Schema'!$C$3*(1+B831)^4)*$I$12)*(1+D831)/(C831-D831))/(1+C831)^5-'Data Schema'!$C$31+'Data Schema'!$C$21)/'Data Schema'!$B$17,0),"INVALID")</f>
        <v>17.3130927324104</v>
      </c>
      <c r="H831" s="189" t="b">
        <f t="shared" ca="1" si="98"/>
        <v>1</v>
      </c>
      <c r="I831" s="188">
        <f t="shared" ca="1" si="99"/>
        <v>17.3130927324104</v>
      </c>
      <c r="J831" s="349" t="str">
        <f t="shared" ca="1" si="92"/>
        <v/>
      </c>
    </row>
    <row r="832" spans="1:10">
      <c r="A832" s="185">
        <v>653</v>
      </c>
      <c r="B832" s="190">
        <f t="shared" ca="1" si="93"/>
        <v>0.15438529834569306</v>
      </c>
      <c r="C832" s="190">
        <f t="shared" ca="1" si="94"/>
        <v>5.9474826650641202E-2</v>
      </c>
      <c r="D832" s="190">
        <f t="shared" ca="1" si="95"/>
        <v>3.8080561138428975E-2</v>
      </c>
      <c r="E832" s="190">
        <f t="shared" ca="1" si="96"/>
        <v>1.7903028114143779E-2</v>
      </c>
      <c r="F832" s="189" t="b">
        <f t="shared" ca="1" si="97"/>
        <v>1</v>
      </c>
      <c r="G832" s="188">
        <f ca="1">IF(F832,IFERROR(((('Data Schema'!$C$3*(1+B832)^1)*((1-$I$4-$I$5+E832)*(1-$I$10)+$I$6-$I$11)-('Data Schema'!$C$3*(1+B832)^1-'Data Schema'!$C$3)*$I$12)/(1+C832)^1+(('Data Schema'!$C$3*(1+B832)^2)*((1-$I$4-$I$5+E832)*(1-$I$10)+$I$6-$I$11)-('Data Schema'!$C$3*(1+B832)^2-'Data Schema'!$C$3*(1+B832)^1)*$I$12)/(1+C832)^2+(('Data Schema'!$C$3*(1+B832)^3)*((1-$I$4-$I$5+E832)*(1-$I$10)+$I$6-$I$11)-('Data Schema'!$C$3*(1+B832)^3-'Data Schema'!$C$3*(1+B832)^2)*$I$12)/(1+C832)^3+(('Data Schema'!$C$3*(1+B832)^4)*((1-$I$4-$I$5+E832)*(1-$I$10)+$I$6-$I$11)-('Data Schema'!$C$3*(1+B832)^4-'Data Schema'!$C$3*(1+B832)^3)*$I$12)/(1+C832)^4+(('Data Schema'!$C$3*(1+B832)^5)*((1-$I$4-$I$5+E832)*(1-$I$10)+$I$6-$I$11)-('Data Schema'!$C$3*(1+B832)^5-'Data Schema'!$C$3*(1+B832)^4)*$I$12)/(1+C832)^5+((('Data Schema'!$C$3*(1+B832)^5)*((1-$I$4-$I$5+E832)*(1-$I$10)+$I$6-$I$11)-('Data Schema'!$C$3*(1+B832)^5-'Data Schema'!$C$3*(1+B832)^4)*$I$12)*(1+D832)/(C832-D832))/(1+C832)^5-'Data Schema'!$C$31+'Data Schema'!$C$21)/'Data Schema'!$B$17,0),"INVALID")</f>
        <v>266.7257160025689</v>
      </c>
      <c r="H832" s="189" t="b">
        <f t="shared" ca="1" si="98"/>
        <v>1</v>
      </c>
      <c r="I832" s="188">
        <f t="shared" ca="1" si="99"/>
        <v>266.7257160025689</v>
      </c>
      <c r="J832" s="349" t="str">
        <f t="shared" ca="1" si="92"/>
        <v/>
      </c>
    </row>
    <row r="833" spans="1:10">
      <c r="A833" s="184">
        <v>654</v>
      </c>
      <c r="B833" s="190">
        <f t="shared" ca="1" si="93"/>
        <v>9.2532648313770838E-2</v>
      </c>
      <c r="C833" s="190">
        <f t="shared" ca="1" si="94"/>
        <v>5.0563301310071168E-2</v>
      </c>
      <c r="D833" s="190">
        <f t="shared" ca="1" si="95"/>
        <v>2.9891080484162013E-2</v>
      </c>
      <c r="E833" s="190">
        <f t="shared" ca="1" si="96"/>
        <v>2.4098020065456881E-2</v>
      </c>
      <c r="F833" s="189" t="b">
        <f t="shared" ca="1" si="97"/>
        <v>1</v>
      </c>
      <c r="G833" s="188">
        <f ca="1">IF(F833,IFERROR(((('Data Schema'!$C$3*(1+B833)^1)*((1-$I$4-$I$5+E833)*(1-$I$10)+$I$6-$I$11)-('Data Schema'!$C$3*(1+B833)^1-'Data Schema'!$C$3)*$I$12)/(1+C833)^1+(('Data Schema'!$C$3*(1+B833)^2)*((1-$I$4-$I$5+E833)*(1-$I$10)+$I$6-$I$11)-('Data Schema'!$C$3*(1+B833)^2-'Data Schema'!$C$3*(1+B833)^1)*$I$12)/(1+C833)^2+(('Data Schema'!$C$3*(1+B833)^3)*((1-$I$4-$I$5+E833)*(1-$I$10)+$I$6-$I$11)-('Data Schema'!$C$3*(1+B833)^3-'Data Schema'!$C$3*(1+B833)^2)*$I$12)/(1+C833)^3+(('Data Schema'!$C$3*(1+B833)^4)*((1-$I$4-$I$5+E833)*(1-$I$10)+$I$6-$I$11)-('Data Schema'!$C$3*(1+B833)^4-'Data Schema'!$C$3*(1+B833)^3)*$I$12)/(1+C833)^4+(('Data Schema'!$C$3*(1+B833)^5)*((1-$I$4-$I$5+E833)*(1-$I$10)+$I$6-$I$11)-('Data Schema'!$C$3*(1+B833)^5-'Data Schema'!$C$3*(1+B833)^4)*$I$12)/(1+C833)^5+((('Data Schema'!$C$3*(1+B833)^5)*((1-$I$4-$I$5+E833)*(1-$I$10)+$I$6-$I$11)-('Data Schema'!$C$3*(1+B833)^5-'Data Schema'!$C$3*(1+B833)^4)*$I$12)*(1+D833)/(C833-D833))/(1+C833)^5-'Data Schema'!$C$31+'Data Schema'!$C$21)/'Data Schema'!$B$17,0),"INVALID")</f>
        <v>249.86457380325672</v>
      </c>
      <c r="H833" s="189" t="b">
        <f t="shared" ca="1" si="98"/>
        <v>1</v>
      </c>
      <c r="I833" s="188">
        <f t="shared" ca="1" si="99"/>
        <v>249.86457380325672</v>
      </c>
      <c r="J833" s="349" t="str">
        <f t="shared" ca="1" si="92"/>
        <v/>
      </c>
    </row>
    <row r="834" spans="1:10">
      <c r="A834" s="185">
        <v>655</v>
      </c>
      <c r="B834" s="190">
        <f t="shared" ca="1" si="93"/>
        <v>0.14084402279139785</v>
      </c>
      <c r="C834" s="190">
        <f t="shared" ca="1" si="94"/>
        <v>5.590999006355217E-2</v>
      </c>
      <c r="D834" s="190">
        <f t="shared" ca="1" si="95"/>
        <v>1.9369446856634599E-2</v>
      </c>
      <c r="E834" s="190">
        <f t="shared" ca="1" si="96"/>
        <v>-5.7085912776892612E-3</v>
      </c>
      <c r="F834" s="189" t="b">
        <f t="shared" ca="1" si="97"/>
        <v>1</v>
      </c>
      <c r="G834" s="188">
        <f ca="1">IF(F834,IFERROR(((('Data Schema'!$C$3*(1+B834)^1)*((1-$I$4-$I$5+E834)*(1-$I$10)+$I$6-$I$11)-('Data Schema'!$C$3*(1+B834)^1-'Data Schema'!$C$3)*$I$12)/(1+C834)^1+(('Data Schema'!$C$3*(1+B834)^2)*((1-$I$4-$I$5+E834)*(1-$I$10)+$I$6-$I$11)-('Data Schema'!$C$3*(1+B834)^2-'Data Schema'!$C$3*(1+B834)^1)*$I$12)/(1+C834)^2+(('Data Schema'!$C$3*(1+B834)^3)*((1-$I$4-$I$5+E834)*(1-$I$10)+$I$6-$I$11)-('Data Schema'!$C$3*(1+B834)^3-'Data Schema'!$C$3*(1+B834)^2)*$I$12)/(1+C834)^3+(('Data Schema'!$C$3*(1+B834)^4)*((1-$I$4-$I$5+E834)*(1-$I$10)+$I$6-$I$11)-('Data Schema'!$C$3*(1+B834)^4-'Data Schema'!$C$3*(1+B834)^3)*$I$12)/(1+C834)^4+(('Data Schema'!$C$3*(1+B834)^5)*((1-$I$4-$I$5+E834)*(1-$I$10)+$I$6-$I$11)-('Data Schema'!$C$3*(1+B834)^5-'Data Schema'!$C$3*(1+B834)^4)*$I$12)/(1+C834)^5+((('Data Schema'!$C$3*(1+B834)^5)*((1-$I$4-$I$5+E834)*(1-$I$10)+$I$6-$I$11)-('Data Schema'!$C$3*(1+B834)^5-'Data Schema'!$C$3*(1+B834)^4)*$I$12)*(1+D834)/(C834-D834))/(1+C834)^5-'Data Schema'!$C$31+'Data Schema'!$C$21)/'Data Schema'!$B$17,0),"INVALID")</f>
        <v>79.386452194583953</v>
      </c>
      <c r="H834" s="189" t="b">
        <f t="shared" ca="1" si="98"/>
        <v>1</v>
      </c>
      <c r="I834" s="188">
        <f t="shared" ca="1" si="99"/>
        <v>79.386452194583953</v>
      </c>
      <c r="J834" s="349">
        <f t="shared" ca="1" si="92"/>
        <v>79.386452194583953</v>
      </c>
    </row>
    <row r="835" spans="1:10">
      <c r="A835" s="184">
        <v>656</v>
      </c>
      <c r="B835" s="190">
        <f t="shared" ca="1" si="93"/>
        <v>0.11799449466788611</v>
      </c>
      <c r="C835" s="190">
        <f t="shared" ca="1" si="94"/>
        <v>6.252860874863897E-2</v>
      </c>
      <c r="D835" s="190">
        <f t="shared" ca="1" si="95"/>
        <v>2.1831924120809518E-2</v>
      </c>
      <c r="E835" s="190">
        <f t="shared" ca="1" si="96"/>
        <v>1.7452692054654294E-2</v>
      </c>
      <c r="F835" s="189" t="b">
        <f t="shared" ca="1" si="97"/>
        <v>1</v>
      </c>
      <c r="G835" s="188">
        <f ca="1">IF(F835,IFERROR(((('Data Schema'!$C$3*(1+B835)^1)*((1-$I$4-$I$5+E835)*(1-$I$10)+$I$6-$I$11)-('Data Schema'!$C$3*(1+B835)^1-'Data Schema'!$C$3)*$I$12)/(1+C835)^1+(('Data Schema'!$C$3*(1+B835)^2)*((1-$I$4-$I$5+E835)*(1-$I$10)+$I$6-$I$11)-('Data Schema'!$C$3*(1+B835)^2-'Data Schema'!$C$3*(1+B835)^1)*$I$12)/(1+C835)^2+(('Data Schema'!$C$3*(1+B835)^3)*((1-$I$4-$I$5+E835)*(1-$I$10)+$I$6-$I$11)-('Data Schema'!$C$3*(1+B835)^3-'Data Schema'!$C$3*(1+B835)^2)*$I$12)/(1+C835)^3+(('Data Schema'!$C$3*(1+B835)^4)*((1-$I$4-$I$5+E835)*(1-$I$10)+$I$6-$I$11)-('Data Schema'!$C$3*(1+B835)^4-'Data Schema'!$C$3*(1+B835)^3)*$I$12)/(1+C835)^4+(('Data Schema'!$C$3*(1+B835)^5)*((1-$I$4-$I$5+E835)*(1-$I$10)+$I$6-$I$11)-('Data Schema'!$C$3*(1+B835)^5-'Data Schema'!$C$3*(1+B835)^4)*$I$12)/(1+C835)^5+((('Data Schema'!$C$3*(1+B835)^5)*((1-$I$4-$I$5+E835)*(1-$I$10)+$I$6-$I$11)-('Data Schema'!$C$3*(1+B835)^5-'Data Schema'!$C$3*(1+B835)^4)*$I$12)*(1+D835)/(C835-D835))/(1+C835)^5-'Data Schema'!$C$31+'Data Schema'!$C$21)/'Data Schema'!$B$17,0),"INVALID")</f>
        <v>122.87530944236164</v>
      </c>
      <c r="H835" s="189" t="b">
        <f t="shared" ca="1" si="98"/>
        <v>1</v>
      </c>
      <c r="I835" s="188">
        <f t="shared" ca="1" si="99"/>
        <v>122.87530944236164</v>
      </c>
      <c r="J835" s="349">
        <f t="shared" ca="1" si="92"/>
        <v>122.87530944236164</v>
      </c>
    </row>
    <row r="836" spans="1:10">
      <c r="A836" s="185">
        <v>657</v>
      </c>
      <c r="B836" s="190">
        <f t="shared" ca="1" si="93"/>
        <v>0.10737890036301508</v>
      </c>
      <c r="C836" s="190">
        <f t="shared" ca="1" si="94"/>
        <v>6.698636058707573E-2</v>
      </c>
      <c r="D836" s="190">
        <f t="shared" ca="1" si="95"/>
        <v>1.6060864129452231E-2</v>
      </c>
      <c r="E836" s="190">
        <f t="shared" ca="1" si="96"/>
        <v>1.419641657280411E-2</v>
      </c>
      <c r="F836" s="189" t="b">
        <f t="shared" ca="1" si="97"/>
        <v>1</v>
      </c>
      <c r="G836" s="188">
        <f ca="1">IF(F836,IFERROR(((('Data Schema'!$C$3*(1+B836)^1)*((1-$I$4-$I$5+E836)*(1-$I$10)+$I$6-$I$11)-('Data Schema'!$C$3*(1+B836)^1-'Data Schema'!$C$3)*$I$12)/(1+C836)^1+(('Data Schema'!$C$3*(1+B836)^2)*((1-$I$4-$I$5+E836)*(1-$I$10)+$I$6-$I$11)-('Data Schema'!$C$3*(1+B836)^2-'Data Schema'!$C$3*(1+B836)^1)*$I$12)/(1+C836)^2+(('Data Schema'!$C$3*(1+B836)^3)*((1-$I$4-$I$5+E836)*(1-$I$10)+$I$6-$I$11)-('Data Schema'!$C$3*(1+B836)^3-'Data Schema'!$C$3*(1+B836)^2)*$I$12)/(1+C836)^3+(('Data Schema'!$C$3*(1+B836)^4)*((1-$I$4-$I$5+E836)*(1-$I$10)+$I$6-$I$11)-('Data Schema'!$C$3*(1+B836)^4-'Data Schema'!$C$3*(1+B836)^3)*$I$12)/(1+C836)^4+(('Data Schema'!$C$3*(1+B836)^5)*((1-$I$4-$I$5+E836)*(1-$I$10)+$I$6-$I$11)-('Data Schema'!$C$3*(1+B836)^5-'Data Schema'!$C$3*(1+B836)^4)*$I$12)/(1+C836)^5+((('Data Schema'!$C$3*(1+B836)^5)*((1-$I$4-$I$5+E836)*(1-$I$10)+$I$6-$I$11)-('Data Schema'!$C$3*(1+B836)^5-'Data Schema'!$C$3*(1+B836)^4)*$I$12)*(1+D836)/(C836-D836))/(1+C836)^5-'Data Schema'!$C$31+'Data Schema'!$C$21)/'Data Schema'!$B$17,0),"INVALID")</f>
        <v>87.668354050081064</v>
      </c>
      <c r="H836" s="189" t="b">
        <f t="shared" ca="1" si="98"/>
        <v>1</v>
      </c>
      <c r="I836" s="188">
        <f t="shared" ca="1" si="99"/>
        <v>87.668354050081064</v>
      </c>
      <c r="J836" s="349">
        <f t="shared" ca="1" si="92"/>
        <v>87.668354050081064</v>
      </c>
    </row>
    <row r="837" spans="1:10">
      <c r="A837" s="184">
        <v>658</v>
      </c>
      <c r="B837" s="190">
        <f t="shared" ca="1" si="93"/>
        <v>0.10402597109169426</v>
      </c>
      <c r="C837" s="190">
        <f t="shared" ca="1" si="94"/>
        <v>6.7305217183257174E-2</v>
      </c>
      <c r="D837" s="190">
        <f t="shared" ca="1" si="95"/>
        <v>1.960785968897328E-2</v>
      </c>
      <c r="E837" s="190">
        <f t="shared" ca="1" si="96"/>
        <v>-1.9077929612002567E-2</v>
      </c>
      <c r="F837" s="189" t="b">
        <f t="shared" ca="1" si="97"/>
        <v>1</v>
      </c>
      <c r="G837" s="188">
        <f ca="1">IF(F837,IFERROR(((('Data Schema'!$C$3*(1+B837)^1)*((1-$I$4-$I$5+E837)*(1-$I$10)+$I$6-$I$11)-('Data Schema'!$C$3*(1+B837)^1-'Data Schema'!$C$3)*$I$12)/(1+C837)^1+(('Data Schema'!$C$3*(1+B837)^2)*((1-$I$4-$I$5+E837)*(1-$I$10)+$I$6-$I$11)-('Data Schema'!$C$3*(1+B837)^2-'Data Schema'!$C$3*(1+B837)^1)*$I$12)/(1+C837)^2+(('Data Schema'!$C$3*(1+B837)^3)*((1-$I$4-$I$5+E837)*(1-$I$10)+$I$6-$I$11)-('Data Schema'!$C$3*(1+B837)^3-'Data Schema'!$C$3*(1+B837)^2)*$I$12)/(1+C837)^3+(('Data Schema'!$C$3*(1+B837)^4)*((1-$I$4-$I$5+E837)*(1-$I$10)+$I$6-$I$11)-('Data Schema'!$C$3*(1+B837)^4-'Data Schema'!$C$3*(1+B837)^3)*$I$12)/(1+C837)^4+(('Data Schema'!$C$3*(1+B837)^5)*((1-$I$4-$I$5+E837)*(1-$I$10)+$I$6-$I$11)-('Data Schema'!$C$3*(1+B837)^5-'Data Schema'!$C$3*(1+B837)^4)*$I$12)/(1+C837)^5+((('Data Schema'!$C$3*(1+B837)^5)*((1-$I$4-$I$5+E837)*(1-$I$10)+$I$6-$I$11)-('Data Schema'!$C$3*(1+B837)^5-'Data Schema'!$C$3*(1+B837)^4)*$I$12)*(1+D837)/(C837-D837))/(1+C837)^5-'Data Schema'!$C$31+'Data Schema'!$C$21)/'Data Schema'!$B$17,0),"INVALID")</f>
        <v>23.304452168741189</v>
      </c>
      <c r="H837" s="189" t="b">
        <f t="shared" ca="1" si="98"/>
        <v>1</v>
      </c>
      <c r="I837" s="188">
        <f t="shared" ca="1" si="99"/>
        <v>23.304452168741189</v>
      </c>
      <c r="J837" s="349" t="str">
        <f t="shared" ca="1" si="92"/>
        <v/>
      </c>
    </row>
    <row r="838" spans="1:10">
      <c r="A838" s="185">
        <v>659</v>
      </c>
      <c r="B838" s="190">
        <f t="shared" ca="1" si="93"/>
        <v>6.6525317845756729E-2</v>
      </c>
      <c r="C838" s="190">
        <f t="shared" ca="1" si="94"/>
        <v>5.0245950049145324E-2</v>
      </c>
      <c r="D838" s="190">
        <f t="shared" ca="1" si="95"/>
        <v>3.0389762591735189E-2</v>
      </c>
      <c r="E838" s="190">
        <f t="shared" ca="1" si="96"/>
        <v>1.774538331131344E-2</v>
      </c>
      <c r="F838" s="189" t="b">
        <f t="shared" ca="1" si="97"/>
        <v>1</v>
      </c>
      <c r="G838" s="188">
        <f ca="1">IF(F838,IFERROR(((('Data Schema'!$C$3*(1+B838)^1)*((1-$I$4-$I$5+E838)*(1-$I$10)+$I$6-$I$11)-('Data Schema'!$C$3*(1+B838)^1-'Data Schema'!$C$3)*$I$12)/(1+C838)^1+(('Data Schema'!$C$3*(1+B838)^2)*((1-$I$4-$I$5+E838)*(1-$I$10)+$I$6-$I$11)-('Data Schema'!$C$3*(1+B838)^2-'Data Schema'!$C$3*(1+B838)^1)*$I$12)/(1+C838)^2+(('Data Schema'!$C$3*(1+B838)^3)*((1-$I$4-$I$5+E838)*(1-$I$10)+$I$6-$I$11)-('Data Schema'!$C$3*(1+B838)^3-'Data Schema'!$C$3*(1+B838)^2)*$I$12)/(1+C838)^3+(('Data Schema'!$C$3*(1+B838)^4)*((1-$I$4-$I$5+E838)*(1-$I$10)+$I$6-$I$11)-('Data Schema'!$C$3*(1+B838)^4-'Data Schema'!$C$3*(1+B838)^3)*$I$12)/(1+C838)^4+(('Data Schema'!$C$3*(1+B838)^5)*((1-$I$4-$I$5+E838)*(1-$I$10)+$I$6-$I$11)-('Data Schema'!$C$3*(1+B838)^5-'Data Schema'!$C$3*(1+B838)^4)*$I$12)/(1+C838)^5+((('Data Schema'!$C$3*(1+B838)^5)*((1-$I$4-$I$5+E838)*(1-$I$10)+$I$6-$I$11)-('Data Schema'!$C$3*(1+B838)^5-'Data Schema'!$C$3*(1+B838)^4)*$I$12)*(1+D838)/(C838-D838))/(1+C838)^5-'Data Schema'!$C$31+'Data Schema'!$C$21)/'Data Schema'!$B$17,0),"INVALID")</f>
        <v>207.13103923678446</v>
      </c>
      <c r="H838" s="189" t="b">
        <f t="shared" ca="1" si="98"/>
        <v>1</v>
      </c>
      <c r="I838" s="188">
        <f t="shared" ca="1" si="99"/>
        <v>207.13103923678446</v>
      </c>
      <c r="J838" s="349">
        <f t="shared" ca="1" si="92"/>
        <v>207.13103923678446</v>
      </c>
    </row>
    <row r="839" spans="1:10">
      <c r="A839" s="184">
        <v>660</v>
      </c>
      <c r="B839" s="190">
        <f t="shared" ca="1" si="93"/>
        <v>0.1095201523986022</v>
      </c>
      <c r="C839" s="190">
        <f t="shared" ca="1" si="94"/>
        <v>5.9679672657694256E-2</v>
      </c>
      <c r="D839" s="190">
        <f t="shared" ca="1" si="95"/>
        <v>2.1021198389862602E-2</v>
      </c>
      <c r="E839" s="190">
        <f t="shared" ca="1" si="96"/>
        <v>3.5396162920483573E-2</v>
      </c>
      <c r="F839" s="189" t="b">
        <f t="shared" ca="1" si="97"/>
        <v>1</v>
      </c>
      <c r="G839" s="188">
        <f ca="1">IF(F839,IFERROR(((('Data Schema'!$C$3*(1+B839)^1)*((1-$I$4-$I$5+E839)*(1-$I$10)+$I$6-$I$11)-('Data Schema'!$C$3*(1+B839)^1-'Data Schema'!$C$3)*$I$12)/(1+C839)^1+(('Data Schema'!$C$3*(1+B839)^2)*((1-$I$4-$I$5+E839)*(1-$I$10)+$I$6-$I$11)-('Data Schema'!$C$3*(1+B839)^2-'Data Schema'!$C$3*(1+B839)^1)*$I$12)/(1+C839)^2+(('Data Schema'!$C$3*(1+B839)^3)*((1-$I$4-$I$5+E839)*(1-$I$10)+$I$6-$I$11)-('Data Schema'!$C$3*(1+B839)^3-'Data Schema'!$C$3*(1+B839)^2)*$I$12)/(1+C839)^3+(('Data Schema'!$C$3*(1+B839)^4)*((1-$I$4-$I$5+E839)*(1-$I$10)+$I$6-$I$11)-('Data Schema'!$C$3*(1+B839)^4-'Data Schema'!$C$3*(1+B839)^3)*$I$12)/(1+C839)^4+(('Data Schema'!$C$3*(1+B839)^5)*((1-$I$4-$I$5+E839)*(1-$I$10)+$I$6-$I$11)-('Data Schema'!$C$3*(1+B839)^5-'Data Schema'!$C$3*(1+B839)^4)*$I$12)/(1+C839)^5+((('Data Schema'!$C$3*(1+B839)^5)*((1-$I$4-$I$5+E839)*(1-$I$10)+$I$6-$I$11)-('Data Schema'!$C$3*(1+B839)^5-'Data Schema'!$C$3*(1+B839)^4)*$I$12)*(1+D839)/(C839-D839))/(1+C839)^5-'Data Schema'!$C$31+'Data Schema'!$C$21)/'Data Schema'!$B$17,0),"INVALID")</f>
        <v>172.58653333113091</v>
      </c>
      <c r="H839" s="189" t="b">
        <f t="shared" ca="1" si="98"/>
        <v>1</v>
      </c>
      <c r="I839" s="188">
        <f t="shared" ca="1" si="99"/>
        <v>172.58653333113091</v>
      </c>
      <c r="J839" s="349">
        <f t="shared" ca="1" si="92"/>
        <v>172.58653333113091</v>
      </c>
    </row>
    <row r="840" spans="1:10">
      <c r="A840" s="185">
        <v>661</v>
      </c>
      <c r="B840" s="190">
        <f t="shared" ca="1" si="93"/>
        <v>0.1078686224547559</v>
      </c>
      <c r="C840" s="190">
        <f t="shared" ca="1" si="94"/>
        <v>5.0932326280904709E-2</v>
      </c>
      <c r="D840" s="190">
        <f t="shared" ca="1" si="95"/>
        <v>2.2628747252659547E-2</v>
      </c>
      <c r="E840" s="190">
        <f t="shared" ca="1" si="96"/>
        <v>-1.0919523082165206E-2</v>
      </c>
      <c r="F840" s="189" t="b">
        <f t="shared" ca="1" si="97"/>
        <v>1</v>
      </c>
      <c r="G840" s="188">
        <f ca="1">IF(F840,IFERROR(((('Data Schema'!$C$3*(1+B840)^1)*((1-$I$4-$I$5+E840)*(1-$I$10)+$I$6-$I$11)-('Data Schema'!$C$3*(1+B840)^1-'Data Schema'!$C$3)*$I$12)/(1+C840)^1+(('Data Schema'!$C$3*(1+B840)^2)*((1-$I$4-$I$5+E840)*(1-$I$10)+$I$6-$I$11)-('Data Schema'!$C$3*(1+B840)^2-'Data Schema'!$C$3*(1+B840)^1)*$I$12)/(1+C840)^2+(('Data Schema'!$C$3*(1+B840)^3)*((1-$I$4-$I$5+E840)*(1-$I$10)+$I$6-$I$11)-('Data Schema'!$C$3*(1+B840)^3-'Data Schema'!$C$3*(1+B840)^2)*$I$12)/(1+C840)^3+(('Data Schema'!$C$3*(1+B840)^4)*((1-$I$4-$I$5+E840)*(1-$I$10)+$I$6-$I$11)-('Data Schema'!$C$3*(1+B840)^4-'Data Schema'!$C$3*(1+B840)^3)*$I$12)/(1+C840)^4+(('Data Schema'!$C$3*(1+B840)^5)*((1-$I$4-$I$5+E840)*(1-$I$10)+$I$6-$I$11)-('Data Schema'!$C$3*(1+B840)^5-'Data Schema'!$C$3*(1+B840)^4)*$I$12)/(1+C840)^5+((('Data Schema'!$C$3*(1+B840)^5)*((1-$I$4-$I$5+E840)*(1-$I$10)+$I$6-$I$11)-('Data Schema'!$C$3*(1+B840)^5-'Data Schema'!$C$3*(1+B840)^4)*$I$12)*(1+D840)/(C840-D840))/(1+C840)^5-'Data Schema'!$C$31+'Data Schema'!$C$21)/'Data Schema'!$B$17,0),"INVALID")</f>
        <v>73.470687470827357</v>
      </c>
      <c r="H840" s="189" t="b">
        <f t="shared" ca="1" si="98"/>
        <v>1</v>
      </c>
      <c r="I840" s="188">
        <f t="shared" ca="1" si="99"/>
        <v>73.470687470827357</v>
      </c>
      <c r="J840" s="349">
        <f t="shared" ca="1" si="92"/>
        <v>73.470687470827357</v>
      </c>
    </row>
    <row r="841" spans="1:10">
      <c r="A841" s="184">
        <v>662</v>
      </c>
      <c r="B841" s="190">
        <f t="shared" ca="1" si="93"/>
        <v>9.7922221681571345E-2</v>
      </c>
      <c r="C841" s="190">
        <f t="shared" ca="1" si="94"/>
        <v>3.9064978812079251E-2</v>
      </c>
      <c r="D841" s="190">
        <f t="shared" ca="1" si="95"/>
        <v>2.0747071360279375E-2</v>
      </c>
      <c r="E841" s="190">
        <f t="shared" ca="1" si="96"/>
        <v>-2.1388358096432553E-2</v>
      </c>
      <c r="F841" s="189" t="b">
        <f t="shared" ca="1" si="97"/>
        <v>1</v>
      </c>
      <c r="G841" s="188">
        <f ca="1">IF(F841,IFERROR(((('Data Schema'!$C$3*(1+B841)^1)*((1-$I$4-$I$5+E841)*(1-$I$10)+$I$6-$I$11)-('Data Schema'!$C$3*(1+B841)^1-'Data Schema'!$C$3)*$I$12)/(1+C841)^1+(('Data Schema'!$C$3*(1+B841)^2)*((1-$I$4-$I$5+E841)*(1-$I$10)+$I$6-$I$11)-('Data Schema'!$C$3*(1+B841)^2-'Data Schema'!$C$3*(1+B841)^1)*$I$12)/(1+C841)^2+(('Data Schema'!$C$3*(1+B841)^3)*((1-$I$4-$I$5+E841)*(1-$I$10)+$I$6-$I$11)-('Data Schema'!$C$3*(1+B841)^3-'Data Schema'!$C$3*(1+B841)^2)*$I$12)/(1+C841)^3+(('Data Schema'!$C$3*(1+B841)^4)*((1-$I$4-$I$5+E841)*(1-$I$10)+$I$6-$I$11)-('Data Schema'!$C$3*(1+B841)^4-'Data Schema'!$C$3*(1+B841)^3)*$I$12)/(1+C841)^4+(('Data Schema'!$C$3*(1+B841)^5)*((1-$I$4-$I$5+E841)*(1-$I$10)+$I$6-$I$11)-('Data Schema'!$C$3*(1+B841)^5-'Data Schema'!$C$3*(1+B841)^4)*$I$12)/(1+C841)^5+((('Data Schema'!$C$3*(1+B841)^5)*((1-$I$4-$I$5+E841)*(1-$I$10)+$I$6-$I$11)-('Data Schema'!$C$3*(1+B841)^5-'Data Schema'!$C$3*(1+B841)^4)*$I$12)*(1+D841)/(C841-D841))/(1+C841)^5-'Data Schema'!$C$31+'Data Schema'!$C$21)/'Data Schema'!$B$17,0),"INVALID")</f>
        <v>59.430375464894489</v>
      </c>
      <c r="H841" s="189" t="b">
        <f t="shared" ca="1" si="98"/>
        <v>1</v>
      </c>
      <c r="I841" s="188">
        <f t="shared" ca="1" si="99"/>
        <v>59.430375464894489</v>
      </c>
      <c r="J841" s="349">
        <f t="shared" ca="1" si="92"/>
        <v>59.430375464894489</v>
      </c>
    </row>
    <row r="842" spans="1:10">
      <c r="A842" s="185">
        <v>663</v>
      </c>
      <c r="B842" s="190">
        <f t="shared" ca="1" si="93"/>
        <v>0.10522508934393787</v>
      </c>
      <c r="C842" s="190">
        <f t="shared" ca="1" si="94"/>
        <v>7.0096364298217431E-2</v>
      </c>
      <c r="D842" s="190">
        <f t="shared" ca="1" si="95"/>
        <v>2.7265936803349346E-2</v>
      </c>
      <c r="E842" s="190">
        <f t="shared" ca="1" si="96"/>
        <v>6.5554704351409449E-4</v>
      </c>
      <c r="F842" s="189" t="b">
        <f t="shared" ca="1" si="97"/>
        <v>1</v>
      </c>
      <c r="G842" s="188">
        <f ca="1">IF(F842,IFERROR(((('Data Schema'!$C$3*(1+B842)^1)*((1-$I$4-$I$5+E842)*(1-$I$10)+$I$6-$I$11)-('Data Schema'!$C$3*(1+B842)^1-'Data Schema'!$C$3)*$I$12)/(1+C842)^1+(('Data Schema'!$C$3*(1+B842)^2)*((1-$I$4-$I$5+E842)*(1-$I$10)+$I$6-$I$11)-('Data Schema'!$C$3*(1+B842)^2-'Data Schema'!$C$3*(1+B842)^1)*$I$12)/(1+C842)^2+(('Data Schema'!$C$3*(1+B842)^3)*((1-$I$4-$I$5+E842)*(1-$I$10)+$I$6-$I$11)-('Data Schema'!$C$3*(1+B842)^3-'Data Schema'!$C$3*(1+B842)^2)*$I$12)/(1+C842)^3+(('Data Schema'!$C$3*(1+B842)^4)*((1-$I$4-$I$5+E842)*(1-$I$10)+$I$6-$I$11)-('Data Schema'!$C$3*(1+B842)^4-'Data Schema'!$C$3*(1+B842)^3)*$I$12)/(1+C842)^4+(('Data Schema'!$C$3*(1+B842)^5)*((1-$I$4-$I$5+E842)*(1-$I$10)+$I$6-$I$11)-('Data Schema'!$C$3*(1+B842)^5-'Data Schema'!$C$3*(1+B842)^4)*$I$12)/(1+C842)^5+((('Data Schema'!$C$3*(1+B842)^5)*((1-$I$4-$I$5+E842)*(1-$I$10)+$I$6-$I$11)-('Data Schema'!$C$3*(1+B842)^5-'Data Schema'!$C$3*(1+B842)^4)*$I$12)*(1+D842)/(C842-D842))/(1+C842)^5-'Data Schema'!$C$31+'Data Schema'!$C$21)/'Data Schema'!$B$17,0),"INVALID")</f>
        <v>70.388077668759635</v>
      </c>
      <c r="H842" s="189" t="b">
        <f t="shared" ca="1" si="98"/>
        <v>1</v>
      </c>
      <c r="I842" s="188">
        <f t="shared" ca="1" si="99"/>
        <v>70.388077668759635</v>
      </c>
      <c r="J842" s="349">
        <f t="shared" ca="1" si="92"/>
        <v>70.388077668759635</v>
      </c>
    </row>
    <row r="843" spans="1:10">
      <c r="A843" s="184">
        <v>664</v>
      </c>
      <c r="B843" s="190">
        <f t="shared" ca="1" si="93"/>
        <v>0.10957401899742669</v>
      </c>
      <c r="C843" s="190">
        <f t="shared" ca="1" si="94"/>
        <v>5.7312590556877326E-2</v>
      </c>
      <c r="D843" s="190">
        <f t="shared" ca="1" si="95"/>
        <v>2.2754104405472399E-2</v>
      </c>
      <c r="E843" s="190">
        <f t="shared" ca="1" si="96"/>
        <v>6.9625400738126484E-3</v>
      </c>
      <c r="F843" s="189" t="b">
        <f t="shared" ca="1" si="97"/>
        <v>1</v>
      </c>
      <c r="G843" s="188">
        <f ca="1">IF(F843,IFERROR(((('Data Schema'!$C$3*(1+B843)^1)*((1-$I$4-$I$5+E843)*(1-$I$10)+$I$6-$I$11)-('Data Schema'!$C$3*(1+B843)^1-'Data Schema'!$C$3)*$I$12)/(1+C843)^1+(('Data Schema'!$C$3*(1+B843)^2)*((1-$I$4-$I$5+E843)*(1-$I$10)+$I$6-$I$11)-('Data Schema'!$C$3*(1+B843)^2-'Data Schema'!$C$3*(1+B843)^1)*$I$12)/(1+C843)^2+(('Data Schema'!$C$3*(1+B843)^3)*((1-$I$4-$I$5+E843)*(1-$I$10)+$I$6-$I$11)-('Data Schema'!$C$3*(1+B843)^3-'Data Schema'!$C$3*(1+B843)^2)*$I$12)/(1+C843)^3+(('Data Schema'!$C$3*(1+B843)^4)*((1-$I$4-$I$5+E843)*(1-$I$10)+$I$6-$I$11)-('Data Schema'!$C$3*(1+B843)^4-'Data Schema'!$C$3*(1+B843)^3)*$I$12)/(1+C843)^4+(('Data Schema'!$C$3*(1+B843)^5)*((1-$I$4-$I$5+E843)*(1-$I$10)+$I$6-$I$11)-('Data Schema'!$C$3*(1+B843)^5-'Data Schema'!$C$3*(1+B843)^4)*$I$12)/(1+C843)^5+((('Data Schema'!$C$3*(1+B843)^5)*((1-$I$4-$I$5+E843)*(1-$I$10)+$I$6-$I$11)-('Data Schema'!$C$3*(1+B843)^5-'Data Schema'!$C$3*(1+B843)^4)*$I$12)*(1+D843)/(C843-D843))/(1+C843)^5-'Data Schema'!$C$31+'Data Schema'!$C$21)/'Data Schema'!$B$17,0),"INVALID")</f>
        <v>110.80426087689294</v>
      </c>
      <c r="H843" s="189" t="b">
        <f t="shared" ca="1" si="98"/>
        <v>1</v>
      </c>
      <c r="I843" s="188">
        <f t="shared" ca="1" si="99"/>
        <v>110.80426087689294</v>
      </c>
      <c r="J843" s="349">
        <f t="shared" ca="1" si="92"/>
        <v>110.80426087689294</v>
      </c>
    </row>
    <row r="844" spans="1:10">
      <c r="A844" s="185">
        <v>665</v>
      </c>
      <c r="B844" s="190">
        <f t="shared" ca="1" si="93"/>
        <v>8.2573619894345432E-2</v>
      </c>
      <c r="C844" s="190">
        <f t="shared" ca="1" si="94"/>
        <v>4.0524482293904457E-2</v>
      </c>
      <c r="D844" s="190">
        <f t="shared" ca="1" si="95"/>
        <v>1.9517976192343196E-2</v>
      </c>
      <c r="E844" s="190">
        <f t="shared" ca="1" si="96"/>
        <v>1.5182690037179711E-2</v>
      </c>
      <c r="F844" s="189" t="b">
        <f t="shared" ca="1" si="97"/>
        <v>1</v>
      </c>
      <c r="G844" s="188">
        <f ca="1">IF(F844,IFERROR(((('Data Schema'!$C$3*(1+B844)^1)*((1-$I$4-$I$5+E844)*(1-$I$10)+$I$6-$I$11)-('Data Schema'!$C$3*(1+B844)^1-'Data Schema'!$C$3)*$I$12)/(1+C844)^1+(('Data Schema'!$C$3*(1+B844)^2)*((1-$I$4-$I$5+E844)*(1-$I$10)+$I$6-$I$11)-('Data Schema'!$C$3*(1+B844)^2-'Data Schema'!$C$3*(1+B844)^1)*$I$12)/(1+C844)^2+(('Data Schema'!$C$3*(1+B844)^3)*((1-$I$4-$I$5+E844)*(1-$I$10)+$I$6-$I$11)-('Data Schema'!$C$3*(1+B844)^3-'Data Schema'!$C$3*(1+B844)^2)*$I$12)/(1+C844)^3+(('Data Schema'!$C$3*(1+B844)^4)*((1-$I$4-$I$5+E844)*(1-$I$10)+$I$6-$I$11)-('Data Schema'!$C$3*(1+B844)^4-'Data Schema'!$C$3*(1+B844)^3)*$I$12)/(1+C844)^4+(('Data Schema'!$C$3*(1+B844)^5)*((1-$I$4-$I$5+E844)*(1-$I$10)+$I$6-$I$11)-('Data Schema'!$C$3*(1+B844)^5-'Data Schema'!$C$3*(1+B844)^4)*$I$12)/(1+C844)^5+((('Data Schema'!$C$3*(1+B844)^5)*((1-$I$4-$I$5+E844)*(1-$I$10)+$I$6-$I$11)-('Data Schema'!$C$3*(1+B844)^5-'Data Schema'!$C$3*(1+B844)^4)*$I$12)*(1+D844)/(C844-D844))/(1+C844)^5-'Data Schema'!$C$31+'Data Schema'!$C$21)/'Data Schema'!$B$17,0),"INVALID")</f>
        <v>206.78132228150642</v>
      </c>
      <c r="H844" s="189" t="b">
        <f t="shared" ca="1" si="98"/>
        <v>1</v>
      </c>
      <c r="I844" s="188">
        <f t="shared" ca="1" si="99"/>
        <v>206.78132228150642</v>
      </c>
      <c r="J844" s="349">
        <f t="shared" ca="1" si="92"/>
        <v>206.78132228150642</v>
      </c>
    </row>
    <row r="845" spans="1:10">
      <c r="A845" s="184">
        <v>666</v>
      </c>
      <c r="B845" s="190">
        <f t="shared" ca="1" si="93"/>
        <v>0.1142702603060798</v>
      </c>
      <c r="C845" s="190">
        <f t="shared" ca="1" si="94"/>
        <v>6.2601049507819348E-2</v>
      </c>
      <c r="D845" s="190">
        <f t="shared" ca="1" si="95"/>
        <v>2.9882081801586139E-2</v>
      </c>
      <c r="E845" s="190">
        <f t="shared" ca="1" si="96"/>
        <v>-1.0640242414173738E-2</v>
      </c>
      <c r="F845" s="189" t="b">
        <f t="shared" ca="1" si="97"/>
        <v>1</v>
      </c>
      <c r="G845" s="188">
        <f ca="1">IF(F845,IFERROR(((('Data Schema'!$C$3*(1+B845)^1)*((1-$I$4-$I$5+E845)*(1-$I$10)+$I$6-$I$11)-('Data Schema'!$C$3*(1+B845)^1-'Data Schema'!$C$3)*$I$12)/(1+C845)^1+(('Data Schema'!$C$3*(1+B845)^2)*((1-$I$4-$I$5+E845)*(1-$I$10)+$I$6-$I$11)-('Data Schema'!$C$3*(1+B845)^2-'Data Schema'!$C$3*(1+B845)^1)*$I$12)/(1+C845)^2+(('Data Schema'!$C$3*(1+B845)^3)*((1-$I$4-$I$5+E845)*(1-$I$10)+$I$6-$I$11)-('Data Schema'!$C$3*(1+B845)^3-'Data Schema'!$C$3*(1+B845)^2)*$I$12)/(1+C845)^3+(('Data Schema'!$C$3*(1+B845)^4)*((1-$I$4-$I$5+E845)*(1-$I$10)+$I$6-$I$11)-('Data Schema'!$C$3*(1+B845)^4-'Data Schema'!$C$3*(1+B845)^3)*$I$12)/(1+C845)^4+(('Data Schema'!$C$3*(1+B845)^5)*((1-$I$4-$I$5+E845)*(1-$I$10)+$I$6-$I$11)-('Data Schema'!$C$3*(1+B845)^5-'Data Schema'!$C$3*(1+B845)^4)*$I$12)/(1+C845)^5+((('Data Schema'!$C$3*(1+B845)^5)*((1-$I$4-$I$5+E845)*(1-$I$10)+$I$6-$I$11)-('Data Schema'!$C$3*(1+B845)^5-'Data Schema'!$C$3*(1+B845)^4)*$I$12)*(1+D845)/(C845-D845))/(1+C845)^5-'Data Schema'!$C$31+'Data Schema'!$C$21)/'Data Schema'!$B$17,0),"INVALID")</f>
        <v>62.912665358493555</v>
      </c>
      <c r="H845" s="189" t="b">
        <f t="shared" ca="1" si="98"/>
        <v>1</v>
      </c>
      <c r="I845" s="188">
        <f t="shared" ca="1" si="99"/>
        <v>62.912665358493555</v>
      </c>
      <c r="J845" s="349">
        <f t="shared" ca="1" si="92"/>
        <v>62.912665358493555</v>
      </c>
    </row>
    <row r="846" spans="1:10">
      <c r="A846" s="185">
        <v>667</v>
      </c>
      <c r="B846" s="190">
        <f t="shared" ca="1" si="93"/>
        <v>0.10213179774656578</v>
      </c>
      <c r="C846" s="190">
        <f t="shared" ca="1" si="94"/>
        <v>7.0199851919362122E-2</v>
      </c>
      <c r="D846" s="190">
        <f t="shared" ca="1" si="95"/>
        <v>2.989200527319906E-2</v>
      </c>
      <c r="E846" s="190">
        <f t="shared" ca="1" si="96"/>
        <v>6.4660544863627458E-3</v>
      </c>
      <c r="F846" s="189" t="b">
        <f t="shared" ca="1" si="97"/>
        <v>1</v>
      </c>
      <c r="G846" s="188">
        <f ca="1">IF(F846,IFERROR(((('Data Schema'!$C$3*(1+B846)^1)*((1-$I$4-$I$5+E846)*(1-$I$10)+$I$6-$I$11)-('Data Schema'!$C$3*(1+B846)^1-'Data Schema'!$C$3)*$I$12)/(1+C846)^1+(('Data Schema'!$C$3*(1+B846)^2)*((1-$I$4-$I$5+E846)*(1-$I$10)+$I$6-$I$11)-('Data Schema'!$C$3*(1+B846)^2-'Data Schema'!$C$3*(1+B846)^1)*$I$12)/(1+C846)^2+(('Data Schema'!$C$3*(1+B846)^3)*((1-$I$4-$I$5+E846)*(1-$I$10)+$I$6-$I$11)-('Data Schema'!$C$3*(1+B846)^3-'Data Schema'!$C$3*(1+B846)^2)*$I$12)/(1+C846)^3+(('Data Schema'!$C$3*(1+B846)^4)*((1-$I$4-$I$5+E846)*(1-$I$10)+$I$6-$I$11)-('Data Schema'!$C$3*(1+B846)^4-'Data Schema'!$C$3*(1+B846)^3)*$I$12)/(1+C846)^4+(('Data Schema'!$C$3*(1+B846)^5)*((1-$I$4-$I$5+E846)*(1-$I$10)+$I$6-$I$11)-('Data Schema'!$C$3*(1+B846)^5-'Data Schema'!$C$3*(1+B846)^4)*$I$12)/(1+C846)^5+((('Data Schema'!$C$3*(1+B846)^5)*((1-$I$4-$I$5+E846)*(1-$I$10)+$I$6-$I$11)-('Data Schema'!$C$3*(1+B846)^5-'Data Schema'!$C$3*(1+B846)^4)*$I$12)*(1+D846)/(C846-D846))/(1+C846)^5-'Data Schema'!$C$31+'Data Schema'!$C$21)/'Data Schema'!$B$17,0),"INVALID")</f>
        <v>87.253642136322725</v>
      </c>
      <c r="H846" s="189" t="b">
        <f t="shared" ca="1" si="98"/>
        <v>1</v>
      </c>
      <c r="I846" s="188">
        <f t="shared" ca="1" si="99"/>
        <v>87.253642136322725</v>
      </c>
      <c r="J846" s="349">
        <f t="shared" ca="1" si="92"/>
        <v>87.253642136322725</v>
      </c>
    </row>
    <row r="847" spans="1:10">
      <c r="A847" s="184">
        <v>668</v>
      </c>
      <c r="B847" s="190">
        <f t="shared" ca="1" si="93"/>
        <v>8.1749325755898092E-2</v>
      </c>
      <c r="C847" s="190">
        <f t="shared" ca="1" si="94"/>
        <v>5.6041604038169407E-2</v>
      </c>
      <c r="D847" s="190">
        <f t="shared" ca="1" si="95"/>
        <v>1.9127419434660013E-2</v>
      </c>
      <c r="E847" s="190">
        <f t="shared" ca="1" si="96"/>
        <v>-1.2196275200106084E-2</v>
      </c>
      <c r="F847" s="189" t="b">
        <f t="shared" ca="1" si="97"/>
        <v>1</v>
      </c>
      <c r="G847" s="188">
        <f ca="1">IF(F847,IFERROR(((('Data Schema'!$C$3*(1+B847)^1)*((1-$I$4-$I$5+E847)*(1-$I$10)+$I$6-$I$11)-('Data Schema'!$C$3*(1+B847)^1-'Data Schema'!$C$3)*$I$12)/(1+C847)^1+(('Data Schema'!$C$3*(1+B847)^2)*((1-$I$4-$I$5+E847)*(1-$I$10)+$I$6-$I$11)-('Data Schema'!$C$3*(1+B847)^2-'Data Schema'!$C$3*(1+B847)^1)*$I$12)/(1+C847)^2+(('Data Schema'!$C$3*(1+B847)^3)*((1-$I$4-$I$5+E847)*(1-$I$10)+$I$6-$I$11)-('Data Schema'!$C$3*(1+B847)^3-'Data Schema'!$C$3*(1+B847)^2)*$I$12)/(1+C847)^3+(('Data Schema'!$C$3*(1+B847)^4)*((1-$I$4-$I$5+E847)*(1-$I$10)+$I$6-$I$11)-('Data Schema'!$C$3*(1+B847)^4-'Data Schema'!$C$3*(1+B847)^3)*$I$12)/(1+C847)^4+(('Data Schema'!$C$3*(1+B847)^5)*((1-$I$4-$I$5+E847)*(1-$I$10)+$I$6-$I$11)-('Data Schema'!$C$3*(1+B847)^5-'Data Schema'!$C$3*(1+B847)^4)*$I$12)/(1+C847)^5+((('Data Schema'!$C$3*(1+B847)^5)*((1-$I$4-$I$5+E847)*(1-$I$10)+$I$6-$I$11)-('Data Schema'!$C$3*(1+B847)^5-'Data Schema'!$C$3*(1+B847)^4)*$I$12)*(1+D847)/(C847-D847))/(1+C847)^5-'Data Schema'!$C$31+'Data Schema'!$C$21)/'Data Schema'!$B$17,0),"INVALID")</f>
        <v>46.829905735245958</v>
      </c>
      <c r="H847" s="189" t="b">
        <f t="shared" ca="1" si="98"/>
        <v>1</v>
      </c>
      <c r="I847" s="188">
        <f t="shared" ca="1" si="99"/>
        <v>46.829905735245958</v>
      </c>
      <c r="J847" s="349">
        <f t="shared" ca="1" si="92"/>
        <v>46.829905735245958</v>
      </c>
    </row>
    <row r="848" spans="1:10">
      <c r="A848" s="185">
        <v>669</v>
      </c>
      <c r="B848" s="190">
        <f t="shared" ca="1" si="93"/>
        <v>0.10683379601505408</v>
      </c>
      <c r="C848" s="190">
        <f t="shared" ca="1" si="94"/>
        <v>4.4681831019428936E-2</v>
      </c>
      <c r="D848" s="190">
        <f t="shared" ca="1" si="95"/>
        <v>2.0611027598058166E-2</v>
      </c>
      <c r="E848" s="190">
        <f t="shared" ca="1" si="96"/>
        <v>-3.4447096985338481E-2</v>
      </c>
      <c r="F848" s="189" t="b">
        <f t="shared" ca="1" si="97"/>
        <v>1</v>
      </c>
      <c r="G848" s="188">
        <f ca="1">IF(F848,IFERROR(((('Data Schema'!$C$3*(1+B848)^1)*((1-$I$4-$I$5+E848)*(1-$I$10)+$I$6-$I$11)-('Data Schema'!$C$3*(1+B848)^1-'Data Schema'!$C$3)*$I$12)/(1+C848)^1+(('Data Schema'!$C$3*(1+B848)^2)*((1-$I$4-$I$5+E848)*(1-$I$10)+$I$6-$I$11)-('Data Schema'!$C$3*(1+B848)^2-'Data Schema'!$C$3*(1+B848)^1)*$I$12)/(1+C848)^2+(('Data Schema'!$C$3*(1+B848)^3)*((1-$I$4-$I$5+E848)*(1-$I$10)+$I$6-$I$11)-('Data Schema'!$C$3*(1+B848)^3-'Data Schema'!$C$3*(1+B848)^2)*$I$12)/(1+C848)^3+(('Data Schema'!$C$3*(1+B848)^4)*((1-$I$4-$I$5+E848)*(1-$I$10)+$I$6-$I$11)-('Data Schema'!$C$3*(1+B848)^4-'Data Schema'!$C$3*(1+B848)^3)*$I$12)/(1+C848)^4+(('Data Schema'!$C$3*(1+B848)^5)*((1-$I$4-$I$5+E848)*(1-$I$10)+$I$6-$I$11)-('Data Schema'!$C$3*(1+B848)^5-'Data Schema'!$C$3*(1+B848)^4)*$I$12)/(1+C848)^5+((('Data Schema'!$C$3*(1+B848)^5)*((1-$I$4-$I$5+E848)*(1-$I$10)+$I$6-$I$11)-('Data Schema'!$C$3*(1+B848)^5-'Data Schema'!$C$3*(1+B848)^4)*$I$12)*(1+D848)/(C848-D848))/(1+C848)^5-'Data Schema'!$C$31+'Data Schema'!$C$21)/'Data Schema'!$B$17,0),"INVALID")</f>
        <v>-9.8957260853490396</v>
      </c>
      <c r="H848" s="189" t="b">
        <f t="shared" ca="1" si="98"/>
        <v>0</v>
      </c>
      <c r="I848" s="188" t="str">
        <f t="shared" ca="1" si="99"/>
        <v/>
      </c>
      <c r="J848" s="349" t="str">
        <f t="shared" ca="1" si="92"/>
        <v/>
      </c>
    </row>
    <row r="849" spans="1:10">
      <c r="A849" s="184">
        <v>670</v>
      </c>
      <c r="B849" s="190">
        <f t="shared" ca="1" si="93"/>
        <v>8.3670570054313553E-2</v>
      </c>
      <c r="C849" s="190">
        <f t="shared" ca="1" si="94"/>
        <v>6.20809543828751E-2</v>
      </c>
      <c r="D849" s="190">
        <f t="shared" ca="1" si="95"/>
        <v>2.1671589450010097E-2</v>
      </c>
      <c r="E849" s="190">
        <f t="shared" ca="1" si="96"/>
        <v>-1.0323320599955174E-2</v>
      </c>
      <c r="F849" s="189" t="b">
        <f t="shared" ca="1" si="97"/>
        <v>1</v>
      </c>
      <c r="G849" s="188">
        <f ca="1">IF(F849,IFERROR(((('Data Schema'!$C$3*(1+B849)^1)*((1-$I$4-$I$5+E849)*(1-$I$10)+$I$6-$I$11)-('Data Schema'!$C$3*(1+B849)^1-'Data Schema'!$C$3)*$I$12)/(1+C849)^1+(('Data Schema'!$C$3*(1+B849)^2)*((1-$I$4-$I$5+E849)*(1-$I$10)+$I$6-$I$11)-('Data Schema'!$C$3*(1+B849)^2-'Data Schema'!$C$3*(1+B849)^1)*$I$12)/(1+C849)^2+(('Data Schema'!$C$3*(1+B849)^3)*((1-$I$4-$I$5+E849)*(1-$I$10)+$I$6-$I$11)-('Data Schema'!$C$3*(1+B849)^3-'Data Schema'!$C$3*(1+B849)^2)*$I$12)/(1+C849)^3+(('Data Schema'!$C$3*(1+B849)^4)*((1-$I$4-$I$5+E849)*(1-$I$10)+$I$6-$I$11)-('Data Schema'!$C$3*(1+B849)^4-'Data Schema'!$C$3*(1+B849)^3)*$I$12)/(1+C849)^4+(('Data Schema'!$C$3*(1+B849)^5)*((1-$I$4-$I$5+E849)*(1-$I$10)+$I$6-$I$11)-('Data Schema'!$C$3*(1+B849)^5-'Data Schema'!$C$3*(1+B849)^4)*$I$12)/(1+C849)^5+((('Data Schema'!$C$3*(1+B849)^5)*((1-$I$4-$I$5+E849)*(1-$I$10)+$I$6-$I$11)-('Data Schema'!$C$3*(1+B849)^5-'Data Schema'!$C$3*(1+B849)^4)*$I$12)*(1+D849)/(C849-D849))/(1+C849)^5-'Data Schema'!$C$31+'Data Schema'!$C$21)/'Data Schema'!$B$17,0),"INVALID")</f>
        <v>46.108268658063899</v>
      </c>
      <c r="H849" s="189" t="b">
        <f t="shared" ca="1" si="98"/>
        <v>1</v>
      </c>
      <c r="I849" s="188">
        <f t="shared" ca="1" si="99"/>
        <v>46.108268658063899</v>
      </c>
      <c r="J849" s="349">
        <f t="shared" ca="1" si="92"/>
        <v>46.108268658063899</v>
      </c>
    </row>
    <row r="850" spans="1:10">
      <c r="A850" s="185">
        <v>671</v>
      </c>
      <c r="B850" s="190">
        <f t="shared" ca="1" si="93"/>
        <v>8.1570199544243993E-2</v>
      </c>
      <c r="C850" s="190">
        <f t="shared" ca="1" si="94"/>
        <v>5.8587388940467319E-2</v>
      </c>
      <c r="D850" s="190">
        <f t="shared" ca="1" si="95"/>
        <v>3.053172035453712E-2</v>
      </c>
      <c r="E850" s="190">
        <f t="shared" ca="1" si="96"/>
        <v>1.0140554717971246E-2</v>
      </c>
      <c r="F850" s="189" t="b">
        <f t="shared" ca="1" si="97"/>
        <v>1</v>
      </c>
      <c r="G850" s="188">
        <f ca="1">IF(F850,IFERROR(((('Data Schema'!$C$3*(1+B850)^1)*((1-$I$4-$I$5+E850)*(1-$I$10)+$I$6-$I$11)-('Data Schema'!$C$3*(1+B850)^1-'Data Schema'!$C$3)*$I$12)/(1+C850)^1+(('Data Schema'!$C$3*(1+B850)^2)*((1-$I$4-$I$5+E850)*(1-$I$10)+$I$6-$I$11)-('Data Schema'!$C$3*(1+B850)^2-'Data Schema'!$C$3*(1+B850)^1)*$I$12)/(1+C850)^2+(('Data Schema'!$C$3*(1+B850)^3)*((1-$I$4-$I$5+E850)*(1-$I$10)+$I$6-$I$11)-('Data Schema'!$C$3*(1+B850)^3-'Data Schema'!$C$3*(1+B850)^2)*$I$12)/(1+C850)^3+(('Data Schema'!$C$3*(1+B850)^4)*((1-$I$4-$I$5+E850)*(1-$I$10)+$I$6-$I$11)-('Data Schema'!$C$3*(1+B850)^4-'Data Schema'!$C$3*(1+B850)^3)*$I$12)/(1+C850)^4+(('Data Schema'!$C$3*(1+B850)^5)*((1-$I$4-$I$5+E850)*(1-$I$10)+$I$6-$I$11)-('Data Schema'!$C$3*(1+B850)^5-'Data Schema'!$C$3*(1+B850)^4)*$I$12)/(1+C850)^5+((('Data Schema'!$C$3*(1+B850)^5)*((1-$I$4-$I$5+E850)*(1-$I$10)+$I$6-$I$11)-('Data Schema'!$C$3*(1+B850)^5-'Data Schema'!$C$3*(1+B850)^4)*$I$12)*(1+D850)/(C850-D850))/(1+C850)^5-'Data Schema'!$C$31+'Data Schema'!$C$21)/'Data Schema'!$B$17,0),"INVALID")</f>
        <v>130.02963911770937</v>
      </c>
      <c r="H850" s="189" t="b">
        <f t="shared" ca="1" si="98"/>
        <v>1</v>
      </c>
      <c r="I850" s="188">
        <f t="shared" ca="1" si="99"/>
        <v>130.02963911770937</v>
      </c>
      <c r="J850" s="349">
        <f t="shared" ca="1" si="92"/>
        <v>130.02963911770937</v>
      </c>
    </row>
    <row r="851" spans="1:10">
      <c r="A851" s="184">
        <v>672</v>
      </c>
      <c r="B851" s="190">
        <f t="shared" ca="1" si="93"/>
        <v>7.7954224358099677E-2</v>
      </c>
      <c r="C851" s="190">
        <f t="shared" ca="1" si="94"/>
        <v>5.4130713944874398E-2</v>
      </c>
      <c r="D851" s="190">
        <f t="shared" ca="1" si="95"/>
        <v>3.6162165618914638E-2</v>
      </c>
      <c r="E851" s="190">
        <f t="shared" ca="1" si="96"/>
        <v>-1.3360075296754842E-2</v>
      </c>
      <c r="F851" s="189" t="b">
        <f t="shared" ca="1" si="97"/>
        <v>1</v>
      </c>
      <c r="G851" s="188">
        <f ca="1">IF(F851,IFERROR(((('Data Schema'!$C$3*(1+B851)^1)*((1-$I$4-$I$5+E851)*(1-$I$10)+$I$6-$I$11)-('Data Schema'!$C$3*(1+B851)^1-'Data Schema'!$C$3)*$I$12)/(1+C851)^1+(('Data Schema'!$C$3*(1+B851)^2)*((1-$I$4-$I$5+E851)*(1-$I$10)+$I$6-$I$11)-('Data Schema'!$C$3*(1+B851)^2-'Data Schema'!$C$3*(1+B851)^1)*$I$12)/(1+C851)^2+(('Data Schema'!$C$3*(1+B851)^3)*((1-$I$4-$I$5+E851)*(1-$I$10)+$I$6-$I$11)-('Data Schema'!$C$3*(1+B851)^3-'Data Schema'!$C$3*(1+B851)^2)*$I$12)/(1+C851)^3+(('Data Schema'!$C$3*(1+B851)^4)*((1-$I$4-$I$5+E851)*(1-$I$10)+$I$6-$I$11)-('Data Schema'!$C$3*(1+B851)^4-'Data Schema'!$C$3*(1+B851)^3)*$I$12)/(1+C851)^4+(('Data Schema'!$C$3*(1+B851)^5)*((1-$I$4-$I$5+E851)*(1-$I$10)+$I$6-$I$11)-('Data Schema'!$C$3*(1+B851)^5-'Data Schema'!$C$3*(1+B851)^4)*$I$12)/(1+C851)^5+((('Data Schema'!$C$3*(1+B851)^5)*((1-$I$4-$I$5+E851)*(1-$I$10)+$I$6-$I$11)-('Data Schema'!$C$3*(1+B851)^5-'Data Schema'!$C$3*(1+B851)^4)*$I$12)*(1+D851)/(C851-D851))/(1+C851)^5-'Data Schema'!$C$31+'Data Schema'!$C$21)/'Data Schema'!$B$17,0),"INVALID")</f>
        <v>90.960260406268773</v>
      </c>
      <c r="H851" s="189" t="b">
        <f t="shared" ca="1" si="98"/>
        <v>1</v>
      </c>
      <c r="I851" s="188">
        <f t="shared" ca="1" si="99"/>
        <v>90.960260406268773</v>
      </c>
      <c r="J851" s="349">
        <f t="shared" ca="1" si="92"/>
        <v>90.960260406268773</v>
      </c>
    </row>
    <row r="852" spans="1:10">
      <c r="A852" s="185">
        <v>673</v>
      </c>
      <c r="B852" s="190">
        <f t="shared" ca="1" si="93"/>
        <v>6.8120039556114759E-2</v>
      </c>
      <c r="C852" s="190">
        <f t="shared" ca="1" si="94"/>
        <v>6.0388559109054017E-2</v>
      </c>
      <c r="D852" s="190">
        <f t="shared" ca="1" si="95"/>
        <v>2.6985538581390075E-2</v>
      </c>
      <c r="E852" s="190">
        <f t="shared" ca="1" si="96"/>
        <v>1.0843546164459714E-2</v>
      </c>
      <c r="F852" s="189" t="b">
        <f t="shared" ca="1" si="97"/>
        <v>1</v>
      </c>
      <c r="G852" s="188">
        <f ca="1">IF(F852,IFERROR(((('Data Schema'!$C$3*(1+B852)^1)*((1-$I$4-$I$5+E852)*(1-$I$10)+$I$6-$I$11)-('Data Schema'!$C$3*(1+B852)^1-'Data Schema'!$C$3)*$I$12)/(1+C852)^1+(('Data Schema'!$C$3*(1+B852)^2)*((1-$I$4-$I$5+E852)*(1-$I$10)+$I$6-$I$11)-('Data Schema'!$C$3*(1+B852)^2-'Data Schema'!$C$3*(1+B852)^1)*$I$12)/(1+C852)^2+(('Data Schema'!$C$3*(1+B852)^3)*((1-$I$4-$I$5+E852)*(1-$I$10)+$I$6-$I$11)-('Data Schema'!$C$3*(1+B852)^3-'Data Schema'!$C$3*(1+B852)^2)*$I$12)/(1+C852)^3+(('Data Schema'!$C$3*(1+B852)^4)*((1-$I$4-$I$5+E852)*(1-$I$10)+$I$6-$I$11)-('Data Schema'!$C$3*(1+B852)^4-'Data Schema'!$C$3*(1+B852)^3)*$I$12)/(1+C852)^4+(('Data Schema'!$C$3*(1+B852)^5)*((1-$I$4-$I$5+E852)*(1-$I$10)+$I$6-$I$11)-('Data Schema'!$C$3*(1+B852)^5-'Data Schema'!$C$3*(1+B852)^4)*$I$12)/(1+C852)^5+((('Data Schema'!$C$3*(1+B852)^5)*((1-$I$4-$I$5+E852)*(1-$I$10)+$I$6-$I$11)-('Data Schema'!$C$3*(1+B852)^5-'Data Schema'!$C$3*(1+B852)^4)*$I$12)*(1+D852)/(C852-D852))/(1+C852)^5-'Data Schema'!$C$31+'Data Schema'!$C$21)/'Data Schema'!$B$17,0),"INVALID")</f>
        <v>105.14198165805296</v>
      </c>
      <c r="H852" s="189" t="b">
        <f t="shared" ca="1" si="98"/>
        <v>1</v>
      </c>
      <c r="I852" s="188">
        <f t="shared" ca="1" si="99"/>
        <v>105.14198165805296</v>
      </c>
      <c r="J852" s="349">
        <f t="shared" ca="1" si="92"/>
        <v>105.14198165805296</v>
      </c>
    </row>
    <row r="853" spans="1:10">
      <c r="A853" s="184">
        <v>674</v>
      </c>
      <c r="B853" s="190">
        <f t="shared" ca="1" si="93"/>
        <v>9.8968415396342824E-2</v>
      </c>
      <c r="C853" s="190">
        <f t="shared" ca="1" si="94"/>
        <v>4.3686685467007921E-2</v>
      </c>
      <c r="D853" s="190">
        <f t="shared" ca="1" si="95"/>
        <v>2.927056782187893E-2</v>
      </c>
      <c r="E853" s="190">
        <f t="shared" ca="1" si="96"/>
        <v>1.8888057558658064E-2</v>
      </c>
      <c r="F853" s="189" t="b">
        <f t="shared" ca="1" si="97"/>
        <v>0</v>
      </c>
      <c r="G853" s="188" t="str">
        <f ca="1">IF(F853,IFERROR(((('Data Schema'!$C$3*(1+B853)^1)*((1-$I$4-$I$5+E853)*(1-$I$10)+$I$6-$I$11)-('Data Schema'!$C$3*(1+B853)^1-'Data Schema'!$C$3)*$I$12)/(1+C853)^1+(('Data Schema'!$C$3*(1+B853)^2)*((1-$I$4-$I$5+E853)*(1-$I$10)+$I$6-$I$11)-('Data Schema'!$C$3*(1+B853)^2-'Data Schema'!$C$3*(1+B853)^1)*$I$12)/(1+C853)^2+(('Data Schema'!$C$3*(1+B853)^3)*((1-$I$4-$I$5+E853)*(1-$I$10)+$I$6-$I$11)-('Data Schema'!$C$3*(1+B853)^3-'Data Schema'!$C$3*(1+B853)^2)*$I$12)/(1+C853)^3+(('Data Schema'!$C$3*(1+B853)^4)*((1-$I$4-$I$5+E853)*(1-$I$10)+$I$6-$I$11)-('Data Schema'!$C$3*(1+B853)^4-'Data Schema'!$C$3*(1+B853)^3)*$I$12)/(1+C853)^4+(('Data Schema'!$C$3*(1+B853)^5)*((1-$I$4-$I$5+E853)*(1-$I$10)+$I$6-$I$11)-('Data Schema'!$C$3*(1+B853)^5-'Data Schema'!$C$3*(1+B853)^4)*$I$12)/(1+C853)^5+((('Data Schema'!$C$3*(1+B853)^5)*((1-$I$4-$I$5+E853)*(1-$I$10)+$I$6-$I$11)-('Data Schema'!$C$3*(1+B853)^5-'Data Schema'!$C$3*(1+B853)^4)*$I$12)*(1+D853)/(C853-D853))/(1+C853)^5-'Data Schema'!$C$31+'Data Schema'!$C$21)/'Data Schema'!$B$17,0),"INVALID")</f>
        <v>INVALID</v>
      </c>
      <c r="H853" s="189" t="b">
        <f t="shared" ca="1" si="98"/>
        <v>0</v>
      </c>
      <c r="I853" s="188" t="str">
        <f t="shared" ca="1" si="99"/>
        <v/>
      </c>
      <c r="J853" s="349" t="str">
        <f t="shared" ca="1" si="92"/>
        <v/>
      </c>
    </row>
    <row r="854" spans="1:10">
      <c r="A854" s="185">
        <v>675</v>
      </c>
      <c r="B854" s="190">
        <f t="shared" ca="1" si="93"/>
        <v>9.4695680153676312E-2</v>
      </c>
      <c r="C854" s="190">
        <f t="shared" ca="1" si="94"/>
        <v>7.0217214308721715E-2</v>
      </c>
      <c r="D854" s="190">
        <f t="shared" ca="1" si="95"/>
        <v>2.3741258284299863E-2</v>
      </c>
      <c r="E854" s="190">
        <f t="shared" ca="1" si="96"/>
        <v>-1.9549845816629958E-2</v>
      </c>
      <c r="F854" s="189" t="b">
        <f t="shared" ca="1" si="97"/>
        <v>1</v>
      </c>
      <c r="G854" s="188">
        <f ca="1">IF(F854,IFERROR(((('Data Schema'!$C$3*(1+B854)^1)*((1-$I$4-$I$5+E854)*(1-$I$10)+$I$6-$I$11)-('Data Schema'!$C$3*(1+B854)^1-'Data Schema'!$C$3)*$I$12)/(1+C854)^1+(('Data Schema'!$C$3*(1+B854)^2)*((1-$I$4-$I$5+E854)*(1-$I$10)+$I$6-$I$11)-('Data Schema'!$C$3*(1+B854)^2-'Data Schema'!$C$3*(1+B854)^1)*$I$12)/(1+C854)^2+(('Data Schema'!$C$3*(1+B854)^3)*((1-$I$4-$I$5+E854)*(1-$I$10)+$I$6-$I$11)-('Data Schema'!$C$3*(1+B854)^3-'Data Schema'!$C$3*(1+B854)^2)*$I$12)/(1+C854)^3+(('Data Schema'!$C$3*(1+B854)^4)*((1-$I$4-$I$5+E854)*(1-$I$10)+$I$6-$I$11)-('Data Schema'!$C$3*(1+B854)^4-'Data Schema'!$C$3*(1+B854)^3)*$I$12)/(1+C854)^4+(('Data Schema'!$C$3*(1+B854)^5)*((1-$I$4-$I$5+E854)*(1-$I$10)+$I$6-$I$11)-('Data Schema'!$C$3*(1+B854)^5-'Data Schema'!$C$3*(1+B854)^4)*$I$12)/(1+C854)^5+((('Data Schema'!$C$3*(1+B854)^5)*((1-$I$4-$I$5+E854)*(1-$I$10)+$I$6-$I$11)-('Data Schema'!$C$3*(1+B854)^5-'Data Schema'!$C$3*(1+B854)^4)*$I$12)*(1+D854)/(C854-D854))/(1+C854)^5-'Data Schema'!$C$31+'Data Schema'!$C$21)/'Data Schema'!$B$17,0),"INVALID")</f>
        <v>21.948085138692438</v>
      </c>
      <c r="H854" s="189" t="b">
        <f t="shared" ca="1" si="98"/>
        <v>1</v>
      </c>
      <c r="I854" s="188">
        <f t="shared" ca="1" si="99"/>
        <v>21.948085138692438</v>
      </c>
      <c r="J854" s="349" t="str">
        <f t="shared" ca="1" si="92"/>
        <v/>
      </c>
    </row>
    <row r="855" spans="1:10">
      <c r="A855" s="184">
        <v>676</v>
      </c>
      <c r="B855" s="190">
        <f t="shared" ca="1" si="93"/>
        <v>8.4124829264911508E-2</v>
      </c>
      <c r="C855" s="190">
        <f t="shared" ca="1" si="94"/>
        <v>5.01537366691613E-2</v>
      </c>
      <c r="D855" s="190">
        <f t="shared" ca="1" si="95"/>
        <v>2.8030512681914602E-2</v>
      </c>
      <c r="E855" s="190">
        <f t="shared" ca="1" si="96"/>
        <v>-3.9360496927042792E-2</v>
      </c>
      <c r="F855" s="189" t="b">
        <f t="shared" ca="1" si="97"/>
        <v>1</v>
      </c>
      <c r="G855" s="188">
        <f ca="1">IF(F855,IFERROR(((('Data Schema'!$C$3*(1+B855)^1)*((1-$I$4-$I$5+E855)*(1-$I$10)+$I$6-$I$11)-('Data Schema'!$C$3*(1+B855)^1-'Data Schema'!$C$3)*$I$12)/(1+C855)^1+(('Data Schema'!$C$3*(1+B855)^2)*((1-$I$4-$I$5+E855)*(1-$I$10)+$I$6-$I$11)-('Data Schema'!$C$3*(1+B855)^2-'Data Schema'!$C$3*(1+B855)^1)*$I$12)/(1+C855)^2+(('Data Schema'!$C$3*(1+B855)^3)*((1-$I$4-$I$5+E855)*(1-$I$10)+$I$6-$I$11)-('Data Schema'!$C$3*(1+B855)^3-'Data Schema'!$C$3*(1+B855)^2)*$I$12)/(1+C855)^3+(('Data Schema'!$C$3*(1+B855)^4)*((1-$I$4-$I$5+E855)*(1-$I$10)+$I$6-$I$11)-('Data Schema'!$C$3*(1+B855)^4-'Data Schema'!$C$3*(1+B855)^3)*$I$12)/(1+C855)^4+(('Data Schema'!$C$3*(1+B855)^5)*((1-$I$4-$I$5+E855)*(1-$I$10)+$I$6-$I$11)-('Data Schema'!$C$3*(1+B855)^5-'Data Schema'!$C$3*(1+B855)^4)*$I$12)/(1+C855)^5+((('Data Schema'!$C$3*(1+B855)^5)*((1-$I$4-$I$5+E855)*(1-$I$10)+$I$6-$I$11)-('Data Schema'!$C$3*(1+B855)^5-'Data Schema'!$C$3*(1+B855)^4)*$I$12)*(1+D855)/(C855-D855))/(1+C855)^5-'Data Schema'!$C$31+'Data Schema'!$C$21)/'Data Schema'!$B$17,0),"INVALID")</f>
        <v>-27.412808948877771</v>
      </c>
      <c r="H855" s="189" t="b">
        <f t="shared" ca="1" si="98"/>
        <v>0</v>
      </c>
      <c r="I855" s="188" t="str">
        <f t="shared" ca="1" si="99"/>
        <v/>
      </c>
      <c r="J855" s="349" t="str">
        <f t="shared" ca="1" si="92"/>
        <v/>
      </c>
    </row>
    <row r="856" spans="1:10">
      <c r="A856" s="185">
        <v>677</v>
      </c>
      <c r="B856" s="190">
        <f t="shared" ca="1" si="93"/>
        <v>0.12921475947668054</v>
      </c>
      <c r="C856" s="190">
        <f t="shared" ca="1" si="94"/>
        <v>8.1537177135484085E-2</v>
      </c>
      <c r="D856" s="190">
        <f t="shared" ca="1" si="95"/>
        <v>2.5342244315268183E-2</v>
      </c>
      <c r="E856" s="190">
        <f t="shared" ca="1" si="96"/>
        <v>1.7108700921609633E-2</v>
      </c>
      <c r="F856" s="189" t="b">
        <f t="shared" ca="1" si="97"/>
        <v>1</v>
      </c>
      <c r="G856" s="188">
        <f ca="1">IF(F856,IFERROR(((('Data Schema'!$C$3*(1+B856)^1)*((1-$I$4-$I$5+E856)*(1-$I$10)+$I$6-$I$11)-('Data Schema'!$C$3*(1+B856)^1-'Data Schema'!$C$3)*$I$12)/(1+C856)^1+(('Data Schema'!$C$3*(1+B856)^2)*((1-$I$4-$I$5+E856)*(1-$I$10)+$I$6-$I$11)-('Data Schema'!$C$3*(1+B856)^2-'Data Schema'!$C$3*(1+B856)^1)*$I$12)/(1+C856)^2+(('Data Schema'!$C$3*(1+B856)^3)*((1-$I$4-$I$5+E856)*(1-$I$10)+$I$6-$I$11)-('Data Schema'!$C$3*(1+B856)^3-'Data Schema'!$C$3*(1+B856)^2)*$I$12)/(1+C856)^3+(('Data Schema'!$C$3*(1+B856)^4)*((1-$I$4-$I$5+E856)*(1-$I$10)+$I$6-$I$11)-('Data Schema'!$C$3*(1+B856)^4-'Data Schema'!$C$3*(1+B856)^3)*$I$12)/(1+C856)^4+(('Data Schema'!$C$3*(1+B856)^5)*((1-$I$4-$I$5+E856)*(1-$I$10)+$I$6-$I$11)-('Data Schema'!$C$3*(1+B856)^5-'Data Schema'!$C$3*(1+B856)^4)*$I$12)/(1+C856)^5+((('Data Schema'!$C$3*(1+B856)^5)*((1-$I$4-$I$5+E856)*(1-$I$10)+$I$6-$I$11)-('Data Schema'!$C$3*(1+B856)^5-'Data Schema'!$C$3*(1+B856)^4)*$I$12)*(1+D856)/(C856-D856))/(1+C856)^5-'Data Schema'!$C$31+'Data Schema'!$C$21)/'Data Schema'!$B$17,0),"INVALID")</f>
        <v>88.190473822361156</v>
      </c>
      <c r="H856" s="189" t="b">
        <f t="shared" ca="1" si="98"/>
        <v>1</v>
      </c>
      <c r="I856" s="188">
        <f t="shared" ca="1" si="99"/>
        <v>88.190473822361156</v>
      </c>
      <c r="J856" s="349">
        <f t="shared" ca="1" si="92"/>
        <v>88.190473822361156</v>
      </c>
    </row>
    <row r="857" spans="1:10">
      <c r="A857" s="184">
        <v>678</v>
      </c>
      <c r="B857" s="190">
        <f t="shared" ca="1" si="93"/>
        <v>9.0968996973324029E-2</v>
      </c>
      <c r="C857" s="190">
        <f t="shared" ca="1" si="94"/>
        <v>4.1932386594874034E-2</v>
      </c>
      <c r="D857" s="190">
        <f t="shared" ca="1" si="95"/>
        <v>2.3408090652503852E-2</v>
      </c>
      <c r="E857" s="190">
        <f t="shared" ca="1" si="96"/>
        <v>1.5632103643700049E-2</v>
      </c>
      <c r="F857" s="189" t="b">
        <f t="shared" ca="1" si="97"/>
        <v>1</v>
      </c>
      <c r="G857" s="188">
        <f ca="1">IF(F857,IFERROR(((('Data Schema'!$C$3*(1+B857)^1)*((1-$I$4-$I$5+E857)*(1-$I$10)+$I$6-$I$11)-('Data Schema'!$C$3*(1+B857)^1-'Data Schema'!$C$3)*$I$12)/(1+C857)^1+(('Data Schema'!$C$3*(1+B857)^2)*((1-$I$4-$I$5+E857)*(1-$I$10)+$I$6-$I$11)-('Data Schema'!$C$3*(1+B857)^2-'Data Schema'!$C$3*(1+B857)^1)*$I$12)/(1+C857)^2+(('Data Schema'!$C$3*(1+B857)^3)*((1-$I$4-$I$5+E857)*(1-$I$10)+$I$6-$I$11)-('Data Schema'!$C$3*(1+B857)^3-'Data Schema'!$C$3*(1+B857)^2)*$I$12)/(1+C857)^3+(('Data Schema'!$C$3*(1+B857)^4)*((1-$I$4-$I$5+E857)*(1-$I$10)+$I$6-$I$11)-('Data Schema'!$C$3*(1+B857)^4-'Data Schema'!$C$3*(1+B857)^3)*$I$12)/(1+C857)^4+(('Data Schema'!$C$3*(1+B857)^5)*((1-$I$4-$I$5+E857)*(1-$I$10)+$I$6-$I$11)-('Data Schema'!$C$3*(1+B857)^5-'Data Schema'!$C$3*(1+B857)^4)*$I$12)/(1+C857)^5+((('Data Schema'!$C$3*(1+B857)^5)*((1-$I$4-$I$5+E857)*(1-$I$10)+$I$6-$I$11)-('Data Schema'!$C$3*(1+B857)^5-'Data Schema'!$C$3*(1+B857)^4)*$I$12)*(1+D857)/(C857-D857))/(1+C857)^5-'Data Schema'!$C$31+'Data Schema'!$C$21)/'Data Schema'!$B$17,0),"INVALID")</f>
        <v>242.65063496648347</v>
      </c>
      <c r="H857" s="189" t="b">
        <f t="shared" ca="1" si="98"/>
        <v>1</v>
      </c>
      <c r="I857" s="188">
        <f t="shared" ca="1" si="99"/>
        <v>242.65063496648347</v>
      </c>
      <c r="J857" s="349" t="str">
        <f t="shared" ca="1" si="92"/>
        <v/>
      </c>
    </row>
    <row r="858" spans="1:10">
      <c r="A858" s="185">
        <v>679</v>
      </c>
      <c r="B858" s="190">
        <f t="shared" ca="1" si="93"/>
        <v>4.0865691665032219E-2</v>
      </c>
      <c r="C858" s="190">
        <f t="shared" ca="1" si="94"/>
        <v>6.7703012394514483E-2</v>
      </c>
      <c r="D858" s="190">
        <f t="shared" ca="1" si="95"/>
        <v>2.2570594313514134E-2</v>
      </c>
      <c r="E858" s="190">
        <f t="shared" ca="1" si="96"/>
        <v>2.862097869313586E-2</v>
      </c>
      <c r="F858" s="189" t="b">
        <f t="shared" ca="1" si="97"/>
        <v>1</v>
      </c>
      <c r="G858" s="188">
        <f ca="1">IF(F858,IFERROR(((('Data Schema'!$C$3*(1+B858)^1)*((1-$I$4-$I$5+E858)*(1-$I$10)+$I$6-$I$11)-('Data Schema'!$C$3*(1+B858)^1-'Data Schema'!$C$3)*$I$12)/(1+C858)^1+(('Data Schema'!$C$3*(1+B858)^2)*((1-$I$4-$I$5+E858)*(1-$I$10)+$I$6-$I$11)-('Data Schema'!$C$3*(1+B858)^2-'Data Schema'!$C$3*(1+B858)^1)*$I$12)/(1+C858)^2+(('Data Schema'!$C$3*(1+B858)^3)*((1-$I$4-$I$5+E858)*(1-$I$10)+$I$6-$I$11)-('Data Schema'!$C$3*(1+B858)^3-'Data Schema'!$C$3*(1+B858)^2)*$I$12)/(1+C858)^3+(('Data Schema'!$C$3*(1+B858)^4)*((1-$I$4-$I$5+E858)*(1-$I$10)+$I$6-$I$11)-('Data Schema'!$C$3*(1+B858)^4-'Data Schema'!$C$3*(1+B858)^3)*$I$12)/(1+C858)^4+(('Data Schema'!$C$3*(1+B858)^5)*((1-$I$4-$I$5+E858)*(1-$I$10)+$I$6-$I$11)-('Data Schema'!$C$3*(1+B858)^5-'Data Schema'!$C$3*(1+B858)^4)*$I$12)/(1+C858)^5+((('Data Schema'!$C$3*(1+B858)^5)*((1-$I$4-$I$5+E858)*(1-$I$10)+$I$6-$I$11)-('Data Schema'!$C$3*(1+B858)^5-'Data Schema'!$C$3*(1+B858)^4)*$I$12)*(1+D858)/(C858-D858))/(1+C858)^5-'Data Schema'!$C$31+'Data Schema'!$C$21)/'Data Schema'!$B$17,0),"INVALID")</f>
        <v>97.729833085229373</v>
      </c>
      <c r="H858" s="189" t="b">
        <f t="shared" ca="1" si="98"/>
        <v>1</v>
      </c>
      <c r="I858" s="188">
        <f t="shared" ca="1" si="99"/>
        <v>97.729833085229373</v>
      </c>
      <c r="J858" s="349">
        <f t="shared" ca="1" si="92"/>
        <v>97.729833085229373</v>
      </c>
    </row>
    <row r="859" spans="1:10">
      <c r="A859" s="184">
        <v>680</v>
      </c>
      <c r="B859" s="190">
        <f t="shared" ca="1" si="93"/>
        <v>8.5482419948949576E-2</v>
      </c>
      <c r="C859" s="190">
        <f t="shared" ca="1" si="94"/>
        <v>7.5685519460028577E-2</v>
      </c>
      <c r="D859" s="190">
        <f t="shared" ca="1" si="95"/>
        <v>1.1198864547588628E-2</v>
      </c>
      <c r="E859" s="190">
        <f t="shared" ca="1" si="96"/>
        <v>1.7013420782471388E-2</v>
      </c>
      <c r="F859" s="189" t="b">
        <f t="shared" ca="1" si="97"/>
        <v>1</v>
      </c>
      <c r="G859" s="188">
        <f ca="1">IF(F859,IFERROR(((('Data Schema'!$C$3*(1+B859)^1)*((1-$I$4-$I$5+E859)*(1-$I$10)+$I$6-$I$11)-('Data Schema'!$C$3*(1+B859)^1-'Data Schema'!$C$3)*$I$12)/(1+C859)^1+(('Data Schema'!$C$3*(1+B859)^2)*((1-$I$4-$I$5+E859)*(1-$I$10)+$I$6-$I$11)-('Data Schema'!$C$3*(1+B859)^2-'Data Schema'!$C$3*(1+B859)^1)*$I$12)/(1+C859)^2+(('Data Schema'!$C$3*(1+B859)^3)*((1-$I$4-$I$5+E859)*(1-$I$10)+$I$6-$I$11)-('Data Schema'!$C$3*(1+B859)^3-'Data Schema'!$C$3*(1+B859)^2)*$I$12)/(1+C859)^3+(('Data Schema'!$C$3*(1+B859)^4)*((1-$I$4-$I$5+E859)*(1-$I$10)+$I$6-$I$11)-('Data Schema'!$C$3*(1+B859)^4-'Data Schema'!$C$3*(1+B859)^3)*$I$12)/(1+C859)^4+(('Data Schema'!$C$3*(1+B859)^5)*((1-$I$4-$I$5+E859)*(1-$I$10)+$I$6-$I$11)-('Data Schema'!$C$3*(1+B859)^5-'Data Schema'!$C$3*(1+B859)^4)*$I$12)/(1+C859)^5+((('Data Schema'!$C$3*(1+B859)^5)*((1-$I$4-$I$5+E859)*(1-$I$10)+$I$6-$I$11)-('Data Schema'!$C$3*(1+B859)^5-'Data Schema'!$C$3*(1+B859)^4)*$I$12)*(1+D859)/(C859-D859))/(1+C859)^5-'Data Schema'!$C$31+'Data Schema'!$C$21)/'Data Schema'!$B$17,0),"INVALID")</f>
        <v>66.594850601749201</v>
      </c>
      <c r="H859" s="189" t="b">
        <f t="shared" ca="1" si="98"/>
        <v>1</v>
      </c>
      <c r="I859" s="188">
        <f t="shared" ca="1" si="99"/>
        <v>66.594850601749201</v>
      </c>
      <c r="J859" s="349">
        <f t="shared" ca="1" si="92"/>
        <v>66.594850601749201</v>
      </c>
    </row>
    <row r="860" spans="1:10">
      <c r="A860" s="185">
        <v>681</v>
      </c>
      <c r="B860" s="190">
        <f t="shared" ca="1" si="93"/>
        <v>0.10972915508433465</v>
      </c>
      <c r="C860" s="190">
        <f t="shared" ca="1" si="94"/>
        <v>6.1017971657880254E-2</v>
      </c>
      <c r="D860" s="190">
        <f t="shared" ca="1" si="95"/>
        <v>3.4905198684123409E-2</v>
      </c>
      <c r="E860" s="190">
        <f t="shared" ca="1" si="96"/>
        <v>3.1110542456070613E-2</v>
      </c>
      <c r="F860" s="189" t="b">
        <f t="shared" ca="1" si="97"/>
        <v>1</v>
      </c>
      <c r="G860" s="188">
        <f ca="1">IF(F860,IFERROR(((('Data Schema'!$C$3*(1+B860)^1)*((1-$I$4-$I$5+E860)*(1-$I$10)+$I$6-$I$11)-('Data Schema'!$C$3*(1+B860)^1-'Data Schema'!$C$3)*$I$12)/(1+C860)^1+(('Data Schema'!$C$3*(1+B860)^2)*((1-$I$4-$I$5+E860)*(1-$I$10)+$I$6-$I$11)-('Data Schema'!$C$3*(1+B860)^2-'Data Schema'!$C$3*(1+B860)^1)*$I$12)/(1+C860)^2+(('Data Schema'!$C$3*(1+B860)^3)*((1-$I$4-$I$5+E860)*(1-$I$10)+$I$6-$I$11)-('Data Schema'!$C$3*(1+B860)^3-'Data Schema'!$C$3*(1+B860)^2)*$I$12)/(1+C860)^3+(('Data Schema'!$C$3*(1+B860)^4)*((1-$I$4-$I$5+E860)*(1-$I$10)+$I$6-$I$11)-('Data Schema'!$C$3*(1+B860)^4-'Data Schema'!$C$3*(1+B860)^3)*$I$12)/(1+C860)^4+(('Data Schema'!$C$3*(1+B860)^5)*((1-$I$4-$I$5+E860)*(1-$I$10)+$I$6-$I$11)-('Data Schema'!$C$3*(1+B860)^5-'Data Schema'!$C$3*(1+B860)^4)*$I$12)/(1+C860)^5+((('Data Schema'!$C$3*(1+B860)^5)*((1-$I$4-$I$5+E860)*(1-$I$10)+$I$6-$I$11)-('Data Schema'!$C$3*(1+B860)^5-'Data Schema'!$C$3*(1+B860)^4)*$I$12)*(1+D860)/(C860-D860))/(1+C860)^5-'Data Schema'!$C$31+'Data Schema'!$C$21)/'Data Schema'!$B$17,0),"INVALID")</f>
        <v>232.08559813135139</v>
      </c>
      <c r="H860" s="189" t="b">
        <f t="shared" ca="1" si="98"/>
        <v>1</v>
      </c>
      <c r="I860" s="188">
        <f t="shared" ca="1" si="99"/>
        <v>232.08559813135139</v>
      </c>
      <c r="J860" s="349" t="str">
        <f t="shared" ca="1" si="92"/>
        <v/>
      </c>
    </row>
    <row r="861" spans="1:10">
      <c r="A861" s="184">
        <v>682</v>
      </c>
      <c r="B861" s="190">
        <f t="shared" ca="1" si="93"/>
        <v>9.0127584043515618E-2</v>
      </c>
      <c r="C861" s="190">
        <f t="shared" ca="1" si="94"/>
        <v>5.2329408316885088E-2</v>
      </c>
      <c r="D861" s="190">
        <f t="shared" ca="1" si="95"/>
        <v>2.4453411073518578E-2</v>
      </c>
      <c r="E861" s="190">
        <f t="shared" ca="1" si="96"/>
        <v>-1.5792709088555471E-3</v>
      </c>
      <c r="F861" s="189" t="b">
        <f t="shared" ca="1" si="97"/>
        <v>1</v>
      </c>
      <c r="G861" s="188">
        <f ca="1">IF(F861,IFERROR(((('Data Schema'!$C$3*(1+B861)^1)*((1-$I$4-$I$5+E861)*(1-$I$10)+$I$6-$I$11)-('Data Schema'!$C$3*(1+B861)^1-'Data Schema'!$C$3)*$I$12)/(1+C861)^1+(('Data Schema'!$C$3*(1+B861)^2)*((1-$I$4-$I$5+E861)*(1-$I$10)+$I$6-$I$11)-('Data Schema'!$C$3*(1+B861)^2-'Data Schema'!$C$3*(1+B861)^1)*$I$12)/(1+C861)^2+(('Data Schema'!$C$3*(1+B861)^3)*((1-$I$4-$I$5+E861)*(1-$I$10)+$I$6-$I$11)-('Data Schema'!$C$3*(1+B861)^3-'Data Schema'!$C$3*(1+B861)^2)*$I$12)/(1+C861)^3+(('Data Schema'!$C$3*(1+B861)^4)*((1-$I$4-$I$5+E861)*(1-$I$10)+$I$6-$I$11)-('Data Schema'!$C$3*(1+B861)^4-'Data Schema'!$C$3*(1+B861)^3)*$I$12)/(1+C861)^4+(('Data Schema'!$C$3*(1+B861)^5)*((1-$I$4-$I$5+E861)*(1-$I$10)+$I$6-$I$11)-('Data Schema'!$C$3*(1+B861)^5-'Data Schema'!$C$3*(1+B861)^4)*$I$12)/(1+C861)^5+((('Data Schema'!$C$3*(1+B861)^5)*((1-$I$4-$I$5+E861)*(1-$I$10)+$I$6-$I$11)-('Data Schema'!$C$3*(1+B861)^5-'Data Schema'!$C$3*(1+B861)^4)*$I$12)*(1+D861)/(C861-D861))/(1+C861)^5-'Data Schema'!$C$31+'Data Schema'!$C$21)/'Data Schema'!$B$17,0),"INVALID")</f>
        <v>100.19942710626336</v>
      </c>
      <c r="H861" s="189" t="b">
        <f t="shared" ca="1" si="98"/>
        <v>1</v>
      </c>
      <c r="I861" s="188">
        <f t="shared" ca="1" si="99"/>
        <v>100.19942710626336</v>
      </c>
      <c r="J861" s="349">
        <f t="shared" ca="1" si="92"/>
        <v>100.19942710626336</v>
      </c>
    </row>
    <row r="862" spans="1:10">
      <c r="A862" s="185">
        <v>683</v>
      </c>
      <c r="B862" s="190">
        <f t="shared" ca="1" si="93"/>
        <v>0.10788190841361005</v>
      </c>
      <c r="C862" s="190">
        <f t="shared" ca="1" si="94"/>
        <v>5.1105523872714463E-2</v>
      </c>
      <c r="D862" s="190">
        <f t="shared" ca="1" si="95"/>
        <v>1.6807668551004837E-2</v>
      </c>
      <c r="E862" s="190">
        <f t="shared" ca="1" si="96"/>
        <v>2.0781428362138449E-2</v>
      </c>
      <c r="F862" s="189" t="b">
        <f t="shared" ca="1" si="97"/>
        <v>1</v>
      </c>
      <c r="G862" s="188">
        <f ca="1">IF(F862,IFERROR(((('Data Schema'!$C$3*(1+B862)^1)*((1-$I$4-$I$5+E862)*(1-$I$10)+$I$6-$I$11)-('Data Schema'!$C$3*(1+B862)^1-'Data Schema'!$C$3)*$I$12)/(1+C862)^1+(('Data Schema'!$C$3*(1+B862)^2)*((1-$I$4-$I$5+E862)*(1-$I$10)+$I$6-$I$11)-('Data Schema'!$C$3*(1+B862)^2-'Data Schema'!$C$3*(1+B862)^1)*$I$12)/(1+C862)^2+(('Data Schema'!$C$3*(1+B862)^3)*((1-$I$4-$I$5+E862)*(1-$I$10)+$I$6-$I$11)-('Data Schema'!$C$3*(1+B862)^3-'Data Schema'!$C$3*(1+B862)^2)*$I$12)/(1+C862)^3+(('Data Schema'!$C$3*(1+B862)^4)*((1-$I$4-$I$5+E862)*(1-$I$10)+$I$6-$I$11)-('Data Schema'!$C$3*(1+B862)^4-'Data Schema'!$C$3*(1+B862)^3)*$I$12)/(1+C862)^4+(('Data Schema'!$C$3*(1+B862)^5)*((1-$I$4-$I$5+E862)*(1-$I$10)+$I$6-$I$11)-('Data Schema'!$C$3*(1+B862)^5-'Data Schema'!$C$3*(1+B862)^4)*$I$12)/(1+C862)^5+((('Data Schema'!$C$3*(1+B862)^5)*((1-$I$4-$I$5+E862)*(1-$I$10)+$I$6-$I$11)-('Data Schema'!$C$3*(1+B862)^5-'Data Schema'!$C$3*(1+B862)^4)*$I$12)*(1+D862)/(C862-D862))/(1+C862)^5-'Data Schema'!$C$31+'Data Schema'!$C$21)/'Data Schema'!$B$17,0),"INVALID")</f>
        <v>154.50404721316156</v>
      </c>
      <c r="H862" s="189" t="b">
        <f t="shared" ca="1" si="98"/>
        <v>1</v>
      </c>
      <c r="I862" s="188">
        <f t="shared" ca="1" si="99"/>
        <v>154.50404721316156</v>
      </c>
      <c r="J862" s="349">
        <f t="shared" ca="1" si="92"/>
        <v>154.50404721316156</v>
      </c>
    </row>
    <row r="863" spans="1:10">
      <c r="A863" s="184">
        <v>684</v>
      </c>
      <c r="B863" s="190">
        <f t="shared" ca="1" si="93"/>
        <v>9.4528669068372886E-2</v>
      </c>
      <c r="C863" s="190">
        <f t="shared" ca="1" si="94"/>
        <v>6.2669495450160081E-2</v>
      </c>
      <c r="D863" s="190">
        <f t="shared" ca="1" si="95"/>
        <v>2.1848176265398971E-2</v>
      </c>
      <c r="E863" s="190">
        <f t="shared" ca="1" si="96"/>
        <v>9.5549143870584329E-4</v>
      </c>
      <c r="F863" s="189" t="b">
        <f t="shared" ca="1" si="97"/>
        <v>1</v>
      </c>
      <c r="G863" s="188">
        <f ca="1">IF(F863,IFERROR(((('Data Schema'!$C$3*(1+B863)^1)*((1-$I$4-$I$5+E863)*(1-$I$10)+$I$6-$I$11)-('Data Schema'!$C$3*(1+B863)^1-'Data Schema'!$C$3)*$I$12)/(1+C863)^1+(('Data Schema'!$C$3*(1+B863)^2)*((1-$I$4-$I$5+E863)*(1-$I$10)+$I$6-$I$11)-('Data Schema'!$C$3*(1+B863)^2-'Data Schema'!$C$3*(1+B863)^1)*$I$12)/(1+C863)^2+(('Data Schema'!$C$3*(1+B863)^3)*((1-$I$4-$I$5+E863)*(1-$I$10)+$I$6-$I$11)-('Data Schema'!$C$3*(1+B863)^3-'Data Schema'!$C$3*(1+B863)^2)*$I$12)/(1+C863)^3+(('Data Schema'!$C$3*(1+B863)^4)*((1-$I$4-$I$5+E863)*(1-$I$10)+$I$6-$I$11)-('Data Schema'!$C$3*(1+B863)^4-'Data Schema'!$C$3*(1+B863)^3)*$I$12)/(1+C863)^4+(('Data Schema'!$C$3*(1+B863)^5)*((1-$I$4-$I$5+E863)*(1-$I$10)+$I$6-$I$11)-('Data Schema'!$C$3*(1+B863)^5-'Data Schema'!$C$3*(1+B863)^4)*$I$12)/(1+C863)^5+((('Data Schema'!$C$3*(1+B863)^5)*((1-$I$4-$I$5+E863)*(1-$I$10)+$I$6-$I$11)-('Data Schema'!$C$3*(1+B863)^5-'Data Schema'!$C$3*(1+B863)^4)*$I$12)*(1+D863)/(C863-D863))/(1+C863)^5-'Data Schema'!$C$31+'Data Schema'!$C$21)/'Data Schema'!$B$17,0),"INVALID")</f>
        <v>73.415344845028386</v>
      </c>
      <c r="H863" s="189" t="b">
        <f t="shared" ca="1" si="98"/>
        <v>1</v>
      </c>
      <c r="I863" s="188">
        <f t="shared" ca="1" si="99"/>
        <v>73.415344845028386</v>
      </c>
      <c r="J863" s="349">
        <f t="shared" ca="1" si="92"/>
        <v>73.415344845028386</v>
      </c>
    </row>
    <row r="864" spans="1:10">
      <c r="A864" s="185">
        <v>685</v>
      </c>
      <c r="B864" s="190">
        <f t="shared" ca="1" si="93"/>
        <v>0.1003220696264516</v>
      </c>
      <c r="C864" s="190">
        <f t="shared" ca="1" si="94"/>
        <v>6.2301654540631711E-2</v>
      </c>
      <c r="D864" s="190">
        <f t="shared" ca="1" si="95"/>
        <v>2.6380261031645591E-2</v>
      </c>
      <c r="E864" s="190">
        <f t="shared" ca="1" si="96"/>
        <v>-3.0659336452689167E-3</v>
      </c>
      <c r="F864" s="189" t="b">
        <f t="shared" ca="1" si="97"/>
        <v>1</v>
      </c>
      <c r="G864" s="188">
        <f ca="1">IF(F864,IFERROR(((('Data Schema'!$C$3*(1+B864)^1)*((1-$I$4-$I$5+E864)*(1-$I$10)+$I$6-$I$11)-('Data Schema'!$C$3*(1+B864)^1-'Data Schema'!$C$3)*$I$12)/(1+C864)^1+(('Data Schema'!$C$3*(1+B864)^2)*((1-$I$4-$I$5+E864)*(1-$I$10)+$I$6-$I$11)-('Data Schema'!$C$3*(1+B864)^2-'Data Schema'!$C$3*(1+B864)^1)*$I$12)/(1+C864)^2+(('Data Schema'!$C$3*(1+B864)^3)*((1-$I$4-$I$5+E864)*(1-$I$10)+$I$6-$I$11)-('Data Schema'!$C$3*(1+B864)^3-'Data Schema'!$C$3*(1+B864)^2)*$I$12)/(1+C864)^3+(('Data Schema'!$C$3*(1+B864)^4)*((1-$I$4-$I$5+E864)*(1-$I$10)+$I$6-$I$11)-('Data Schema'!$C$3*(1+B864)^4-'Data Schema'!$C$3*(1+B864)^3)*$I$12)/(1+C864)^4+(('Data Schema'!$C$3*(1+B864)^5)*((1-$I$4-$I$5+E864)*(1-$I$10)+$I$6-$I$11)-('Data Schema'!$C$3*(1+B864)^5-'Data Schema'!$C$3*(1+B864)^4)*$I$12)/(1+C864)^5+((('Data Schema'!$C$3*(1+B864)^5)*((1-$I$4-$I$5+E864)*(1-$I$10)+$I$6-$I$11)-('Data Schema'!$C$3*(1+B864)^5-'Data Schema'!$C$3*(1+B864)^4)*$I$12)*(1+D864)/(C864-D864))/(1+C864)^5-'Data Schema'!$C$31+'Data Schema'!$C$21)/'Data Schema'!$B$17,0),"INVALID")</f>
        <v>74.450510145191302</v>
      </c>
      <c r="H864" s="189" t="b">
        <f t="shared" ca="1" si="98"/>
        <v>1</v>
      </c>
      <c r="I864" s="188">
        <f t="shared" ca="1" si="99"/>
        <v>74.450510145191302</v>
      </c>
      <c r="J864" s="349">
        <f t="shared" ca="1" si="92"/>
        <v>74.450510145191302</v>
      </c>
    </row>
    <row r="865" spans="1:10">
      <c r="A865" s="184">
        <v>686</v>
      </c>
      <c r="B865" s="190">
        <f t="shared" ca="1" si="93"/>
        <v>0.10035420032162948</v>
      </c>
      <c r="C865" s="190">
        <f t="shared" ca="1" si="94"/>
        <v>7.9131454880788654E-2</v>
      </c>
      <c r="D865" s="190">
        <f t="shared" ca="1" si="95"/>
        <v>2.9591482533399278E-2</v>
      </c>
      <c r="E865" s="190">
        <f t="shared" ca="1" si="96"/>
        <v>3.1446954266921637E-3</v>
      </c>
      <c r="F865" s="189" t="b">
        <f t="shared" ca="1" si="97"/>
        <v>1</v>
      </c>
      <c r="G865" s="188">
        <f ca="1">IF(F865,IFERROR(((('Data Schema'!$C$3*(1+B865)^1)*((1-$I$4-$I$5+E865)*(1-$I$10)+$I$6-$I$11)-('Data Schema'!$C$3*(1+B865)^1-'Data Schema'!$C$3)*$I$12)/(1+C865)^1+(('Data Schema'!$C$3*(1+B865)^2)*((1-$I$4-$I$5+E865)*(1-$I$10)+$I$6-$I$11)-('Data Schema'!$C$3*(1+B865)^2-'Data Schema'!$C$3*(1+B865)^1)*$I$12)/(1+C865)^2+(('Data Schema'!$C$3*(1+B865)^3)*((1-$I$4-$I$5+E865)*(1-$I$10)+$I$6-$I$11)-('Data Schema'!$C$3*(1+B865)^3-'Data Schema'!$C$3*(1+B865)^2)*$I$12)/(1+C865)^3+(('Data Schema'!$C$3*(1+B865)^4)*((1-$I$4-$I$5+E865)*(1-$I$10)+$I$6-$I$11)-('Data Schema'!$C$3*(1+B865)^4-'Data Schema'!$C$3*(1+B865)^3)*$I$12)/(1+C865)^4+(('Data Schema'!$C$3*(1+B865)^5)*((1-$I$4-$I$5+E865)*(1-$I$10)+$I$6-$I$11)-('Data Schema'!$C$3*(1+B865)^5-'Data Schema'!$C$3*(1+B865)^4)*$I$12)/(1+C865)^5+((('Data Schema'!$C$3*(1+B865)^5)*((1-$I$4-$I$5+E865)*(1-$I$10)+$I$6-$I$11)-('Data Schema'!$C$3*(1+B865)^5-'Data Schema'!$C$3*(1+B865)^4)*$I$12)*(1+D865)/(C865-D865))/(1+C865)^5-'Data Schema'!$C$31+'Data Schema'!$C$21)/'Data Schema'!$B$17,0),"INVALID")</f>
        <v>62.657640022100253</v>
      </c>
      <c r="H865" s="189" t="b">
        <f t="shared" ca="1" si="98"/>
        <v>1</v>
      </c>
      <c r="I865" s="188">
        <f t="shared" ca="1" si="99"/>
        <v>62.657640022100253</v>
      </c>
      <c r="J865" s="349">
        <f t="shared" ca="1" si="92"/>
        <v>62.657640022100253</v>
      </c>
    </row>
    <row r="866" spans="1:10">
      <c r="A866" s="185">
        <v>687</v>
      </c>
      <c r="B866" s="190">
        <f t="shared" ca="1" si="93"/>
        <v>0.10031287171991699</v>
      </c>
      <c r="C866" s="190">
        <f t="shared" ca="1" si="94"/>
        <v>6.1136554387302047E-2</v>
      </c>
      <c r="D866" s="190">
        <f t="shared" ca="1" si="95"/>
        <v>2.5479217731465373E-2</v>
      </c>
      <c r="E866" s="190">
        <f t="shared" ca="1" si="96"/>
        <v>1.1439561139162587E-2</v>
      </c>
      <c r="F866" s="189" t="b">
        <f t="shared" ca="1" si="97"/>
        <v>1</v>
      </c>
      <c r="G866" s="188">
        <f ca="1">IF(F866,IFERROR(((('Data Schema'!$C$3*(1+B866)^1)*((1-$I$4-$I$5+E866)*(1-$I$10)+$I$6-$I$11)-('Data Schema'!$C$3*(1+B866)^1-'Data Schema'!$C$3)*$I$12)/(1+C866)^1+(('Data Schema'!$C$3*(1+B866)^2)*((1-$I$4-$I$5+E866)*(1-$I$10)+$I$6-$I$11)-('Data Schema'!$C$3*(1+B866)^2-'Data Schema'!$C$3*(1+B866)^1)*$I$12)/(1+C866)^2+(('Data Schema'!$C$3*(1+B866)^3)*((1-$I$4-$I$5+E866)*(1-$I$10)+$I$6-$I$11)-('Data Schema'!$C$3*(1+B866)^3-'Data Schema'!$C$3*(1+B866)^2)*$I$12)/(1+C866)^3+(('Data Schema'!$C$3*(1+B866)^4)*((1-$I$4-$I$5+E866)*(1-$I$10)+$I$6-$I$11)-('Data Schema'!$C$3*(1+B866)^4-'Data Schema'!$C$3*(1+B866)^3)*$I$12)/(1+C866)^4+(('Data Schema'!$C$3*(1+B866)^5)*((1-$I$4-$I$5+E866)*(1-$I$10)+$I$6-$I$11)-('Data Schema'!$C$3*(1+B866)^5-'Data Schema'!$C$3*(1+B866)^4)*$I$12)/(1+C866)^5+((('Data Schema'!$C$3*(1+B866)^5)*((1-$I$4-$I$5+E866)*(1-$I$10)+$I$6-$I$11)-('Data Schema'!$C$3*(1+B866)^5-'Data Schema'!$C$3*(1+B866)^4)*$I$12)*(1+D866)/(C866-D866))/(1+C866)^5-'Data Schema'!$C$31+'Data Schema'!$C$21)/'Data Schema'!$B$17,0),"INVALID")</f>
        <v>114.07236299709868</v>
      </c>
      <c r="H866" s="189" t="b">
        <f t="shared" ca="1" si="98"/>
        <v>1</v>
      </c>
      <c r="I866" s="188">
        <f t="shared" ca="1" si="99"/>
        <v>114.07236299709868</v>
      </c>
      <c r="J866" s="349">
        <f t="shared" ca="1" si="92"/>
        <v>114.07236299709868</v>
      </c>
    </row>
    <row r="867" spans="1:10">
      <c r="A867" s="184">
        <v>688</v>
      </c>
      <c r="B867" s="190">
        <f t="shared" ca="1" si="93"/>
        <v>0.1091568278908501</v>
      </c>
      <c r="C867" s="190">
        <f t="shared" ca="1" si="94"/>
        <v>7.8772020402766679E-2</v>
      </c>
      <c r="D867" s="190">
        <f t="shared" ca="1" si="95"/>
        <v>2.8808628213767215E-2</v>
      </c>
      <c r="E867" s="190">
        <f t="shared" ca="1" si="96"/>
        <v>3.292236438707629E-2</v>
      </c>
      <c r="F867" s="189" t="b">
        <f t="shared" ca="1" si="97"/>
        <v>1</v>
      </c>
      <c r="G867" s="188">
        <f ca="1">IF(F867,IFERROR(((('Data Schema'!$C$3*(1+B867)^1)*((1-$I$4-$I$5+E867)*(1-$I$10)+$I$6-$I$11)-('Data Schema'!$C$3*(1+B867)^1-'Data Schema'!$C$3)*$I$12)/(1+C867)^1+(('Data Schema'!$C$3*(1+B867)^2)*((1-$I$4-$I$5+E867)*(1-$I$10)+$I$6-$I$11)-('Data Schema'!$C$3*(1+B867)^2-'Data Schema'!$C$3*(1+B867)^1)*$I$12)/(1+C867)^2+(('Data Schema'!$C$3*(1+B867)^3)*((1-$I$4-$I$5+E867)*(1-$I$10)+$I$6-$I$11)-('Data Schema'!$C$3*(1+B867)^3-'Data Schema'!$C$3*(1+B867)^2)*$I$12)/(1+C867)^3+(('Data Schema'!$C$3*(1+B867)^4)*((1-$I$4-$I$5+E867)*(1-$I$10)+$I$6-$I$11)-('Data Schema'!$C$3*(1+B867)^4-'Data Schema'!$C$3*(1+B867)^3)*$I$12)/(1+C867)^4+(('Data Schema'!$C$3*(1+B867)^5)*((1-$I$4-$I$5+E867)*(1-$I$10)+$I$6-$I$11)-('Data Schema'!$C$3*(1+B867)^5-'Data Schema'!$C$3*(1+B867)^4)*$I$12)/(1+C867)^5+((('Data Schema'!$C$3*(1+B867)^5)*((1-$I$4-$I$5+E867)*(1-$I$10)+$I$6-$I$11)-('Data Schema'!$C$3*(1+B867)^5-'Data Schema'!$C$3*(1+B867)^4)*$I$12)*(1+D867)/(C867-D867))/(1+C867)^5-'Data Schema'!$C$31+'Data Schema'!$C$21)/'Data Schema'!$B$17,0),"INVALID")</f>
        <v>122.24596931016364</v>
      </c>
      <c r="H867" s="189" t="b">
        <f t="shared" ca="1" si="98"/>
        <v>1</v>
      </c>
      <c r="I867" s="188">
        <f t="shared" ca="1" si="99"/>
        <v>122.24596931016364</v>
      </c>
      <c r="J867" s="349">
        <f t="shared" ca="1" si="92"/>
        <v>122.24596931016364</v>
      </c>
    </row>
    <row r="868" spans="1:10">
      <c r="A868" s="185">
        <v>689</v>
      </c>
      <c r="B868" s="190">
        <f t="shared" ca="1" si="93"/>
        <v>8.7770916846401523E-2</v>
      </c>
      <c r="C868" s="190">
        <f t="shared" ca="1" si="94"/>
        <v>7.0040719231069415E-2</v>
      </c>
      <c r="D868" s="190">
        <f t="shared" ca="1" si="95"/>
        <v>2.8725921929959288E-2</v>
      </c>
      <c r="E868" s="190">
        <f t="shared" ca="1" si="96"/>
        <v>-3.480879471439291E-2</v>
      </c>
      <c r="F868" s="189" t="b">
        <f t="shared" ca="1" si="97"/>
        <v>1</v>
      </c>
      <c r="G868" s="188">
        <f ca="1">IF(F868,IFERROR(((('Data Schema'!$C$3*(1+B868)^1)*((1-$I$4-$I$5+E868)*(1-$I$10)+$I$6-$I$11)-('Data Schema'!$C$3*(1+B868)^1-'Data Schema'!$C$3)*$I$12)/(1+C868)^1+(('Data Schema'!$C$3*(1+B868)^2)*((1-$I$4-$I$5+E868)*(1-$I$10)+$I$6-$I$11)-('Data Schema'!$C$3*(1+B868)^2-'Data Schema'!$C$3*(1+B868)^1)*$I$12)/(1+C868)^2+(('Data Schema'!$C$3*(1+B868)^3)*((1-$I$4-$I$5+E868)*(1-$I$10)+$I$6-$I$11)-('Data Schema'!$C$3*(1+B868)^3-'Data Schema'!$C$3*(1+B868)^2)*$I$12)/(1+C868)^3+(('Data Schema'!$C$3*(1+B868)^4)*((1-$I$4-$I$5+E868)*(1-$I$10)+$I$6-$I$11)-('Data Schema'!$C$3*(1+B868)^4-'Data Schema'!$C$3*(1+B868)^3)*$I$12)/(1+C868)^4+(('Data Schema'!$C$3*(1+B868)^5)*((1-$I$4-$I$5+E868)*(1-$I$10)+$I$6-$I$11)-('Data Schema'!$C$3*(1+B868)^5-'Data Schema'!$C$3*(1+B868)^4)*$I$12)/(1+C868)^5+((('Data Schema'!$C$3*(1+B868)^5)*((1-$I$4-$I$5+E868)*(1-$I$10)+$I$6-$I$11)-('Data Schema'!$C$3*(1+B868)^5-'Data Schema'!$C$3*(1+B868)^4)*$I$12)*(1+D868)/(C868-D868))/(1+C868)^5-'Data Schema'!$C$31+'Data Schema'!$C$21)/'Data Schema'!$B$17,0),"INVALID")</f>
        <v>-8.3767717996628885</v>
      </c>
      <c r="H868" s="189" t="b">
        <f t="shared" ca="1" si="98"/>
        <v>0</v>
      </c>
      <c r="I868" s="188" t="str">
        <f t="shared" ca="1" si="99"/>
        <v/>
      </c>
      <c r="J868" s="349" t="str">
        <f t="shared" ca="1" si="92"/>
        <v/>
      </c>
    </row>
    <row r="869" spans="1:10">
      <c r="A869" s="184">
        <v>690</v>
      </c>
      <c r="B869" s="190">
        <f t="shared" ca="1" si="93"/>
        <v>4.8281021331104658E-2</v>
      </c>
      <c r="C869" s="190">
        <f t="shared" ca="1" si="94"/>
        <v>5.7151455774599486E-2</v>
      </c>
      <c r="D869" s="190">
        <f t="shared" ca="1" si="95"/>
        <v>2.7622438958661451E-2</v>
      </c>
      <c r="E869" s="190">
        <f t="shared" ca="1" si="96"/>
        <v>2.4717399573132754E-2</v>
      </c>
      <c r="F869" s="189" t="b">
        <f t="shared" ca="1" si="97"/>
        <v>1</v>
      </c>
      <c r="G869" s="188">
        <f ca="1">IF(F869,IFERROR(((('Data Schema'!$C$3*(1+B869)^1)*((1-$I$4-$I$5+E869)*(1-$I$10)+$I$6-$I$11)-('Data Schema'!$C$3*(1+B869)^1-'Data Schema'!$C$3)*$I$12)/(1+C869)^1+(('Data Schema'!$C$3*(1+B869)^2)*((1-$I$4-$I$5+E869)*(1-$I$10)+$I$6-$I$11)-('Data Schema'!$C$3*(1+B869)^2-'Data Schema'!$C$3*(1+B869)^1)*$I$12)/(1+C869)^2+(('Data Schema'!$C$3*(1+B869)^3)*((1-$I$4-$I$5+E869)*(1-$I$10)+$I$6-$I$11)-('Data Schema'!$C$3*(1+B869)^3-'Data Schema'!$C$3*(1+B869)^2)*$I$12)/(1+C869)^3+(('Data Schema'!$C$3*(1+B869)^4)*((1-$I$4-$I$5+E869)*(1-$I$10)+$I$6-$I$11)-('Data Schema'!$C$3*(1+B869)^4-'Data Schema'!$C$3*(1+B869)^3)*$I$12)/(1+C869)^4+(('Data Schema'!$C$3*(1+B869)^5)*((1-$I$4-$I$5+E869)*(1-$I$10)+$I$6-$I$11)-('Data Schema'!$C$3*(1+B869)^5-'Data Schema'!$C$3*(1+B869)^4)*$I$12)/(1+C869)^5+((('Data Schema'!$C$3*(1+B869)^5)*((1-$I$4-$I$5+E869)*(1-$I$10)+$I$6-$I$11)-('Data Schema'!$C$3*(1+B869)^5-'Data Schema'!$C$3*(1+B869)^4)*$I$12)*(1+D869)/(C869-D869))/(1+C869)^5-'Data Schema'!$C$31+'Data Schema'!$C$21)/'Data Schema'!$B$17,0),"INVALID")</f>
        <v>145.50243349881046</v>
      </c>
      <c r="H869" s="189" t="b">
        <f t="shared" ca="1" si="98"/>
        <v>1</v>
      </c>
      <c r="I869" s="188">
        <f t="shared" ca="1" si="99"/>
        <v>145.50243349881046</v>
      </c>
      <c r="J869" s="349">
        <f t="shared" ca="1" si="92"/>
        <v>145.50243349881046</v>
      </c>
    </row>
    <row r="870" spans="1:10">
      <c r="A870" s="185">
        <v>691</v>
      </c>
      <c r="B870" s="190">
        <f t="shared" ca="1" si="93"/>
        <v>7.967855990167147E-2</v>
      </c>
      <c r="C870" s="190">
        <f t="shared" ca="1" si="94"/>
        <v>7.4820568884970559E-2</v>
      </c>
      <c r="D870" s="190">
        <f t="shared" ca="1" si="95"/>
        <v>2.5409741397744112E-2</v>
      </c>
      <c r="E870" s="190">
        <f t="shared" ca="1" si="96"/>
        <v>1.8733727802520736E-2</v>
      </c>
      <c r="F870" s="189" t="b">
        <f t="shared" ca="1" si="97"/>
        <v>1</v>
      </c>
      <c r="G870" s="188">
        <f ca="1">IF(F870,IFERROR(((('Data Schema'!$C$3*(1+B870)^1)*((1-$I$4-$I$5+E870)*(1-$I$10)+$I$6-$I$11)-('Data Schema'!$C$3*(1+B870)^1-'Data Schema'!$C$3)*$I$12)/(1+C870)^1+(('Data Schema'!$C$3*(1+B870)^2)*((1-$I$4-$I$5+E870)*(1-$I$10)+$I$6-$I$11)-('Data Schema'!$C$3*(1+B870)^2-'Data Schema'!$C$3*(1+B870)^1)*$I$12)/(1+C870)^2+(('Data Schema'!$C$3*(1+B870)^3)*((1-$I$4-$I$5+E870)*(1-$I$10)+$I$6-$I$11)-('Data Schema'!$C$3*(1+B870)^3-'Data Schema'!$C$3*(1+B870)^2)*$I$12)/(1+C870)^3+(('Data Schema'!$C$3*(1+B870)^4)*((1-$I$4-$I$5+E870)*(1-$I$10)+$I$6-$I$11)-('Data Schema'!$C$3*(1+B870)^4-'Data Schema'!$C$3*(1+B870)^3)*$I$12)/(1+C870)^4+(('Data Schema'!$C$3*(1+B870)^5)*((1-$I$4-$I$5+E870)*(1-$I$10)+$I$6-$I$11)-('Data Schema'!$C$3*(1+B870)^5-'Data Schema'!$C$3*(1+B870)^4)*$I$12)/(1+C870)^5+((('Data Schema'!$C$3*(1+B870)^5)*((1-$I$4-$I$5+E870)*(1-$I$10)+$I$6-$I$11)-('Data Schema'!$C$3*(1+B870)^5-'Data Schema'!$C$3*(1+B870)^4)*$I$12)*(1+D870)/(C870-D870))/(1+C870)^5-'Data Schema'!$C$31+'Data Schema'!$C$21)/'Data Schema'!$B$17,0),"INVALID")</f>
        <v>86.065767274788371</v>
      </c>
      <c r="H870" s="189" t="b">
        <f t="shared" ca="1" si="98"/>
        <v>1</v>
      </c>
      <c r="I870" s="188">
        <f t="shared" ca="1" si="99"/>
        <v>86.065767274788371</v>
      </c>
      <c r="J870" s="349">
        <f t="shared" ca="1" si="92"/>
        <v>86.065767274788371</v>
      </c>
    </row>
    <row r="871" spans="1:10">
      <c r="A871" s="184">
        <v>692</v>
      </c>
      <c r="B871" s="190">
        <f t="shared" ca="1" si="93"/>
        <v>7.0960219694235951E-2</v>
      </c>
      <c r="C871" s="190">
        <f t="shared" ca="1" si="94"/>
        <v>5.377726341820975E-2</v>
      </c>
      <c r="D871" s="190">
        <f t="shared" ca="1" si="95"/>
        <v>2.5993057173870258E-2</v>
      </c>
      <c r="E871" s="190">
        <f t="shared" ca="1" si="96"/>
        <v>-1.0262505200194028E-2</v>
      </c>
      <c r="F871" s="189" t="b">
        <f t="shared" ca="1" si="97"/>
        <v>1</v>
      </c>
      <c r="G871" s="188">
        <f ca="1">IF(F871,IFERROR(((('Data Schema'!$C$3*(1+B871)^1)*((1-$I$4-$I$5+E871)*(1-$I$10)+$I$6-$I$11)-('Data Schema'!$C$3*(1+B871)^1-'Data Schema'!$C$3)*$I$12)/(1+C871)^1+(('Data Schema'!$C$3*(1+B871)^2)*((1-$I$4-$I$5+E871)*(1-$I$10)+$I$6-$I$11)-('Data Schema'!$C$3*(1+B871)^2-'Data Schema'!$C$3*(1+B871)^1)*$I$12)/(1+C871)^2+(('Data Schema'!$C$3*(1+B871)^3)*((1-$I$4-$I$5+E871)*(1-$I$10)+$I$6-$I$11)-('Data Schema'!$C$3*(1+B871)^3-'Data Schema'!$C$3*(1+B871)^2)*$I$12)/(1+C871)^3+(('Data Schema'!$C$3*(1+B871)^4)*((1-$I$4-$I$5+E871)*(1-$I$10)+$I$6-$I$11)-('Data Schema'!$C$3*(1+B871)^4-'Data Schema'!$C$3*(1+B871)^3)*$I$12)/(1+C871)^4+(('Data Schema'!$C$3*(1+B871)^5)*((1-$I$4-$I$5+E871)*(1-$I$10)+$I$6-$I$11)-('Data Schema'!$C$3*(1+B871)^5-'Data Schema'!$C$3*(1+B871)^4)*$I$12)/(1+C871)^5+((('Data Schema'!$C$3*(1+B871)^5)*((1-$I$4-$I$5+E871)*(1-$I$10)+$I$6-$I$11)-('Data Schema'!$C$3*(1+B871)^5-'Data Schema'!$C$3*(1+B871)^4)*$I$12)*(1+D871)/(C871-D871))/(1+C871)^5-'Data Schema'!$C$31+'Data Schema'!$C$21)/'Data Schema'!$B$17,0),"INVALID")</f>
        <v>66.361131079286523</v>
      </c>
      <c r="H871" s="189" t="b">
        <f t="shared" ca="1" si="98"/>
        <v>1</v>
      </c>
      <c r="I871" s="188">
        <f t="shared" ca="1" si="99"/>
        <v>66.361131079286523</v>
      </c>
      <c r="J871" s="349">
        <f t="shared" ca="1" si="92"/>
        <v>66.361131079286523</v>
      </c>
    </row>
    <row r="872" spans="1:10">
      <c r="A872" s="185">
        <v>693</v>
      </c>
      <c r="B872" s="190">
        <f t="shared" ca="1" si="93"/>
        <v>0.10371295680154403</v>
      </c>
      <c r="C872" s="190">
        <f t="shared" ca="1" si="94"/>
        <v>6.6875196924122707E-2</v>
      </c>
      <c r="D872" s="190">
        <f t="shared" ca="1" si="95"/>
        <v>2.4122924138136666E-2</v>
      </c>
      <c r="E872" s="190">
        <f t="shared" ca="1" si="96"/>
        <v>-1.9075318949051703E-2</v>
      </c>
      <c r="F872" s="189" t="b">
        <f t="shared" ca="1" si="97"/>
        <v>1</v>
      </c>
      <c r="G872" s="188">
        <f ca="1">IF(F872,IFERROR(((('Data Schema'!$C$3*(1+B872)^1)*((1-$I$4-$I$5+E872)*(1-$I$10)+$I$6-$I$11)-('Data Schema'!$C$3*(1+B872)^1-'Data Schema'!$C$3)*$I$12)/(1+C872)^1+(('Data Schema'!$C$3*(1+B872)^2)*((1-$I$4-$I$5+E872)*(1-$I$10)+$I$6-$I$11)-('Data Schema'!$C$3*(1+B872)^2-'Data Schema'!$C$3*(1+B872)^1)*$I$12)/(1+C872)^2+(('Data Schema'!$C$3*(1+B872)^3)*((1-$I$4-$I$5+E872)*(1-$I$10)+$I$6-$I$11)-('Data Schema'!$C$3*(1+B872)^3-'Data Schema'!$C$3*(1+B872)^2)*$I$12)/(1+C872)^3+(('Data Schema'!$C$3*(1+B872)^4)*((1-$I$4-$I$5+E872)*(1-$I$10)+$I$6-$I$11)-('Data Schema'!$C$3*(1+B872)^4-'Data Schema'!$C$3*(1+B872)^3)*$I$12)/(1+C872)^4+(('Data Schema'!$C$3*(1+B872)^5)*((1-$I$4-$I$5+E872)*(1-$I$10)+$I$6-$I$11)-('Data Schema'!$C$3*(1+B872)^5-'Data Schema'!$C$3*(1+B872)^4)*$I$12)/(1+C872)^5+((('Data Schema'!$C$3*(1+B872)^5)*((1-$I$4-$I$5+E872)*(1-$I$10)+$I$6-$I$11)-('Data Schema'!$C$3*(1+B872)^5-'Data Schema'!$C$3*(1+B872)^4)*$I$12)*(1+D872)/(C872-D872))/(1+C872)^5-'Data Schema'!$C$31+'Data Schema'!$C$21)/'Data Schema'!$B$17,0),"INVALID")</f>
        <v>26.345860536622052</v>
      </c>
      <c r="H872" s="189" t="b">
        <f t="shared" ca="1" si="98"/>
        <v>1</v>
      </c>
      <c r="I872" s="188">
        <f t="shared" ca="1" si="99"/>
        <v>26.345860536622052</v>
      </c>
      <c r="J872" s="349">
        <f t="shared" ca="1" si="92"/>
        <v>26.345860536622052</v>
      </c>
    </row>
    <row r="873" spans="1:10">
      <c r="A873" s="184">
        <v>694</v>
      </c>
      <c r="B873" s="190">
        <f t="shared" ca="1" si="93"/>
        <v>5.7865258014155943E-2</v>
      </c>
      <c r="C873" s="190">
        <f t="shared" ca="1" si="94"/>
        <v>4.8355309635057006E-2</v>
      </c>
      <c r="D873" s="190">
        <f t="shared" ca="1" si="95"/>
        <v>1.9597551516938073E-2</v>
      </c>
      <c r="E873" s="190">
        <f t="shared" ca="1" si="96"/>
        <v>6.8929219476134484E-3</v>
      </c>
      <c r="F873" s="189" t="b">
        <f t="shared" ca="1" si="97"/>
        <v>1</v>
      </c>
      <c r="G873" s="188">
        <f ca="1">IF(F873,IFERROR(((('Data Schema'!$C$3*(1+B873)^1)*((1-$I$4-$I$5+E873)*(1-$I$10)+$I$6-$I$11)-('Data Schema'!$C$3*(1+B873)^1-'Data Schema'!$C$3)*$I$12)/(1+C873)^1+(('Data Schema'!$C$3*(1+B873)^2)*((1-$I$4-$I$5+E873)*(1-$I$10)+$I$6-$I$11)-('Data Schema'!$C$3*(1+B873)^2-'Data Schema'!$C$3*(1+B873)^1)*$I$12)/(1+C873)^2+(('Data Schema'!$C$3*(1+B873)^3)*((1-$I$4-$I$5+E873)*(1-$I$10)+$I$6-$I$11)-('Data Schema'!$C$3*(1+B873)^3-'Data Schema'!$C$3*(1+B873)^2)*$I$12)/(1+C873)^3+(('Data Schema'!$C$3*(1+B873)^4)*((1-$I$4-$I$5+E873)*(1-$I$10)+$I$6-$I$11)-('Data Schema'!$C$3*(1+B873)^4-'Data Schema'!$C$3*(1+B873)^3)*$I$12)/(1+C873)^4+(('Data Schema'!$C$3*(1+B873)^5)*((1-$I$4-$I$5+E873)*(1-$I$10)+$I$6-$I$11)-('Data Schema'!$C$3*(1+B873)^5-'Data Schema'!$C$3*(1+B873)^4)*$I$12)/(1+C873)^5+((('Data Schema'!$C$3*(1+B873)^5)*((1-$I$4-$I$5+E873)*(1-$I$10)+$I$6-$I$11)-('Data Schema'!$C$3*(1+B873)^5-'Data Schema'!$C$3*(1+B873)^4)*$I$12)*(1+D873)/(C873-D873))/(1+C873)^5-'Data Schema'!$C$31+'Data Schema'!$C$21)/'Data Schema'!$B$17,0),"INVALID")</f>
        <v>110.57879223617969</v>
      </c>
      <c r="H873" s="189" t="b">
        <f t="shared" ca="1" si="98"/>
        <v>1</v>
      </c>
      <c r="I873" s="188">
        <f t="shared" ca="1" si="99"/>
        <v>110.57879223617969</v>
      </c>
      <c r="J873" s="349">
        <f t="shared" ca="1" si="92"/>
        <v>110.57879223617969</v>
      </c>
    </row>
    <row r="874" spans="1:10">
      <c r="A874" s="185">
        <v>695</v>
      </c>
      <c r="B874" s="190">
        <f t="shared" ca="1" si="93"/>
        <v>8.7432055445933077E-2</v>
      </c>
      <c r="C874" s="190">
        <f t="shared" ca="1" si="94"/>
        <v>6.6590679249164966E-2</v>
      </c>
      <c r="D874" s="190">
        <f t="shared" ca="1" si="95"/>
        <v>1.6525228372501838E-2</v>
      </c>
      <c r="E874" s="190">
        <f t="shared" ca="1" si="96"/>
        <v>2.7137389865047575E-3</v>
      </c>
      <c r="F874" s="189" t="b">
        <f t="shared" ca="1" si="97"/>
        <v>1</v>
      </c>
      <c r="G874" s="188">
        <f ca="1">IF(F874,IFERROR(((('Data Schema'!$C$3*(1+B874)^1)*((1-$I$4-$I$5+E874)*(1-$I$10)+$I$6-$I$11)-('Data Schema'!$C$3*(1+B874)^1-'Data Schema'!$C$3)*$I$12)/(1+C874)^1+(('Data Schema'!$C$3*(1+B874)^2)*((1-$I$4-$I$5+E874)*(1-$I$10)+$I$6-$I$11)-('Data Schema'!$C$3*(1+B874)^2-'Data Schema'!$C$3*(1+B874)^1)*$I$12)/(1+C874)^2+(('Data Schema'!$C$3*(1+B874)^3)*((1-$I$4-$I$5+E874)*(1-$I$10)+$I$6-$I$11)-('Data Schema'!$C$3*(1+B874)^3-'Data Schema'!$C$3*(1+B874)^2)*$I$12)/(1+C874)^3+(('Data Schema'!$C$3*(1+B874)^4)*((1-$I$4-$I$5+E874)*(1-$I$10)+$I$6-$I$11)-('Data Schema'!$C$3*(1+B874)^4-'Data Schema'!$C$3*(1+B874)^3)*$I$12)/(1+C874)^4+(('Data Schema'!$C$3*(1+B874)^5)*((1-$I$4-$I$5+E874)*(1-$I$10)+$I$6-$I$11)-('Data Schema'!$C$3*(1+B874)^5-'Data Schema'!$C$3*(1+B874)^4)*$I$12)/(1+C874)^5+((('Data Schema'!$C$3*(1+B874)^5)*((1-$I$4-$I$5+E874)*(1-$I$10)+$I$6-$I$11)-('Data Schema'!$C$3*(1+B874)^5-'Data Schema'!$C$3*(1+B874)^4)*$I$12)*(1+D874)/(C874-D874))/(1+C874)^5-'Data Schema'!$C$31+'Data Schema'!$C$21)/'Data Schema'!$B$17,0),"INVALID")</f>
        <v>61.050230995084931</v>
      </c>
      <c r="H874" s="189" t="b">
        <f t="shared" ca="1" si="98"/>
        <v>1</v>
      </c>
      <c r="I874" s="188">
        <f t="shared" ca="1" si="99"/>
        <v>61.050230995084931</v>
      </c>
      <c r="J874" s="349">
        <f t="shared" ca="1" si="92"/>
        <v>61.050230995084931</v>
      </c>
    </row>
    <row r="875" spans="1:10">
      <c r="A875" s="184">
        <v>696</v>
      </c>
      <c r="B875" s="190">
        <f t="shared" ca="1" si="93"/>
        <v>0.12135943770484454</v>
      </c>
      <c r="C875" s="190">
        <f t="shared" ca="1" si="94"/>
        <v>5.5676767973083213E-2</v>
      </c>
      <c r="D875" s="190">
        <f t="shared" ca="1" si="95"/>
        <v>1.8991849449244567E-2</v>
      </c>
      <c r="E875" s="190">
        <f t="shared" ca="1" si="96"/>
        <v>-2.283713178628E-2</v>
      </c>
      <c r="F875" s="189" t="b">
        <f t="shared" ca="1" si="97"/>
        <v>1</v>
      </c>
      <c r="G875" s="188">
        <f ca="1">IF(F875,IFERROR(((('Data Schema'!$C$3*(1+B875)^1)*((1-$I$4-$I$5+E875)*(1-$I$10)+$I$6-$I$11)-('Data Schema'!$C$3*(1+B875)^1-'Data Schema'!$C$3)*$I$12)/(1+C875)^1+(('Data Schema'!$C$3*(1+B875)^2)*((1-$I$4-$I$5+E875)*(1-$I$10)+$I$6-$I$11)-('Data Schema'!$C$3*(1+B875)^2-'Data Schema'!$C$3*(1+B875)^1)*$I$12)/(1+C875)^2+(('Data Schema'!$C$3*(1+B875)^3)*((1-$I$4-$I$5+E875)*(1-$I$10)+$I$6-$I$11)-('Data Schema'!$C$3*(1+B875)^3-'Data Schema'!$C$3*(1+B875)^2)*$I$12)/(1+C875)^3+(('Data Schema'!$C$3*(1+B875)^4)*((1-$I$4-$I$5+E875)*(1-$I$10)+$I$6-$I$11)-('Data Schema'!$C$3*(1+B875)^4-'Data Schema'!$C$3*(1+B875)^3)*$I$12)/(1+C875)^4+(('Data Schema'!$C$3*(1+B875)^5)*((1-$I$4-$I$5+E875)*(1-$I$10)+$I$6-$I$11)-('Data Schema'!$C$3*(1+B875)^5-'Data Schema'!$C$3*(1+B875)^4)*$I$12)/(1+C875)^5+((('Data Schema'!$C$3*(1+B875)^5)*((1-$I$4-$I$5+E875)*(1-$I$10)+$I$6-$I$11)-('Data Schema'!$C$3*(1+B875)^5-'Data Schema'!$C$3*(1+B875)^4)*$I$12)*(1+D875)/(C875-D875))/(1+C875)^5-'Data Schema'!$C$31+'Data Schema'!$C$21)/'Data Schema'!$B$17,0),"INVALID")</f>
        <v>23.801329740466983</v>
      </c>
      <c r="H875" s="189" t="b">
        <f t="shared" ca="1" si="98"/>
        <v>1</v>
      </c>
      <c r="I875" s="188">
        <f t="shared" ca="1" si="99"/>
        <v>23.801329740466983</v>
      </c>
      <c r="J875" s="349" t="str">
        <f t="shared" ca="1" si="92"/>
        <v/>
      </c>
    </row>
    <row r="876" spans="1:10">
      <c r="A876" s="185">
        <v>697</v>
      </c>
      <c r="B876" s="190">
        <f t="shared" ca="1" si="93"/>
        <v>0.10139728270611878</v>
      </c>
      <c r="C876" s="190">
        <f t="shared" ca="1" si="94"/>
        <v>6.6333240157252088E-2</v>
      </c>
      <c r="D876" s="190">
        <f t="shared" ca="1" si="95"/>
        <v>2.7171039178623495E-2</v>
      </c>
      <c r="E876" s="190">
        <f t="shared" ca="1" si="96"/>
        <v>3.3814170598265463E-2</v>
      </c>
      <c r="F876" s="189" t="b">
        <f t="shared" ca="1" si="97"/>
        <v>1</v>
      </c>
      <c r="G876" s="188">
        <f ca="1">IF(F876,IFERROR(((('Data Schema'!$C$3*(1+B876)^1)*((1-$I$4-$I$5+E876)*(1-$I$10)+$I$6-$I$11)-('Data Schema'!$C$3*(1+B876)^1-'Data Schema'!$C$3)*$I$12)/(1+C876)^1+(('Data Schema'!$C$3*(1+B876)^2)*((1-$I$4-$I$5+E876)*(1-$I$10)+$I$6-$I$11)-('Data Schema'!$C$3*(1+B876)^2-'Data Schema'!$C$3*(1+B876)^1)*$I$12)/(1+C876)^2+(('Data Schema'!$C$3*(1+B876)^3)*((1-$I$4-$I$5+E876)*(1-$I$10)+$I$6-$I$11)-('Data Schema'!$C$3*(1+B876)^3-'Data Schema'!$C$3*(1+B876)^2)*$I$12)/(1+C876)^3+(('Data Schema'!$C$3*(1+B876)^4)*((1-$I$4-$I$5+E876)*(1-$I$10)+$I$6-$I$11)-('Data Schema'!$C$3*(1+B876)^4-'Data Schema'!$C$3*(1+B876)^3)*$I$12)/(1+C876)^4+(('Data Schema'!$C$3*(1+B876)^5)*((1-$I$4-$I$5+E876)*(1-$I$10)+$I$6-$I$11)-('Data Schema'!$C$3*(1+B876)^5-'Data Schema'!$C$3*(1+B876)^4)*$I$12)/(1+C876)^5+((('Data Schema'!$C$3*(1+B876)^5)*((1-$I$4-$I$5+E876)*(1-$I$10)+$I$6-$I$11)-('Data Schema'!$C$3*(1+B876)^5-'Data Schema'!$C$3*(1+B876)^4)*$I$12)*(1+D876)/(C876-D876))/(1+C876)^5-'Data Schema'!$C$31+'Data Schema'!$C$21)/'Data Schema'!$B$17,0),"INVALID")</f>
        <v>157.03466514127257</v>
      </c>
      <c r="H876" s="189" t="b">
        <f t="shared" ca="1" si="98"/>
        <v>1</v>
      </c>
      <c r="I876" s="188">
        <f t="shared" ca="1" si="99"/>
        <v>157.03466514127257</v>
      </c>
      <c r="J876" s="349">
        <f t="shared" ca="1" si="92"/>
        <v>157.03466514127257</v>
      </c>
    </row>
    <row r="877" spans="1:10">
      <c r="A877" s="184">
        <v>698</v>
      </c>
      <c r="B877" s="190">
        <f t="shared" ca="1" si="93"/>
        <v>0.10245377372924004</v>
      </c>
      <c r="C877" s="190">
        <f t="shared" ca="1" si="94"/>
        <v>4.0371865818928293E-2</v>
      </c>
      <c r="D877" s="190">
        <f t="shared" ca="1" si="95"/>
        <v>2.4238110811408798E-2</v>
      </c>
      <c r="E877" s="190">
        <f t="shared" ca="1" si="96"/>
        <v>4.2160471524274089E-3</v>
      </c>
      <c r="F877" s="189" t="b">
        <f t="shared" ca="1" si="97"/>
        <v>1</v>
      </c>
      <c r="G877" s="188">
        <f ca="1">IF(F877,IFERROR(((('Data Schema'!$C$3*(1+B877)^1)*((1-$I$4-$I$5+E877)*(1-$I$10)+$I$6-$I$11)-('Data Schema'!$C$3*(1+B877)^1-'Data Schema'!$C$3)*$I$12)/(1+C877)^1+(('Data Schema'!$C$3*(1+B877)^2)*((1-$I$4-$I$5+E877)*(1-$I$10)+$I$6-$I$11)-('Data Schema'!$C$3*(1+B877)^2-'Data Schema'!$C$3*(1+B877)^1)*$I$12)/(1+C877)^2+(('Data Schema'!$C$3*(1+B877)^3)*((1-$I$4-$I$5+E877)*(1-$I$10)+$I$6-$I$11)-('Data Schema'!$C$3*(1+B877)^3-'Data Schema'!$C$3*(1+B877)^2)*$I$12)/(1+C877)^3+(('Data Schema'!$C$3*(1+B877)^4)*((1-$I$4-$I$5+E877)*(1-$I$10)+$I$6-$I$11)-('Data Schema'!$C$3*(1+B877)^4-'Data Schema'!$C$3*(1+B877)^3)*$I$12)/(1+C877)^4+(('Data Schema'!$C$3*(1+B877)^5)*((1-$I$4-$I$5+E877)*(1-$I$10)+$I$6-$I$11)-('Data Schema'!$C$3*(1+B877)^5-'Data Schema'!$C$3*(1+B877)^4)*$I$12)/(1+C877)^5+((('Data Schema'!$C$3*(1+B877)^5)*((1-$I$4-$I$5+E877)*(1-$I$10)+$I$6-$I$11)-('Data Schema'!$C$3*(1+B877)^5-'Data Schema'!$C$3*(1+B877)^4)*$I$12)*(1+D877)/(C877-D877))/(1+C877)^5-'Data Schema'!$C$31+'Data Schema'!$C$21)/'Data Schema'!$B$17,0),"INVALID")</f>
        <v>223.44850233853901</v>
      </c>
      <c r="H877" s="189" t="b">
        <f t="shared" ca="1" si="98"/>
        <v>1</v>
      </c>
      <c r="I877" s="188">
        <f t="shared" ca="1" si="99"/>
        <v>223.44850233853901</v>
      </c>
      <c r="J877" s="349">
        <f t="shared" ca="1" si="92"/>
        <v>223.44850233853901</v>
      </c>
    </row>
    <row r="878" spans="1:10">
      <c r="A878" s="185">
        <v>699</v>
      </c>
      <c r="B878" s="190">
        <f t="shared" ca="1" si="93"/>
        <v>7.9635745746419406E-2</v>
      </c>
      <c r="C878" s="190">
        <f t="shared" ca="1" si="94"/>
        <v>6.1959144168059935E-2</v>
      </c>
      <c r="D878" s="190">
        <f t="shared" ca="1" si="95"/>
        <v>3.2950950014490617E-2</v>
      </c>
      <c r="E878" s="190">
        <f t="shared" ca="1" si="96"/>
        <v>-5.4967482410392711E-3</v>
      </c>
      <c r="F878" s="189" t="b">
        <f t="shared" ca="1" si="97"/>
        <v>1</v>
      </c>
      <c r="G878" s="188">
        <f ca="1">IF(F878,IFERROR(((('Data Schema'!$C$3*(1+B878)^1)*((1-$I$4-$I$5+E878)*(1-$I$10)+$I$6-$I$11)-('Data Schema'!$C$3*(1+B878)^1-'Data Schema'!$C$3)*$I$12)/(1+C878)^1+(('Data Schema'!$C$3*(1+B878)^2)*((1-$I$4-$I$5+E878)*(1-$I$10)+$I$6-$I$11)-('Data Schema'!$C$3*(1+B878)^2-'Data Schema'!$C$3*(1+B878)^1)*$I$12)/(1+C878)^2+(('Data Schema'!$C$3*(1+B878)^3)*((1-$I$4-$I$5+E878)*(1-$I$10)+$I$6-$I$11)-('Data Schema'!$C$3*(1+B878)^3-'Data Schema'!$C$3*(1+B878)^2)*$I$12)/(1+C878)^3+(('Data Schema'!$C$3*(1+B878)^4)*((1-$I$4-$I$5+E878)*(1-$I$10)+$I$6-$I$11)-('Data Schema'!$C$3*(1+B878)^4-'Data Schema'!$C$3*(1+B878)^3)*$I$12)/(1+C878)^4+(('Data Schema'!$C$3*(1+B878)^5)*((1-$I$4-$I$5+E878)*(1-$I$10)+$I$6-$I$11)-('Data Schema'!$C$3*(1+B878)^5-'Data Schema'!$C$3*(1+B878)^4)*$I$12)/(1+C878)^5+((('Data Schema'!$C$3*(1+B878)^5)*((1-$I$4-$I$5+E878)*(1-$I$10)+$I$6-$I$11)-('Data Schema'!$C$3*(1+B878)^5-'Data Schema'!$C$3*(1+B878)^4)*$I$12)*(1+D878)/(C878-D878))/(1+C878)^5-'Data Schema'!$C$31+'Data Schema'!$C$21)/'Data Schema'!$B$17,0),"INVALID")</f>
        <v>77.530631329557167</v>
      </c>
      <c r="H878" s="189" t="b">
        <f t="shared" ca="1" si="98"/>
        <v>1</v>
      </c>
      <c r="I878" s="188">
        <f t="shared" ca="1" si="99"/>
        <v>77.530631329557167</v>
      </c>
      <c r="J878" s="349">
        <f t="shared" ca="1" si="92"/>
        <v>77.530631329557167</v>
      </c>
    </row>
    <row r="879" spans="1:10">
      <c r="A879" s="184">
        <v>700</v>
      </c>
      <c r="B879" s="190">
        <f t="shared" ca="1" si="93"/>
        <v>0.12218669012431843</v>
      </c>
      <c r="C879" s="190">
        <f t="shared" ca="1" si="94"/>
        <v>4.4853356931284546E-2</v>
      </c>
      <c r="D879" s="190">
        <f t="shared" ca="1" si="95"/>
        <v>2.2671344416927516E-2</v>
      </c>
      <c r="E879" s="190">
        <f t="shared" ca="1" si="96"/>
        <v>2.0159244468738149E-2</v>
      </c>
      <c r="F879" s="189" t="b">
        <f t="shared" ca="1" si="97"/>
        <v>1</v>
      </c>
      <c r="G879" s="188">
        <f ca="1">IF(F879,IFERROR(((('Data Schema'!$C$3*(1+B879)^1)*((1-$I$4-$I$5+E879)*(1-$I$10)+$I$6-$I$11)-('Data Schema'!$C$3*(1+B879)^1-'Data Schema'!$C$3)*$I$12)/(1+C879)^1+(('Data Schema'!$C$3*(1+B879)^2)*((1-$I$4-$I$5+E879)*(1-$I$10)+$I$6-$I$11)-('Data Schema'!$C$3*(1+B879)^2-'Data Schema'!$C$3*(1+B879)^1)*$I$12)/(1+C879)^2+(('Data Schema'!$C$3*(1+B879)^3)*((1-$I$4-$I$5+E879)*(1-$I$10)+$I$6-$I$11)-('Data Schema'!$C$3*(1+B879)^3-'Data Schema'!$C$3*(1+B879)^2)*$I$12)/(1+C879)^3+(('Data Schema'!$C$3*(1+B879)^4)*((1-$I$4-$I$5+E879)*(1-$I$10)+$I$6-$I$11)-('Data Schema'!$C$3*(1+B879)^4-'Data Schema'!$C$3*(1+B879)^3)*$I$12)/(1+C879)^4+(('Data Schema'!$C$3*(1+B879)^5)*((1-$I$4-$I$5+E879)*(1-$I$10)+$I$6-$I$11)-('Data Schema'!$C$3*(1+B879)^5-'Data Schema'!$C$3*(1+B879)^4)*$I$12)/(1+C879)^5+((('Data Schema'!$C$3*(1+B879)^5)*((1-$I$4-$I$5+E879)*(1-$I$10)+$I$6-$I$11)-('Data Schema'!$C$3*(1+B879)^5-'Data Schema'!$C$3*(1+B879)^4)*$I$12)*(1+D879)/(C879-D879))/(1+C879)^5-'Data Schema'!$C$31+'Data Schema'!$C$21)/'Data Schema'!$B$17,0),"INVALID")</f>
        <v>250.63079228422492</v>
      </c>
      <c r="H879" s="189" t="b">
        <f t="shared" ca="1" si="98"/>
        <v>1</v>
      </c>
      <c r="I879" s="188">
        <f t="shared" ca="1" si="99"/>
        <v>250.63079228422492</v>
      </c>
      <c r="J879" s="349" t="str">
        <f t="shared" ca="1" si="92"/>
        <v/>
      </c>
    </row>
    <row r="880" spans="1:10">
      <c r="A880" s="185">
        <v>701</v>
      </c>
      <c r="B880" s="190">
        <f t="shared" ca="1" si="93"/>
        <v>6.5080655013905281E-2</v>
      </c>
      <c r="C880" s="190">
        <f t="shared" ca="1" si="94"/>
        <v>5.5236338405812629E-2</v>
      </c>
      <c r="D880" s="190">
        <f t="shared" ca="1" si="95"/>
        <v>1.8000573170807568E-2</v>
      </c>
      <c r="E880" s="190">
        <f t="shared" ca="1" si="96"/>
        <v>-2.6344608128009962E-2</v>
      </c>
      <c r="F880" s="189" t="b">
        <f t="shared" ca="1" si="97"/>
        <v>1</v>
      </c>
      <c r="G880" s="188">
        <f ca="1">IF(F880,IFERROR(((('Data Schema'!$C$3*(1+B880)^1)*((1-$I$4-$I$5+E880)*(1-$I$10)+$I$6-$I$11)-('Data Schema'!$C$3*(1+B880)^1-'Data Schema'!$C$3)*$I$12)/(1+C880)^1+(('Data Schema'!$C$3*(1+B880)^2)*((1-$I$4-$I$5+E880)*(1-$I$10)+$I$6-$I$11)-('Data Schema'!$C$3*(1+B880)^2-'Data Schema'!$C$3*(1+B880)^1)*$I$12)/(1+C880)^2+(('Data Schema'!$C$3*(1+B880)^3)*((1-$I$4-$I$5+E880)*(1-$I$10)+$I$6-$I$11)-('Data Schema'!$C$3*(1+B880)^3-'Data Schema'!$C$3*(1+B880)^2)*$I$12)/(1+C880)^3+(('Data Schema'!$C$3*(1+B880)^4)*((1-$I$4-$I$5+E880)*(1-$I$10)+$I$6-$I$11)-('Data Schema'!$C$3*(1+B880)^4-'Data Schema'!$C$3*(1+B880)^3)*$I$12)/(1+C880)^4+(('Data Schema'!$C$3*(1+B880)^5)*((1-$I$4-$I$5+E880)*(1-$I$10)+$I$6-$I$11)-('Data Schema'!$C$3*(1+B880)^5-'Data Schema'!$C$3*(1+B880)^4)*$I$12)/(1+C880)^5+((('Data Schema'!$C$3*(1+B880)^5)*((1-$I$4-$I$5+E880)*(1-$I$10)+$I$6-$I$11)-('Data Schema'!$C$3*(1+B880)^5-'Data Schema'!$C$3*(1+B880)^4)*$I$12)*(1+D880)/(C880-D880))/(1+C880)^5-'Data Schema'!$C$31+'Data Schema'!$C$21)/'Data Schema'!$B$17,0),"INVALID")</f>
        <v>11.801130023093458</v>
      </c>
      <c r="H880" s="189" t="b">
        <f t="shared" ca="1" si="98"/>
        <v>0</v>
      </c>
      <c r="I880" s="188" t="str">
        <f t="shared" ca="1" si="99"/>
        <v/>
      </c>
      <c r="J880" s="349" t="str">
        <f t="shared" ca="1" si="92"/>
        <v/>
      </c>
    </row>
    <row r="881" spans="1:10">
      <c r="A881" s="184">
        <v>702</v>
      </c>
      <c r="B881" s="190">
        <f t="shared" ca="1" si="93"/>
        <v>8.7184281914563594E-2</v>
      </c>
      <c r="C881" s="190">
        <f t="shared" ca="1" si="94"/>
        <v>5.192287104141257E-2</v>
      </c>
      <c r="D881" s="190">
        <f t="shared" ca="1" si="95"/>
        <v>1.9654494648024511E-2</v>
      </c>
      <c r="E881" s="190">
        <f t="shared" ca="1" si="96"/>
        <v>-2.6279703855626124E-2</v>
      </c>
      <c r="F881" s="189" t="b">
        <f t="shared" ca="1" si="97"/>
        <v>1</v>
      </c>
      <c r="G881" s="188">
        <f ca="1">IF(F881,IFERROR(((('Data Schema'!$C$3*(1+B881)^1)*((1-$I$4-$I$5+E881)*(1-$I$10)+$I$6-$I$11)-('Data Schema'!$C$3*(1+B881)^1-'Data Schema'!$C$3)*$I$12)/(1+C881)^1+(('Data Schema'!$C$3*(1+B881)^2)*((1-$I$4-$I$5+E881)*(1-$I$10)+$I$6-$I$11)-('Data Schema'!$C$3*(1+B881)^2-'Data Schema'!$C$3*(1+B881)^1)*$I$12)/(1+C881)^2+(('Data Schema'!$C$3*(1+B881)^3)*((1-$I$4-$I$5+E881)*(1-$I$10)+$I$6-$I$11)-('Data Schema'!$C$3*(1+B881)^3-'Data Schema'!$C$3*(1+B881)^2)*$I$12)/(1+C881)^3+(('Data Schema'!$C$3*(1+B881)^4)*((1-$I$4-$I$5+E881)*(1-$I$10)+$I$6-$I$11)-('Data Schema'!$C$3*(1+B881)^4-'Data Schema'!$C$3*(1+B881)^3)*$I$12)/(1+C881)^4+(('Data Schema'!$C$3*(1+B881)^5)*((1-$I$4-$I$5+E881)*(1-$I$10)+$I$6-$I$11)-('Data Schema'!$C$3*(1+B881)^5-'Data Schema'!$C$3*(1+B881)^4)*$I$12)/(1+C881)^5+((('Data Schema'!$C$3*(1+B881)^5)*((1-$I$4-$I$5+E881)*(1-$I$10)+$I$6-$I$11)-('Data Schema'!$C$3*(1+B881)^5-'Data Schema'!$C$3*(1+B881)^4)*$I$12)*(1+D881)/(C881-D881))/(1+C881)^5-'Data Schema'!$C$31+'Data Schema'!$C$21)/'Data Schema'!$B$17,0),"INVALID")</f>
        <v>15.554823305310157</v>
      </c>
      <c r="H881" s="189" t="b">
        <f t="shared" ca="1" si="98"/>
        <v>1</v>
      </c>
      <c r="I881" s="188">
        <f t="shared" ca="1" si="99"/>
        <v>15.554823305310157</v>
      </c>
      <c r="J881" s="349" t="str">
        <f t="shared" ca="1" si="92"/>
        <v/>
      </c>
    </row>
    <row r="882" spans="1:10">
      <c r="A882" s="185">
        <v>703</v>
      </c>
      <c r="B882" s="190">
        <f t="shared" ca="1" si="93"/>
        <v>9.4353946376702497E-2</v>
      </c>
      <c r="C882" s="190">
        <f t="shared" ca="1" si="94"/>
        <v>6.2838231068663639E-2</v>
      </c>
      <c r="D882" s="190">
        <f t="shared" ca="1" si="95"/>
        <v>2.258559072938587E-2</v>
      </c>
      <c r="E882" s="190">
        <f t="shared" ca="1" si="96"/>
        <v>-6.0745804466239874E-3</v>
      </c>
      <c r="F882" s="189" t="b">
        <f t="shared" ca="1" si="97"/>
        <v>1</v>
      </c>
      <c r="G882" s="188">
        <f ca="1">IF(F882,IFERROR(((('Data Schema'!$C$3*(1+B882)^1)*((1-$I$4-$I$5+E882)*(1-$I$10)+$I$6-$I$11)-('Data Schema'!$C$3*(1+B882)^1-'Data Schema'!$C$3)*$I$12)/(1+C882)^1+(('Data Schema'!$C$3*(1+B882)^2)*((1-$I$4-$I$5+E882)*(1-$I$10)+$I$6-$I$11)-('Data Schema'!$C$3*(1+B882)^2-'Data Schema'!$C$3*(1+B882)^1)*$I$12)/(1+C882)^2+(('Data Schema'!$C$3*(1+B882)^3)*((1-$I$4-$I$5+E882)*(1-$I$10)+$I$6-$I$11)-('Data Schema'!$C$3*(1+B882)^3-'Data Schema'!$C$3*(1+B882)^2)*$I$12)/(1+C882)^3+(('Data Schema'!$C$3*(1+B882)^4)*((1-$I$4-$I$5+E882)*(1-$I$10)+$I$6-$I$11)-('Data Schema'!$C$3*(1+B882)^4-'Data Schema'!$C$3*(1+B882)^3)*$I$12)/(1+C882)^4+(('Data Schema'!$C$3*(1+B882)^5)*((1-$I$4-$I$5+E882)*(1-$I$10)+$I$6-$I$11)-('Data Schema'!$C$3*(1+B882)^5-'Data Schema'!$C$3*(1+B882)^4)*$I$12)/(1+C882)^5+((('Data Schema'!$C$3*(1+B882)^5)*((1-$I$4-$I$5+E882)*(1-$I$10)+$I$6-$I$11)-('Data Schema'!$C$3*(1+B882)^5-'Data Schema'!$C$3*(1+B882)^4)*$I$12)*(1+D882)/(C882-D882))/(1+C882)^5-'Data Schema'!$C$31+'Data Schema'!$C$21)/'Data Schema'!$B$17,0),"INVALID")</f>
        <v>57.966741572419096</v>
      </c>
      <c r="H882" s="189" t="b">
        <f t="shared" ca="1" si="98"/>
        <v>1</v>
      </c>
      <c r="I882" s="188">
        <f t="shared" ca="1" si="99"/>
        <v>57.966741572419096</v>
      </c>
      <c r="J882" s="349">
        <f t="shared" ca="1" si="92"/>
        <v>57.966741572419096</v>
      </c>
    </row>
    <row r="883" spans="1:10">
      <c r="A883" s="184">
        <v>704</v>
      </c>
      <c r="B883" s="190">
        <f t="shared" ca="1" si="93"/>
        <v>0.11324040810788233</v>
      </c>
      <c r="C883" s="190">
        <f t="shared" ca="1" si="94"/>
        <v>6.7482758153600275E-2</v>
      </c>
      <c r="D883" s="190">
        <f t="shared" ca="1" si="95"/>
        <v>1.75901321916451E-2</v>
      </c>
      <c r="E883" s="190">
        <f t="shared" ca="1" si="96"/>
        <v>4.028556813202732E-2</v>
      </c>
      <c r="F883" s="189" t="b">
        <f t="shared" ca="1" si="97"/>
        <v>1</v>
      </c>
      <c r="G883" s="188">
        <f ca="1">IF(F883,IFERROR(((('Data Schema'!$C$3*(1+B883)^1)*((1-$I$4-$I$5+E883)*(1-$I$10)+$I$6-$I$11)-('Data Schema'!$C$3*(1+B883)^1-'Data Schema'!$C$3)*$I$12)/(1+C883)^1+(('Data Schema'!$C$3*(1+B883)^2)*((1-$I$4-$I$5+E883)*(1-$I$10)+$I$6-$I$11)-('Data Schema'!$C$3*(1+B883)^2-'Data Schema'!$C$3*(1+B883)^1)*$I$12)/(1+C883)^2+(('Data Schema'!$C$3*(1+B883)^3)*((1-$I$4-$I$5+E883)*(1-$I$10)+$I$6-$I$11)-('Data Schema'!$C$3*(1+B883)^3-'Data Schema'!$C$3*(1+B883)^2)*$I$12)/(1+C883)^3+(('Data Schema'!$C$3*(1+B883)^4)*((1-$I$4-$I$5+E883)*(1-$I$10)+$I$6-$I$11)-('Data Schema'!$C$3*(1+B883)^4-'Data Schema'!$C$3*(1+B883)^3)*$I$12)/(1+C883)^4+(('Data Schema'!$C$3*(1+B883)^5)*((1-$I$4-$I$5+E883)*(1-$I$10)+$I$6-$I$11)-('Data Schema'!$C$3*(1+B883)^5-'Data Schema'!$C$3*(1+B883)^4)*$I$12)/(1+C883)^5+((('Data Schema'!$C$3*(1+B883)^5)*((1-$I$4-$I$5+E883)*(1-$I$10)+$I$6-$I$11)-('Data Schema'!$C$3*(1+B883)^5-'Data Schema'!$C$3*(1+B883)^4)*$I$12)*(1+D883)/(C883-D883))/(1+C883)^5-'Data Schema'!$C$31+'Data Schema'!$C$21)/'Data Schema'!$B$17,0),"INVALID")</f>
        <v>144.94021852854684</v>
      </c>
      <c r="H883" s="189" t="b">
        <f t="shared" ca="1" si="98"/>
        <v>1</v>
      </c>
      <c r="I883" s="188">
        <f t="shared" ca="1" si="99"/>
        <v>144.94021852854684</v>
      </c>
      <c r="J883" s="349">
        <f t="shared" ca="1" si="92"/>
        <v>144.94021852854684</v>
      </c>
    </row>
    <row r="884" spans="1:10">
      <c r="A884" s="185">
        <v>705</v>
      </c>
      <c r="B884" s="190">
        <f t="shared" ca="1" si="93"/>
        <v>0.11111116115030942</v>
      </c>
      <c r="C884" s="190">
        <f t="shared" ca="1" si="94"/>
        <v>6.2560785009076303E-2</v>
      </c>
      <c r="D884" s="190">
        <f t="shared" ca="1" si="95"/>
        <v>2.5429096673059735E-2</v>
      </c>
      <c r="E884" s="190">
        <f t="shared" ca="1" si="96"/>
        <v>-1.7579619593492798E-2</v>
      </c>
      <c r="F884" s="189" t="b">
        <f t="shared" ca="1" si="97"/>
        <v>1</v>
      </c>
      <c r="G884" s="188">
        <f ca="1">IF(F884,IFERROR(((('Data Schema'!$C$3*(1+B884)^1)*((1-$I$4-$I$5+E884)*(1-$I$10)+$I$6-$I$11)-('Data Schema'!$C$3*(1+B884)^1-'Data Schema'!$C$3)*$I$12)/(1+C884)^1+(('Data Schema'!$C$3*(1+B884)^2)*((1-$I$4-$I$5+E884)*(1-$I$10)+$I$6-$I$11)-('Data Schema'!$C$3*(1+B884)^2-'Data Schema'!$C$3*(1+B884)^1)*$I$12)/(1+C884)^2+(('Data Schema'!$C$3*(1+B884)^3)*((1-$I$4-$I$5+E884)*(1-$I$10)+$I$6-$I$11)-('Data Schema'!$C$3*(1+B884)^3-'Data Schema'!$C$3*(1+B884)^2)*$I$12)/(1+C884)^3+(('Data Schema'!$C$3*(1+B884)^4)*((1-$I$4-$I$5+E884)*(1-$I$10)+$I$6-$I$11)-('Data Schema'!$C$3*(1+B884)^4-'Data Schema'!$C$3*(1+B884)^3)*$I$12)/(1+C884)^4+(('Data Schema'!$C$3*(1+B884)^5)*((1-$I$4-$I$5+E884)*(1-$I$10)+$I$6-$I$11)-('Data Schema'!$C$3*(1+B884)^5-'Data Schema'!$C$3*(1+B884)^4)*$I$12)/(1+C884)^5+((('Data Schema'!$C$3*(1+B884)^5)*((1-$I$4-$I$5+E884)*(1-$I$10)+$I$6-$I$11)-('Data Schema'!$C$3*(1+B884)^5-'Data Schema'!$C$3*(1+B884)^4)*$I$12)*(1+D884)/(C884-D884))/(1+C884)^5-'Data Schema'!$C$31+'Data Schema'!$C$21)/'Data Schema'!$B$17,0),"INVALID")</f>
        <v>36.153825301660369</v>
      </c>
      <c r="H884" s="189" t="b">
        <f t="shared" ca="1" si="98"/>
        <v>1</v>
      </c>
      <c r="I884" s="188">
        <f t="shared" ca="1" si="99"/>
        <v>36.153825301660369</v>
      </c>
      <c r="J884" s="349">
        <f t="shared" ref="J884:J947" ca="1" si="100">IF(AND(F884=TRUE,H884=TRUE,ISNUMBER(G884),G884&gt;=$B$153,G884&lt;=$B$154),G884,"")</f>
        <v>36.153825301660369</v>
      </c>
    </row>
    <row r="885" spans="1:10">
      <c r="A885" s="184">
        <v>706</v>
      </c>
      <c r="B885" s="190">
        <f t="shared" ref="B885:B948" ca="1" si="101">MAX($D$139,MIN($E$139,NORMINV(RAND(),$B$139,$C$139)))</f>
        <v>0.14840608729449384</v>
      </c>
      <c r="C885" s="190">
        <f t="shared" ref="C885:C948" ca="1" si="102">MAX($D$140,MIN($E$140,NORMINV(RAND(),$B$140,$C$140)))</f>
        <v>5.736954428185817E-2</v>
      </c>
      <c r="D885" s="190">
        <f t="shared" ref="D885:D948" ca="1" si="103">MAX($D$141,MIN($E$141,NORMINV(RAND(),$B$141,$C$141)))</f>
        <v>3.0673400774591082E-2</v>
      </c>
      <c r="E885" s="190">
        <f t="shared" ref="E885:E948" ca="1" si="104">MAX($D$142,MIN($E$142,NORMINV(RAND(),$B$142,$C$142)))</f>
        <v>-6.4662880762292162E-3</v>
      </c>
      <c r="F885" s="189" t="b">
        <f t="shared" ref="F885:F948" ca="1" si="105">C885&gt;D885+$B$144</f>
        <v>1</v>
      </c>
      <c r="G885" s="188">
        <f ca="1">IF(F885,IFERROR(((('Data Schema'!$C$3*(1+B885)^1)*((1-$I$4-$I$5+E885)*(1-$I$10)+$I$6-$I$11)-('Data Schema'!$C$3*(1+B885)^1-'Data Schema'!$C$3)*$I$12)/(1+C885)^1+(('Data Schema'!$C$3*(1+B885)^2)*((1-$I$4-$I$5+E885)*(1-$I$10)+$I$6-$I$11)-('Data Schema'!$C$3*(1+B885)^2-'Data Schema'!$C$3*(1+B885)^1)*$I$12)/(1+C885)^2+(('Data Schema'!$C$3*(1+B885)^3)*((1-$I$4-$I$5+E885)*(1-$I$10)+$I$6-$I$11)-('Data Schema'!$C$3*(1+B885)^3-'Data Schema'!$C$3*(1+B885)^2)*$I$12)/(1+C885)^3+(('Data Schema'!$C$3*(1+B885)^4)*((1-$I$4-$I$5+E885)*(1-$I$10)+$I$6-$I$11)-('Data Schema'!$C$3*(1+B885)^4-'Data Schema'!$C$3*(1+B885)^3)*$I$12)/(1+C885)^4+(('Data Schema'!$C$3*(1+B885)^5)*((1-$I$4-$I$5+E885)*(1-$I$10)+$I$6-$I$11)-('Data Schema'!$C$3*(1+B885)^5-'Data Schema'!$C$3*(1+B885)^4)*$I$12)/(1+C885)^5+((('Data Schema'!$C$3*(1+B885)^5)*((1-$I$4-$I$5+E885)*(1-$I$10)+$I$6-$I$11)-('Data Schema'!$C$3*(1+B885)^5-'Data Schema'!$C$3*(1+B885)^4)*$I$12)*(1+D885)/(C885-D885))/(1+C885)^5-'Data Schema'!$C$31+'Data Schema'!$C$21)/'Data Schema'!$B$17,0),"INVALID")</f>
        <v>107.12076923278599</v>
      </c>
      <c r="H885" s="189" t="b">
        <f t="shared" ref="H885:H948" ca="1" si="106">AND(ISNUMBER(G885),G885&gt;$F$29*$B$145,G885&lt;$F$29*$B$146)</f>
        <v>1</v>
      </c>
      <c r="I885" s="188">
        <f t="shared" ref="I885:I948" ca="1" si="107">IF(AND(F885=TRUE,H885=TRUE),G885,"")</f>
        <v>107.12076923278599</v>
      </c>
      <c r="J885" s="349">
        <f t="shared" ca="1" si="100"/>
        <v>107.12076923278599</v>
      </c>
    </row>
    <row r="886" spans="1:10">
      <c r="A886" s="185">
        <v>707</v>
      </c>
      <c r="B886" s="190">
        <f t="shared" ca="1" si="101"/>
        <v>0.12000026733543029</v>
      </c>
      <c r="C886" s="190">
        <f t="shared" ca="1" si="102"/>
        <v>6.3346663641650106E-2</v>
      </c>
      <c r="D886" s="190">
        <f t="shared" ca="1" si="103"/>
        <v>2.242839613956743E-2</v>
      </c>
      <c r="E886" s="190">
        <f t="shared" ca="1" si="104"/>
        <v>-1.3167690613176519E-3</v>
      </c>
      <c r="F886" s="189" t="b">
        <f t="shared" ca="1" si="105"/>
        <v>1</v>
      </c>
      <c r="G886" s="188">
        <f ca="1">IF(F886,IFERROR(((('Data Schema'!$C$3*(1+B886)^1)*((1-$I$4-$I$5+E886)*(1-$I$10)+$I$6-$I$11)-('Data Schema'!$C$3*(1+B886)^1-'Data Schema'!$C$3)*$I$12)/(1+C886)^1+(('Data Schema'!$C$3*(1+B886)^2)*((1-$I$4-$I$5+E886)*(1-$I$10)+$I$6-$I$11)-('Data Schema'!$C$3*(1+B886)^2-'Data Schema'!$C$3*(1+B886)^1)*$I$12)/(1+C886)^2+(('Data Schema'!$C$3*(1+B886)^3)*((1-$I$4-$I$5+E886)*(1-$I$10)+$I$6-$I$11)-('Data Schema'!$C$3*(1+B886)^3-'Data Schema'!$C$3*(1+B886)^2)*$I$12)/(1+C886)^3+(('Data Schema'!$C$3*(1+B886)^4)*((1-$I$4-$I$5+E886)*(1-$I$10)+$I$6-$I$11)-('Data Schema'!$C$3*(1+B886)^4-'Data Schema'!$C$3*(1+B886)^3)*$I$12)/(1+C886)^4+(('Data Schema'!$C$3*(1+B886)^5)*((1-$I$4-$I$5+E886)*(1-$I$10)+$I$6-$I$11)-('Data Schema'!$C$3*(1+B886)^5-'Data Schema'!$C$3*(1+B886)^4)*$I$12)/(1+C886)^5+((('Data Schema'!$C$3*(1+B886)^5)*((1-$I$4-$I$5+E886)*(1-$I$10)+$I$6-$I$11)-('Data Schema'!$C$3*(1+B886)^5-'Data Schema'!$C$3*(1+B886)^4)*$I$12)*(1+D886)/(C886-D886))/(1+C886)^5-'Data Schema'!$C$31+'Data Schema'!$C$21)/'Data Schema'!$B$17,0),"INVALID")</f>
        <v>74.990555028464016</v>
      </c>
      <c r="H886" s="189" t="b">
        <f t="shared" ca="1" si="106"/>
        <v>1</v>
      </c>
      <c r="I886" s="188">
        <f t="shared" ca="1" si="107"/>
        <v>74.990555028464016</v>
      </c>
      <c r="J886" s="349">
        <f t="shared" ca="1" si="100"/>
        <v>74.990555028464016</v>
      </c>
    </row>
    <row r="887" spans="1:10">
      <c r="A887" s="184">
        <v>708</v>
      </c>
      <c r="B887" s="190">
        <f t="shared" ca="1" si="101"/>
        <v>9.1426015050224768E-2</v>
      </c>
      <c r="C887" s="190">
        <f t="shared" ca="1" si="102"/>
        <v>6.881032833746871E-2</v>
      </c>
      <c r="D887" s="190">
        <f t="shared" ca="1" si="103"/>
        <v>2.3145207468500805E-2</v>
      </c>
      <c r="E887" s="190">
        <f t="shared" ca="1" si="104"/>
        <v>2.5735410375069882E-2</v>
      </c>
      <c r="F887" s="189" t="b">
        <f t="shared" ca="1" si="105"/>
        <v>1</v>
      </c>
      <c r="G887" s="188">
        <f ca="1">IF(F887,IFERROR(((('Data Schema'!$C$3*(1+B887)^1)*((1-$I$4-$I$5+E887)*(1-$I$10)+$I$6-$I$11)-('Data Schema'!$C$3*(1+B887)^1-'Data Schema'!$C$3)*$I$12)/(1+C887)^1+(('Data Schema'!$C$3*(1+B887)^2)*((1-$I$4-$I$5+E887)*(1-$I$10)+$I$6-$I$11)-('Data Schema'!$C$3*(1+B887)^2-'Data Schema'!$C$3*(1+B887)^1)*$I$12)/(1+C887)^2+(('Data Schema'!$C$3*(1+B887)^3)*((1-$I$4-$I$5+E887)*(1-$I$10)+$I$6-$I$11)-('Data Schema'!$C$3*(1+B887)^3-'Data Schema'!$C$3*(1+B887)^2)*$I$12)/(1+C887)^3+(('Data Schema'!$C$3*(1+B887)^4)*((1-$I$4-$I$5+E887)*(1-$I$10)+$I$6-$I$11)-('Data Schema'!$C$3*(1+B887)^4-'Data Schema'!$C$3*(1+B887)^3)*$I$12)/(1+C887)^4+(('Data Schema'!$C$3*(1+B887)^5)*((1-$I$4-$I$5+E887)*(1-$I$10)+$I$6-$I$11)-('Data Schema'!$C$3*(1+B887)^5-'Data Schema'!$C$3*(1+B887)^4)*$I$12)/(1+C887)^5+((('Data Schema'!$C$3*(1+B887)^5)*((1-$I$4-$I$5+E887)*(1-$I$10)+$I$6-$I$11)-('Data Schema'!$C$3*(1+B887)^5-'Data Schema'!$C$3*(1+B887)^4)*$I$12)*(1+D887)/(C887-D887))/(1+C887)^5-'Data Schema'!$C$31+'Data Schema'!$C$21)/'Data Schema'!$B$17,0),"INVALID")</f>
        <v>113.47646743152443</v>
      </c>
      <c r="H887" s="189" t="b">
        <f t="shared" ca="1" si="106"/>
        <v>1</v>
      </c>
      <c r="I887" s="188">
        <f t="shared" ca="1" si="107"/>
        <v>113.47646743152443</v>
      </c>
      <c r="J887" s="349">
        <f t="shared" ca="1" si="100"/>
        <v>113.47646743152443</v>
      </c>
    </row>
    <row r="888" spans="1:10">
      <c r="A888" s="185">
        <v>709</v>
      </c>
      <c r="B888" s="190">
        <f t="shared" ca="1" si="101"/>
        <v>8.1715789409627509E-2</v>
      </c>
      <c r="C888" s="190">
        <f t="shared" ca="1" si="102"/>
        <v>7.760232521660157E-2</v>
      </c>
      <c r="D888" s="190">
        <f t="shared" ca="1" si="103"/>
        <v>2.3319323406125431E-2</v>
      </c>
      <c r="E888" s="190">
        <f t="shared" ca="1" si="104"/>
        <v>-3.2859641746055657E-2</v>
      </c>
      <c r="F888" s="189" t="b">
        <f t="shared" ca="1" si="105"/>
        <v>1</v>
      </c>
      <c r="G888" s="188">
        <f ca="1">IF(F888,IFERROR(((('Data Schema'!$C$3*(1+B888)^1)*((1-$I$4-$I$5+E888)*(1-$I$10)+$I$6-$I$11)-('Data Schema'!$C$3*(1+B888)^1-'Data Schema'!$C$3)*$I$12)/(1+C888)^1+(('Data Schema'!$C$3*(1+B888)^2)*((1-$I$4-$I$5+E888)*(1-$I$10)+$I$6-$I$11)-('Data Schema'!$C$3*(1+B888)^2-'Data Schema'!$C$3*(1+B888)^1)*$I$12)/(1+C888)^2+(('Data Schema'!$C$3*(1+B888)^3)*((1-$I$4-$I$5+E888)*(1-$I$10)+$I$6-$I$11)-('Data Schema'!$C$3*(1+B888)^3-'Data Schema'!$C$3*(1+B888)^2)*$I$12)/(1+C888)^3+(('Data Schema'!$C$3*(1+B888)^4)*((1-$I$4-$I$5+E888)*(1-$I$10)+$I$6-$I$11)-('Data Schema'!$C$3*(1+B888)^4-'Data Schema'!$C$3*(1+B888)^3)*$I$12)/(1+C888)^4+(('Data Schema'!$C$3*(1+B888)^5)*((1-$I$4-$I$5+E888)*(1-$I$10)+$I$6-$I$11)-('Data Schema'!$C$3*(1+B888)^5-'Data Schema'!$C$3*(1+B888)^4)*$I$12)/(1+C888)^5+((('Data Schema'!$C$3*(1+B888)^5)*((1-$I$4-$I$5+E888)*(1-$I$10)+$I$6-$I$11)-('Data Schema'!$C$3*(1+B888)^5-'Data Schema'!$C$3*(1+B888)^4)*$I$12)*(1+D888)/(C888-D888))/(1+C888)^5-'Data Schema'!$C$31+'Data Schema'!$C$21)/'Data Schema'!$B$17,0),"INVALID")</f>
        <v>-4.6651798482138744</v>
      </c>
      <c r="H888" s="189" t="b">
        <f t="shared" ca="1" si="106"/>
        <v>0</v>
      </c>
      <c r="I888" s="188" t="str">
        <f t="shared" ca="1" si="107"/>
        <v/>
      </c>
      <c r="J888" s="349" t="str">
        <f t="shared" ca="1" si="100"/>
        <v/>
      </c>
    </row>
    <row r="889" spans="1:10">
      <c r="A889" s="184">
        <v>710</v>
      </c>
      <c r="B889" s="190">
        <f t="shared" ca="1" si="101"/>
        <v>9.4885555367456964E-2</v>
      </c>
      <c r="C889" s="190">
        <f t="shared" ca="1" si="102"/>
        <v>6.9916307526411023E-2</v>
      </c>
      <c r="D889" s="190">
        <f t="shared" ca="1" si="103"/>
        <v>1.8238419495244466E-2</v>
      </c>
      <c r="E889" s="190">
        <f t="shared" ca="1" si="104"/>
        <v>2.9735342658938006E-2</v>
      </c>
      <c r="F889" s="189" t="b">
        <f t="shared" ca="1" si="105"/>
        <v>1</v>
      </c>
      <c r="G889" s="188">
        <f ca="1">IF(F889,IFERROR(((('Data Schema'!$C$3*(1+B889)^1)*((1-$I$4-$I$5+E889)*(1-$I$10)+$I$6-$I$11)-('Data Schema'!$C$3*(1+B889)^1-'Data Schema'!$C$3)*$I$12)/(1+C889)^1+(('Data Schema'!$C$3*(1+B889)^2)*((1-$I$4-$I$5+E889)*(1-$I$10)+$I$6-$I$11)-('Data Schema'!$C$3*(1+B889)^2-'Data Schema'!$C$3*(1+B889)^1)*$I$12)/(1+C889)^2+(('Data Schema'!$C$3*(1+B889)^3)*((1-$I$4-$I$5+E889)*(1-$I$10)+$I$6-$I$11)-('Data Schema'!$C$3*(1+B889)^3-'Data Schema'!$C$3*(1+B889)^2)*$I$12)/(1+C889)^3+(('Data Schema'!$C$3*(1+B889)^4)*((1-$I$4-$I$5+E889)*(1-$I$10)+$I$6-$I$11)-('Data Schema'!$C$3*(1+B889)^4-'Data Schema'!$C$3*(1+B889)^3)*$I$12)/(1+C889)^4+(('Data Schema'!$C$3*(1+B889)^5)*((1-$I$4-$I$5+E889)*(1-$I$10)+$I$6-$I$11)-('Data Schema'!$C$3*(1+B889)^5-'Data Schema'!$C$3*(1+B889)^4)*$I$12)/(1+C889)^5+((('Data Schema'!$C$3*(1+B889)^5)*((1-$I$4-$I$5+E889)*(1-$I$10)+$I$6-$I$11)-('Data Schema'!$C$3*(1+B889)^5-'Data Schema'!$C$3*(1+B889)^4)*$I$12)*(1+D889)/(C889-D889))/(1+C889)^5-'Data Schema'!$C$31+'Data Schema'!$C$21)/'Data Schema'!$B$17,0),"INVALID")</f>
        <v>109.76648365223247</v>
      </c>
      <c r="H889" s="189" t="b">
        <f t="shared" ca="1" si="106"/>
        <v>1</v>
      </c>
      <c r="I889" s="188">
        <f t="shared" ca="1" si="107"/>
        <v>109.76648365223247</v>
      </c>
      <c r="J889" s="349">
        <f t="shared" ca="1" si="100"/>
        <v>109.76648365223247</v>
      </c>
    </row>
    <row r="890" spans="1:10">
      <c r="A890" s="185">
        <v>711</v>
      </c>
      <c r="B890" s="190">
        <f t="shared" ca="1" si="101"/>
        <v>9.1878831720145271E-2</v>
      </c>
      <c r="C890" s="190">
        <f t="shared" ca="1" si="102"/>
        <v>5.6239203814660528E-2</v>
      </c>
      <c r="D890" s="190">
        <f t="shared" ca="1" si="103"/>
        <v>2.5012956288839747E-2</v>
      </c>
      <c r="E890" s="190">
        <f t="shared" ca="1" si="104"/>
        <v>1.6423275820868971E-2</v>
      </c>
      <c r="F890" s="189" t="b">
        <f t="shared" ca="1" si="105"/>
        <v>1</v>
      </c>
      <c r="G890" s="188">
        <f ca="1">IF(F890,IFERROR(((('Data Schema'!$C$3*(1+B890)^1)*((1-$I$4-$I$5+E890)*(1-$I$10)+$I$6-$I$11)-('Data Schema'!$C$3*(1+B890)^1-'Data Schema'!$C$3)*$I$12)/(1+C890)^1+(('Data Schema'!$C$3*(1+B890)^2)*((1-$I$4-$I$5+E890)*(1-$I$10)+$I$6-$I$11)-('Data Schema'!$C$3*(1+B890)^2-'Data Schema'!$C$3*(1+B890)^1)*$I$12)/(1+C890)^2+(('Data Schema'!$C$3*(1+B890)^3)*((1-$I$4-$I$5+E890)*(1-$I$10)+$I$6-$I$11)-('Data Schema'!$C$3*(1+B890)^3-'Data Schema'!$C$3*(1+B890)^2)*$I$12)/(1+C890)^3+(('Data Schema'!$C$3*(1+B890)^4)*((1-$I$4-$I$5+E890)*(1-$I$10)+$I$6-$I$11)-('Data Schema'!$C$3*(1+B890)^4-'Data Schema'!$C$3*(1+B890)^3)*$I$12)/(1+C890)^4+(('Data Schema'!$C$3*(1+B890)^5)*((1-$I$4-$I$5+E890)*(1-$I$10)+$I$6-$I$11)-('Data Schema'!$C$3*(1+B890)^5-'Data Schema'!$C$3*(1+B890)^4)*$I$12)/(1+C890)^5+((('Data Schema'!$C$3*(1+B890)^5)*((1-$I$4-$I$5+E890)*(1-$I$10)+$I$6-$I$11)-('Data Schema'!$C$3*(1+B890)^5-'Data Schema'!$C$3*(1+B890)^4)*$I$12)*(1+D890)/(C890-D890))/(1+C890)^5-'Data Schema'!$C$31+'Data Schema'!$C$21)/'Data Schema'!$B$17,0),"INVALID")</f>
        <v>142.10475394460198</v>
      </c>
      <c r="H890" s="189" t="b">
        <f t="shared" ca="1" si="106"/>
        <v>1</v>
      </c>
      <c r="I890" s="188">
        <f t="shared" ca="1" si="107"/>
        <v>142.10475394460198</v>
      </c>
      <c r="J890" s="349">
        <f t="shared" ca="1" si="100"/>
        <v>142.10475394460198</v>
      </c>
    </row>
    <row r="891" spans="1:10">
      <c r="A891" s="184">
        <v>712</v>
      </c>
      <c r="B891" s="190">
        <f t="shared" ca="1" si="101"/>
        <v>7.5448284725193146E-2</v>
      </c>
      <c r="C891" s="190">
        <f t="shared" ca="1" si="102"/>
        <v>3.9278556182798546E-2</v>
      </c>
      <c r="D891" s="190">
        <f t="shared" ca="1" si="103"/>
        <v>3.1365380593816813E-2</v>
      </c>
      <c r="E891" s="190">
        <f t="shared" ca="1" si="104"/>
        <v>-2.8688309977300822E-2</v>
      </c>
      <c r="F891" s="189" t="b">
        <f t="shared" ca="1" si="105"/>
        <v>0</v>
      </c>
      <c r="G891" s="188" t="str">
        <f ca="1">IF(F891,IFERROR(((('Data Schema'!$C$3*(1+B891)^1)*((1-$I$4-$I$5+E891)*(1-$I$10)+$I$6-$I$11)-('Data Schema'!$C$3*(1+B891)^1-'Data Schema'!$C$3)*$I$12)/(1+C891)^1+(('Data Schema'!$C$3*(1+B891)^2)*((1-$I$4-$I$5+E891)*(1-$I$10)+$I$6-$I$11)-('Data Schema'!$C$3*(1+B891)^2-'Data Schema'!$C$3*(1+B891)^1)*$I$12)/(1+C891)^2+(('Data Schema'!$C$3*(1+B891)^3)*((1-$I$4-$I$5+E891)*(1-$I$10)+$I$6-$I$11)-('Data Schema'!$C$3*(1+B891)^3-'Data Schema'!$C$3*(1+B891)^2)*$I$12)/(1+C891)^3+(('Data Schema'!$C$3*(1+B891)^4)*((1-$I$4-$I$5+E891)*(1-$I$10)+$I$6-$I$11)-('Data Schema'!$C$3*(1+B891)^4-'Data Schema'!$C$3*(1+B891)^3)*$I$12)/(1+C891)^4+(('Data Schema'!$C$3*(1+B891)^5)*((1-$I$4-$I$5+E891)*(1-$I$10)+$I$6-$I$11)-('Data Schema'!$C$3*(1+B891)^5-'Data Schema'!$C$3*(1+B891)^4)*$I$12)/(1+C891)^5+((('Data Schema'!$C$3*(1+B891)^5)*((1-$I$4-$I$5+E891)*(1-$I$10)+$I$6-$I$11)-('Data Schema'!$C$3*(1+B891)^5-'Data Schema'!$C$3*(1+B891)^4)*$I$12)*(1+D891)/(C891-D891))/(1+C891)^5-'Data Schema'!$C$31+'Data Schema'!$C$21)/'Data Schema'!$B$17,0),"INVALID")</f>
        <v>INVALID</v>
      </c>
      <c r="H891" s="189" t="b">
        <f t="shared" ca="1" si="106"/>
        <v>0</v>
      </c>
      <c r="I891" s="188" t="str">
        <f t="shared" ca="1" si="107"/>
        <v/>
      </c>
      <c r="J891" s="349" t="str">
        <f t="shared" ca="1" si="100"/>
        <v/>
      </c>
    </row>
    <row r="892" spans="1:10">
      <c r="A892" s="185">
        <v>713</v>
      </c>
      <c r="B892" s="190">
        <f t="shared" ca="1" si="101"/>
        <v>9.4477373934898065E-2</v>
      </c>
      <c r="C892" s="190">
        <f t="shared" ca="1" si="102"/>
        <v>8.0292112212218048E-2</v>
      </c>
      <c r="D892" s="190">
        <f t="shared" ca="1" si="103"/>
        <v>2.6801045211405632E-2</v>
      </c>
      <c r="E892" s="190">
        <f t="shared" ca="1" si="104"/>
        <v>-8.5321750233208048E-3</v>
      </c>
      <c r="F892" s="189" t="b">
        <f t="shared" ca="1" si="105"/>
        <v>1</v>
      </c>
      <c r="G892" s="188">
        <f ca="1">IF(F892,IFERROR(((('Data Schema'!$C$3*(1+B892)^1)*((1-$I$4-$I$5+E892)*(1-$I$10)+$I$6-$I$11)-('Data Schema'!$C$3*(1+B892)^1-'Data Schema'!$C$3)*$I$12)/(1+C892)^1+(('Data Schema'!$C$3*(1+B892)^2)*((1-$I$4-$I$5+E892)*(1-$I$10)+$I$6-$I$11)-('Data Schema'!$C$3*(1+B892)^2-'Data Schema'!$C$3*(1+B892)^1)*$I$12)/(1+C892)^2+(('Data Schema'!$C$3*(1+B892)^3)*((1-$I$4-$I$5+E892)*(1-$I$10)+$I$6-$I$11)-('Data Schema'!$C$3*(1+B892)^3-'Data Schema'!$C$3*(1+B892)^2)*$I$12)/(1+C892)^3+(('Data Schema'!$C$3*(1+B892)^4)*((1-$I$4-$I$5+E892)*(1-$I$10)+$I$6-$I$11)-('Data Schema'!$C$3*(1+B892)^4-'Data Schema'!$C$3*(1+B892)^3)*$I$12)/(1+C892)^4+(('Data Schema'!$C$3*(1+B892)^5)*((1-$I$4-$I$5+E892)*(1-$I$10)+$I$6-$I$11)-('Data Schema'!$C$3*(1+B892)^5-'Data Schema'!$C$3*(1+B892)^4)*$I$12)/(1+C892)^5+((('Data Schema'!$C$3*(1+B892)^5)*((1-$I$4-$I$5+E892)*(1-$I$10)+$I$6-$I$11)-('Data Schema'!$C$3*(1+B892)^5-'Data Schema'!$C$3*(1+B892)^4)*$I$12)*(1+D892)/(C892-D892))/(1+C892)^5-'Data Schema'!$C$31+'Data Schema'!$C$21)/'Data Schema'!$B$17,0),"INVALID")</f>
        <v>36.650960504985022</v>
      </c>
      <c r="H892" s="189" t="b">
        <f t="shared" ca="1" si="106"/>
        <v>1</v>
      </c>
      <c r="I892" s="188">
        <f t="shared" ca="1" si="107"/>
        <v>36.650960504985022</v>
      </c>
      <c r="J892" s="349">
        <f t="shared" ca="1" si="100"/>
        <v>36.650960504985022</v>
      </c>
    </row>
    <row r="893" spans="1:10">
      <c r="A893" s="184">
        <v>714</v>
      </c>
      <c r="B893" s="190">
        <f t="shared" ca="1" si="101"/>
        <v>9.4589560343148846E-2</v>
      </c>
      <c r="C893" s="190">
        <f t="shared" ca="1" si="102"/>
        <v>5.8161258313038824E-2</v>
      </c>
      <c r="D893" s="190">
        <f t="shared" ca="1" si="103"/>
        <v>2.6587368467367929E-2</v>
      </c>
      <c r="E893" s="190">
        <f t="shared" ca="1" si="104"/>
        <v>3.194317079109691E-2</v>
      </c>
      <c r="F893" s="189" t="b">
        <f t="shared" ca="1" si="105"/>
        <v>1</v>
      </c>
      <c r="G893" s="188">
        <f ca="1">IF(F893,IFERROR(((('Data Schema'!$C$3*(1+B893)^1)*((1-$I$4-$I$5+E893)*(1-$I$10)+$I$6-$I$11)-('Data Schema'!$C$3*(1+B893)^1-'Data Schema'!$C$3)*$I$12)/(1+C893)^1+(('Data Schema'!$C$3*(1+B893)^2)*((1-$I$4-$I$5+E893)*(1-$I$10)+$I$6-$I$11)-('Data Schema'!$C$3*(1+B893)^2-'Data Schema'!$C$3*(1+B893)^1)*$I$12)/(1+C893)^2+(('Data Schema'!$C$3*(1+B893)^3)*((1-$I$4-$I$5+E893)*(1-$I$10)+$I$6-$I$11)-('Data Schema'!$C$3*(1+B893)^3-'Data Schema'!$C$3*(1+B893)^2)*$I$12)/(1+C893)^3+(('Data Schema'!$C$3*(1+B893)^4)*((1-$I$4-$I$5+E893)*(1-$I$10)+$I$6-$I$11)-('Data Schema'!$C$3*(1+B893)^4-'Data Schema'!$C$3*(1+B893)^3)*$I$12)/(1+C893)^4+(('Data Schema'!$C$3*(1+B893)^5)*((1-$I$4-$I$5+E893)*(1-$I$10)+$I$6-$I$11)-('Data Schema'!$C$3*(1+B893)^5-'Data Schema'!$C$3*(1+B893)^4)*$I$12)/(1+C893)^5+((('Data Schema'!$C$3*(1+B893)^5)*((1-$I$4-$I$5+E893)*(1-$I$10)+$I$6-$I$11)-('Data Schema'!$C$3*(1+B893)^5-'Data Schema'!$C$3*(1+B893)^4)*$I$12)*(1+D893)/(C893-D893))/(1+C893)^5-'Data Schema'!$C$31+'Data Schema'!$C$21)/'Data Schema'!$B$17,0),"INVALID")</f>
        <v>186.73737110290875</v>
      </c>
      <c r="H893" s="189" t="b">
        <f t="shared" ca="1" si="106"/>
        <v>1</v>
      </c>
      <c r="I893" s="188">
        <f t="shared" ca="1" si="107"/>
        <v>186.73737110290875</v>
      </c>
      <c r="J893" s="349">
        <f t="shared" ca="1" si="100"/>
        <v>186.73737110290875</v>
      </c>
    </row>
    <row r="894" spans="1:10">
      <c r="A894" s="185">
        <v>715</v>
      </c>
      <c r="B894" s="190">
        <f t="shared" ca="1" si="101"/>
        <v>0.11563043166946525</v>
      </c>
      <c r="C894" s="190">
        <f t="shared" ca="1" si="102"/>
        <v>6.0545079284545354E-2</v>
      </c>
      <c r="D894" s="190">
        <f t="shared" ca="1" si="103"/>
        <v>2.4732505508536506E-2</v>
      </c>
      <c r="E894" s="190">
        <f t="shared" ca="1" si="104"/>
        <v>1.4168021143450093E-2</v>
      </c>
      <c r="F894" s="189" t="b">
        <f t="shared" ca="1" si="105"/>
        <v>1</v>
      </c>
      <c r="G894" s="188">
        <f ca="1">IF(F894,IFERROR(((('Data Schema'!$C$3*(1+B894)^1)*((1-$I$4-$I$5+E894)*(1-$I$10)+$I$6-$I$11)-('Data Schema'!$C$3*(1+B894)^1-'Data Schema'!$C$3)*$I$12)/(1+C894)^1+(('Data Schema'!$C$3*(1+B894)^2)*((1-$I$4-$I$5+E894)*(1-$I$10)+$I$6-$I$11)-('Data Schema'!$C$3*(1+B894)^2-'Data Schema'!$C$3*(1+B894)^1)*$I$12)/(1+C894)^2+(('Data Schema'!$C$3*(1+B894)^3)*((1-$I$4-$I$5+E894)*(1-$I$10)+$I$6-$I$11)-('Data Schema'!$C$3*(1+B894)^3-'Data Schema'!$C$3*(1+B894)^2)*$I$12)/(1+C894)^3+(('Data Schema'!$C$3*(1+B894)^4)*((1-$I$4-$I$5+E894)*(1-$I$10)+$I$6-$I$11)-('Data Schema'!$C$3*(1+B894)^4-'Data Schema'!$C$3*(1+B894)^3)*$I$12)/(1+C894)^4+(('Data Schema'!$C$3*(1+B894)^5)*((1-$I$4-$I$5+E894)*(1-$I$10)+$I$6-$I$11)-('Data Schema'!$C$3*(1+B894)^5-'Data Schema'!$C$3*(1+B894)^4)*$I$12)/(1+C894)^5+((('Data Schema'!$C$3*(1+B894)^5)*((1-$I$4-$I$5+E894)*(1-$I$10)+$I$6-$I$11)-('Data Schema'!$C$3*(1+B894)^5-'Data Schema'!$C$3*(1+B894)^4)*$I$12)*(1+D894)/(C894-D894))/(1+C894)^5-'Data Schema'!$C$31+'Data Schema'!$C$21)/'Data Schema'!$B$17,0),"INVALID")</f>
        <v>128.86254094955649</v>
      </c>
      <c r="H894" s="189" t="b">
        <f t="shared" ca="1" si="106"/>
        <v>1</v>
      </c>
      <c r="I894" s="188">
        <f t="shared" ca="1" si="107"/>
        <v>128.86254094955649</v>
      </c>
      <c r="J894" s="349">
        <f t="shared" ca="1" si="100"/>
        <v>128.86254094955649</v>
      </c>
    </row>
    <row r="895" spans="1:10">
      <c r="A895" s="184">
        <v>716</v>
      </c>
      <c r="B895" s="190">
        <f t="shared" ca="1" si="101"/>
        <v>8.3426836406579233E-2</v>
      </c>
      <c r="C895" s="190">
        <f t="shared" ca="1" si="102"/>
        <v>4.9775127727706869E-2</v>
      </c>
      <c r="D895" s="190">
        <f t="shared" ca="1" si="103"/>
        <v>2.0659369093860284E-2</v>
      </c>
      <c r="E895" s="190">
        <f t="shared" ca="1" si="104"/>
        <v>1.7767793631999134E-2</v>
      </c>
      <c r="F895" s="189" t="b">
        <f t="shared" ca="1" si="105"/>
        <v>1</v>
      </c>
      <c r="G895" s="188">
        <f ca="1">IF(F895,IFERROR(((('Data Schema'!$C$3*(1+B895)^1)*((1-$I$4-$I$5+E895)*(1-$I$10)+$I$6-$I$11)-('Data Schema'!$C$3*(1+B895)^1-'Data Schema'!$C$3)*$I$12)/(1+C895)^1+(('Data Schema'!$C$3*(1+B895)^2)*((1-$I$4-$I$5+E895)*(1-$I$10)+$I$6-$I$11)-('Data Schema'!$C$3*(1+B895)^2-'Data Schema'!$C$3*(1+B895)^1)*$I$12)/(1+C895)^2+(('Data Schema'!$C$3*(1+B895)^3)*((1-$I$4-$I$5+E895)*(1-$I$10)+$I$6-$I$11)-('Data Schema'!$C$3*(1+B895)^3-'Data Schema'!$C$3*(1+B895)^2)*$I$12)/(1+C895)^3+(('Data Schema'!$C$3*(1+B895)^4)*((1-$I$4-$I$5+E895)*(1-$I$10)+$I$6-$I$11)-('Data Schema'!$C$3*(1+B895)^4-'Data Schema'!$C$3*(1+B895)^3)*$I$12)/(1+C895)^4+(('Data Schema'!$C$3*(1+B895)^5)*((1-$I$4-$I$5+E895)*(1-$I$10)+$I$6-$I$11)-('Data Schema'!$C$3*(1+B895)^5-'Data Schema'!$C$3*(1+B895)^4)*$I$12)/(1+C895)^5+((('Data Schema'!$C$3*(1+B895)^5)*((1-$I$4-$I$5+E895)*(1-$I$10)+$I$6-$I$11)-('Data Schema'!$C$3*(1+B895)^5-'Data Schema'!$C$3*(1+B895)^4)*$I$12)*(1+D895)/(C895-D895))/(1+C895)^5-'Data Schema'!$C$31+'Data Schema'!$C$21)/'Data Schema'!$B$17,0),"INVALID")</f>
        <v>154.50874564143118</v>
      </c>
      <c r="H895" s="189" t="b">
        <f t="shared" ca="1" si="106"/>
        <v>1</v>
      </c>
      <c r="I895" s="188">
        <f t="shared" ca="1" si="107"/>
        <v>154.50874564143118</v>
      </c>
      <c r="J895" s="349">
        <f t="shared" ca="1" si="100"/>
        <v>154.50874564143118</v>
      </c>
    </row>
    <row r="896" spans="1:10">
      <c r="A896" s="185">
        <v>717</v>
      </c>
      <c r="B896" s="190">
        <f t="shared" ca="1" si="101"/>
        <v>0.112916739073296</v>
      </c>
      <c r="C896" s="190">
        <f t="shared" ca="1" si="102"/>
        <v>6.978382210034155E-2</v>
      </c>
      <c r="D896" s="190">
        <f t="shared" ca="1" si="103"/>
        <v>2.3588471443763685E-2</v>
      </c>
      <c r="E896" s="190">
        <f t="shared" ca="1" si="104"/>
        <v>1.274558502784741E-2</v>
      </c>
      <c r="F896" s="189" t="b">
        <f t="shared" ca="1" si="105"/>
        <v>1</v>
      </c>
      <c r="G896" s="188">
        <f ca="1">IF(F896,IFERROR(((('Data Schema'!$C$3*(1+B896)^1)*((1-$I$4-$I$5+E896)*(1-$I$10)+$I$6-$I$11)-('Data Schema'!$C$3*(1+B896)^1-'Data Schema'!$C$3)*$I$12)/(1+C896)^1+(('Data Schema'!$C$3*(1+B896)^2)*((1-$I$4-$I$5+E896)*(1-$I$10)+$I$6-$I$11)-('Data Schema'!$C$3*(1+B896)^2-'Data Schema'!$C$3*(1+B896)^1)*$I$12)/(1+C896)^2+(('Data Schema'!$C$3*(1+B896)^3)*((1-$I$4-$I$5+E896)*(1-$I$10)+$I$6-$I$11)-('Data Schema'!$C$3*(1+B896)^3-'Data Schema'!$C$3*(1+B896)^2)*$I$12)/(1+C896)^3+(('Data Schema'!$C$3*(1+B896)^4)*((1-$I$4-$I$5+E896)*(1-$I$10)+$I$6-$I$11)-('Data Schema'!$C$3*(1+B896)^4-'Data Schema'!$C$3*(1+B896)^3)*$I$12)/(1+C896)^4+(('Data Schema'!$C$3*(1+B896)^5)*((1-$I$4-$I$5+E896)*(1-$I$10)+$I$6-$I$11)-('Data Schema'!$C$3*(1+B896)^5-'Data Schema'!$C$3*(1+B896)^4)*$I$12)/(1+C896)^5+((('Data Schema'!$C$3*(1+B896)^5)*((1-$I$4-$I$5+E896)*(1-$I$10)+$I$6-$I$11)-('Data Schema'!$C$3*(1+B896)^5-'Data Schema'!$C$3*(1+B896)^4)*$I$12)*(1+D896)/(C896-D896))/(1+C896)^5-'Data Schema'!$C$31+'Data Schema'!$C$21)/'Data Schema'!$B$17,0),"INVALID")</f>
        <v>93.889379156628948</v>
      </c>
      <c r="H896" s="189" t="b">
        <f t="shared" ca="1" si="106"/>
        <v>1</v>
      </c>
      <c r="I896" s="188">
        <f t="shared" ca="1" si="107"/>
        <v>93.889379156628948</v>
      </c>
      <c r="J896" s="349">
        <f t="shared" ca="1" si="100"/>
        <v>93.889379156628948</v>
      </c>
    </row>
    <row r="897" spans="1:10">
      <c r="A897" s="184">
        <v>718</v>
      </c>
      <c r="B897" s="190">
        <f t="shared" ca="1" si="101"/>
        <v>0.13084708952712595</v>
      </c>
      <c r="C897" s="190">
        <f t="shared" ca="1" si="102"/>
        <v>4.5739986337343372E-2</v>
      </c>
      <c r="D897" s="190">
        <f t="shared" ca="1" si="103"/>
        <v>2.2144530741791329E-2</v>
      </c>
      <c r="E897" s="190">
        <f t="shared" ca="1" si="104"/>
        <v>-2.9159877560592361E-3</v>
      </c>
      <c r="F897" s="189" t="b">
        <f t="shared" ca="1" si="105"/>
        <v>1</v>
      </c>
      <c r="G897" s="188">
        <f ca="1">IF(F897,IFERROR(((('Data Schema'!$C$3*(1+B897)^1)*((1-$I$4-$I$5+E897)*(1-$I$10)+$I$6-$I$11)-('Data Schema'!$C$3*(1+B897)^1-'Data Schema'!$C$3)*$I$12)/(1+C897)^1+(('Data Schema'!$C$3*(1+B897)^2)*((1-$I$4-$I$5+E897)*(1-$I$10)+$I$6-$I$11)-('Data Schema'!$C$3*(1+B897)^2-'Data Schema'!$C$3*(1+B897)^1)*$I$12)/(1+C897)^2+(('Data Schema'!$C$3*(1+B897)^3)*((1-$I$4-$I$5+E897)*(1-$I$10)+$I$6-$I$11)-('Data Schema'!$C$3*(1+B897)^3-'Data Schema'!$C$3*(1+B897)^2)*$I$12)/(1+C897)^3+(('Data Schema'!$C$3*(1+B897)^4)*((1-$I$4-$I$5+E897)*(1-$I$10)+$I$6-$I$11)-('Data Schema'!$C$3*(1+B897)^4-'Data Schema'!$C$3*(1+B897)^3)*$I$12)/(1+C897)^4+(('Data Schema'!$C$3*(1+B897)^5)*((1-$I$4-$I$5+E897)*(1-$I$10)+$I$6-$I$11)-('Data Schema'!$C$3*(1+B897)^5-'Data Schema'!$C$3*(1+B897)^4)*$I$12)/(1+C897)^5+((('Data Schema'!$C$3*(1+B897)^5)*((1-$I$4-$I$5+E897)*(1-$I$10)+$I$6-$I$11)-('Data Schema'!$C$3*(1+B897)^5-'Data Schema'!$C$3*(1+B897)^4)*$I$12)*(1+D897)/(C897-D897))/(1+C897)^5-'Data Schema'!$C$31+'Data Schema'!$C$21)/'Data Schema'!$B$17,0),"INVALID")</f>
        <v>135.39292971383398</v>
      </c>
      <c r="H897" s="189" t="b">
        <f t="shared" ca="1" si="106"/>
        <v>1</v>
      </c>
      <c r="I897" s="188">
        <f t="shared" ca="1" si="107"/>
        <v>135.39292971383398</v>
      </c>
      <c r="J897" s="349">
        <f t="shared" ca="1" si="100"/>
        <v>135.39292971383398</v>
      </c>
    </row>
    <row r="898" spans="1:10">
      <c r="A898" s="185">
        <v>719</v>
      </c>
      <c r="B898" s="190">
        <f t="shared" ca="1" si="101"/>
        <v>0.1006282627689737</v>
      </c>
      <c r="C898" s="190">
        <f t="shared" ca="1" si="102"/>
        <v>7.4908926825462768E-2</v>
      </c>
      <c r="D898" s="190">
        <f t="shared" ca="1" si="103"/>
        <v>2.9082220823000021E-2</v>
      </c>
      <c r="E898" s="190">
        <f t="shared" ca="1" si="104"/>
        <v>-2.7437759470554175E-2</v>
      </c>
      <c r="F898" s="189" t="b">
        <f t="shared" ca="1" si="105"/>
        <v>1</v>
      </c>
      <c r="G898" s="188">
        <f ca="1">IF(F898,IFERROR(((('Data Schema'!$C$3*(1+B898)^1)*((1-$I$4-$I$5+E898)*(1-$I$10)+$I$6-$I$11)-('Data Schema'!$C$3*(1+B898)^1-'Data Schema'!$C$3)*$I$12)/(1+C898)^1+(('Data Schema'!$C$3*(1+B898)^2)*((1-$I$4-$I$5+E898)*(1-$I$10)+$I$6-$I$11)-('Data Schema'!$C$3*(1+B898)^2-'Data Schema'!$C$3*(1+B898)^1)*$I$12)/(1+C898)^2+(('Data Schema'!$C$3*(1+B898)^3)*((1-$I$4-$I$5+E898)*(1-$I$10)+$I$6-$I$11)-('Data Schema'!$C$3*(1+B898)^3-'Data Schema'!$C$3*(1+B898)^2)*$I$12)/(1+C898)^3+(('Data Schema'!$C$3*(1+B898)^4)*((1-$I$4-$I$5+E898)*(1-$I$10)+$I$6-$I$11)-('Data Schema'!$C$3*(1+B898)^4-'Data Schema'!$C$3*(1+B898)^3)*$I$12)/(1+C898)^4+(('Data Schema'!$C$3*(1+B898)^5)*((1-$I$4-$I$5+E898)*(1-$I$10)+$I$6-$I$11)-('Data Schema'!$C$3*(1+B898)^5-'Data Schema'!$C$3*(1+B898)^4)*$I$12)/(1+C898)^5+((('Data Schema'!$C$3*(1+B898)^5)*((1-$I$4-$I$5+E898)*(1-$I$10)+$I$6-$I$11)-('Data Schema'!$C$3*(1+B898)^5-'Data Schema'!$C$3*(1+B898)^4)*$I$12)*(1+D898)/(C898-D898))/(1+C898)^5-'Data Schema'!$C$31+'Data Schema'!$C$21)/'Data Schema'!$B$17,0),"INVALID")</f>
        <v>6.1676364251758446</v>
      </c>
      <c r="H898" s="189" t="b">
        <f t="shared" ca="1" si="106"/>
        <v>0</v>
      </c>
      <c r="I898" s="188" t="str">
        <f t="shared" ca="1" si="107"/>
        <v/>
      </c>
      <c r="J898" s="349" t="str">
        <f t="shared" ca="1" si="100"/>
        <v/>
      </c>
    </row>
    <row r="899" spans="1:10">
      <c r="A899" s="184">
        <v>720</v>
      </c>
      <c r="B899" s="190">
        <f t="shared" ca="1" si="101"/>
        <v>8.8027608075371744E-2</v>
      </c>
      <c r="C899" s="190">
        <f t="shared" ca="1" si="102"/>
        <v>5.3358826127099898E-2</v>
      </c>
      <c r="D899" s="190">
        <f t="shared" ca="1" si="103"/>
        <v>3.109751790400473E-2</v>
      </c>
      <c r="E899" s="190">
        <f t="shared" ca="1" si="104"/>
        <v>2.315371108670438E-2</v>
      </c>
      <c r="F899" s="189" t="b">
        <f t="shared" ca="1" si="105"/>
        <v>1</v>
      </c>
      <c r="G899" s="188">
        <f ca="1">IF(F899,IFERROR(((('Data Schema'!$C$3*(1+B899)^1)*((1-$I$4-$I$5+E899)*(1-$I$10)+$I$6-$I$11)-('Data Schema'!$C$3*(1+B899)^1-'Data Schema'!$C$3)*$I$12)/(1+C899)^1+(('Data Schema'!$C$3*(1+B899)^2)*((1-$I$4-$I$5+E899)*(1-$I$10)+$I$6-$I$11)-('Data Schema'!$C$3*(1+B899)^2-'Data Schema'!$C$3*(1+B899)^1)*$I$12)/(1+C899)^2+(('Data Schema'!$C$3*(1+B899)^3)*((1-$I$4-$I$5+E899)*(1-$I$10)+$I$6-$I$11)-('Data Schema'!$C$3*(1+B899)^3-'Data Schema'!$C$3*(1+B899)^2)*$I$12)/(1+C899)^3+(('Data Schema'!$C$3*(1+B899)^4)*((1-$I$4-$I$5+E899)*(1-$I$10)+$I$6-$I$11)-('Data Schema'!$C$3*(1+B899)^4-'Data Schema'!$C$3*(1+B899)^3)*$I$12)/(1+C899)^4+(('Data Schema'!$C$3*(1+B899)^5)*((1-$I$4-$I$5+E899)*(1-$I$10)+$I$6-$I$11)-('Data Schema'!$C$3*(1+B899)^5-'Data Schema'!$C$3*(1+B899)^4)*$I$12)/(1+C899)^5+((('Data Schema'!$C$3*(1+B899)^5)*((1-$I$4-$I$5+E899)*(1-$I$10)+$I$6-$I$11)-('Data Schema'!$C$3*(1+B899)^5-'Data Schema'!$C$3*(1+B899)^4)*$I$12)*(1+D899)/(C899-D899))/(1+C899)^5-'Data Schema'!$C$31+'Data Schema'!$C$21)/'Data Schema'!$B$17,0),"INVALID")</f>
        <v>222.22527841425759</v>
      </c>
      <c r="H899" s="189" t="b">
        <f t="shared" ca="1" si="106"/>
        <v>1</v>
      </c>
      <c r="I899" s="188">
        <f t="shared" ca="1" si="107"/>
        <v>222.22527841425759</v>
      </c>
      <c r="J899" s="349">
        <f t="shared" ca="1" si="100"/>
        <v>222.22527841425759</v>
      </c>
    </row>
    <row r="900" spans="1:10">
      <c r="A900" s="185">
        <v>721</v>
      </c>
      <c r="B900" s="190">
        <f t="shared" ca="1" si="101"/>
        <v>7.6787743288181276E-2</v>
      </c>
      <c r="C900" s="190">
        <f t="shared" ca="1" si="102"/>
        <v>5.832867808326303E-2</v>
      </c>
      <c r="D900" s="190">
        <f t="shared" ca="1" si="103"/>
        <v>1.9065998165891988E-2</v>
      </c>
      <c r="E900" s="190">
        <f t="shared" ca="1" si="104"/>
        <v>1.1397102292676927E-2</v>
      </c>
      <c r="F900" s="189" t="b">
        <f t="shared" ca="1" si="105"/>
        <v>1</v>
      </c>
      <c r="G900" s="188">
        <f ca="1">IF(F900,IFERROR(((('Data Schema'!$C$3*(1+B900)^1)*((1-$I$4-$I$5+E900)*(1-$I$10)+$I$6-$I$11)-('Data Schema'!$C$3*(1+B900)^1-'Data Schema'!$C$3)*$I$12)/(1+C900)^1+(('Data Schema'!$C$3*(1+B900)^2)*((1-$I$4-$I$5+E900)*(1-$I$10)+$I$6-$I$11)-('Data Schema'!$C$3*(1+B900)^2-'Data Schema'!$C$3*(1+B900)^1)*$I$12)/(1+C900)^2+(('Data Schema'!$C$3*(1+B900)^3)*((1-$I$4-$I$5+E900)*(1-$I$10)+$I$6-$I$11)-('Data Schema'!$C$3*(1+B900)^3-'Data Schema'!$C$3*(1+B900)^2)*$I$12)/(1+C900)^3+(('Data Schema'!$C$3*(1+B900)^4)*((1-$I$4-$I$5+E900)*(1-$I$10)+$I$6-$I$11)-('Data Schema'!$C$3*(1+B900)^4-'Data Schema'!$C$3*(1+B900)^3)*$I$12)/(1+C900)^4+(('Data Schema'!$C$3*(1+B900)^5)*((1-$I$4-$I$5+E900)*(1-$I$10)+$I$6-$I$11)-('Data Schema'!$C$3*(1+B900)^5-'Data Schema'!$C$3*(1+B900)^4)*$I$12)/(1+C900)^5+((('Data Schema'!$C$3*(1+B900)^5)*((1-$I$4-$I$5+E900)*(1-$I$10)+$I$6-$I$11)-('Data Schema'!$C$3*(1+B900)^5-'Data Schema'!$C$3*(1+B900)^4)*$I$12)*(1+D900)/(C900-D900))/(1+C900)^5-'Data Schema'!$C$31+'Data Schema'!$C$21)/'Data Schema'!$B$17,0),"INVALID")</f>
        <v>95.541990330418798</v>
      </c>
      <c r="H900" s="189" t="b">
        <f t="shared" ca="1" si="106"/>
        <v>1</v>
      </c>
      <c r="I900" s="188">
        <f t="shared" ca="1" si="107"/>
        <v>95.541990330418798</v>
      </c>
      <c r="J900" s="349">
        <f t="shared" ca="1" si="100"/>
        <v>95.541990330418798</v>
      </c>
    </row>
    <row r="901" spans="1:10">
      <c r="A901" s="184">
        <v>722</v>
      </c>
      <c r="B901" s="190">
        <f t="shared" ca="1" si="101"/>
        <v>0.14022358625406767</v>
      </c>
      <c r="C901" s="190">
        <f t="shared" ca="1" si="102"/>
        <v>5.5053990337963488E-2</v>
      </c>
      <c r="D901" s="190">
        <f t="shared" ca="1" si="103"/>
        <v>2.5810013230264175E-2</v>
      </c>
      <c r="E901" s="190">
        <f t="shared" ca="1" si="104"/>
        <v>-3.1772674428935672E-2</v>
      </c>
      <c r="F901" s="189" t="b">
        <f t="shared" ca="1" si="105"/>
        <v>1</v>
      </c>
      <c r="G901" s="188">
        <f ca="1">IF(F901,IFERROR(((('Data Schema'!$C$3*(1+B901)^1)*((1-$I$4-$I$5+E901)*(1-$I$10)+$I$6-$I$11)-('Data Schema'!$C$3*(1+B901)^1-'Data Schema'!$C$3)*$I$12)/(1+C901)^1+(('Data Schema'!$C$3*(1+B901)^2)*((1-$I$4-$I$5+E901)*(1-$I$10)+$I$6-$I$11)-('Data Schema'!$C$3*(1+B901)^2-'Data Schema'!$C$3*(1+B901)^1)*$I$12)/(1+C901)^2+(('Data Schema'!$C$3*(1+B901)^3)*((1-$I$4-$I$5+E901)*(1-$I$10)+$I$6-$I$11)-('Data Schema'!$C$3*(1+B901)^3-'Data Schema'!$C$3*(1+B901)^2)*$I$12)/(1+C901)^3+(('Data Schema'!$C$3*(1+B901)^4)*((1-$I$4-$I$5+E901)*(1-$I$10)+$I$6-$I$11)-('Data Schema'!$C$3*(1+B901)^4-'Data Schema'!$C$3*(1+B901)^3)*$I$12)/(1+C901)^4+(('Data Schema'!$C$3*(1+B901)^5)*((1-$I$4-$I$5+E901)*(1-$I$10)+$I$6-$I$11)-('Data Schema'!$C$3*(1+B901)^5-'Data Schema'!$C$3*(1+B901)^4)*$I$12)/(1+C901)^5+((('Data Schema'!$C$3*(1+B901)^5)*((1-$I$4-$I$5+E901)*(1-$I$10)+$I$6-$I$11)-('Data Schema'!$C$3*(1+B901)^5-'Data Schema'!$C$3*(1+B901)^4)*$I$12)*(1+D901)/(C901-D901))/(1+C901)^5-'Data Schema'!$C$31+'Data Schema'!$C$21)/'Data Schema'!$B$17,0),"INVALID")</f>
        <v>-2.0665606499496674</v>
      </c>
      <c r="H901" s="189" t="b">
        <f t="shared" ca="1" si="106"/>
        <v>0</v>
      </c>
      <c r="I901" s="188" t="str">
        <f t="shared" ca="1" si="107"/>
        <v/>
      </c>
      <c r="J901" s="349" t="str">
        <f t="shared" ca="1" si="100"/>
        <v/>
      </c>
    </row>
    <row r="902" spans="1:10">
      <c r="A902" s="185">
        <v>723</v>
      </c>
      <c r="B902" s="190">
        <f t="shared" ca="1" si="101"/>
        <v>5.8180579053700464E-2</v>
      </c>
      <c r="C902" s="190">
        <f t="shared" ca="1" si="102"/>
        <v>4.5654261112209577E-2</v>
      </c>
      <c r="D902" s="190">
        <f t="shared" ca="1" si="103"/>
        <v>2.9070577550769416E-2</v>
      </c>
      <c r="E902" s="190">
        <f t="shared" ca="1" si="104"/>
        <v>-1.5325231815195531E-2</v>
      </c>
      <c r="F902" s="189" t="b">
        <f t="shared" ca="1" si="105"/>
        <v>1</v>
      </c>
      <c r="G902" s="188">
        <f ca="1">IF(F902,IFERROR(((('Data Schema'!$C$3*(1+B902)^1)*((1-$I$4-$I$5+E902)*(1-$I$10)+$I$6-$I$11)-('Data Schema'!$C$3*(1+B902)^1-'Data Schema'!$C$3)*$I$12)/(1+C902)^1+(('Data Schema'!$C$3*(1+B902)^2)*((1-$I$4-$I$5+E902)*(1-$I$10)+$I$6-$I$11)-('Data Schema'!$C$3*(1+B902)^2-'Data Schema'!$C$3*(1+B902)^1)*$I$12)/(1+C902)^2+(('Data Schema'!$C$3*(1+B902)^3)*((1-$I$4-$I$5+E902)*(1-$I$10)+$I$6-$I$11)-('Data Schema'!$C$3*(1+B902)^3-'Data Schema'!$C$3*(1+B902)^2)*$I$12)/(1+C902)^3+(('Data Schema'!$C$3*(1+B902)^4)*((1-$I$4-$I$5+E902)*(1-$I$10)+$I$6-$I$11)-('Data Schema'!$C$3*(1+B902)^4-'Data Schema'!$C$3*(1+B902)^3)*$I$12)/(1+C902)^4+(('Data Schema'!$C$3*(1+B902)^5)*((1-$I$4-$I$5+E902)*(1-$I$10)+$I$6-$I$11)-('Data Schema'!$C$3*(1+B902)^5-'Data Schema'!$C$3*(1+B902)^4)*$I$12)/(1+C902)^5+((('Data Schema'!$C$3*(1+B902)^5)*((1-$I$4-$I$5+E902)*(1-$I$10)+$I$6-$I$11)-('Data Schema'!$C$3*(1+B902)^5-'Data Schema'!$C$3*(1+B902)^4)*$I$12)*(1+D902)/(C902-D902))/(1+C902)^5-'Data Schema'!$C$31+'Data Schema'!$C$21)/'Data Schema'!$B$17,0),"INVALID")</f>
        <v>85.539902473655431</v>
      </c>
      <c r="H902" s="189" t="b">
        <f t="shared" ca="1" si="106"/>
        <v>1</v>
      </c>
      <c r="I902" s="188">
        <f t="shared" ca="1" si="107"/>
        <v>85.539902473655431</v>
      </c>
      <c r="J902" s="349">
        <f t="shared" ca="1" si="100"/>
        <v>85.539902473655431</v>
      </c>
    </row>
    <row r="903" spans="1:10">
      <c r="A903" s="184">
        <v>724</v>
      </c>
      <c r="B903" s="190">
        <f t="shared" ca="1" si="101"/>
        <v>0.11684325919505356</v>
      </c>
      <c r="C903" s="190">
        <f t="shared" ca="1" si="102"/>
        <v>5.9352664262111277E-2</v>
      </c>
      <c r="D903" s="190">
        <f t="shared" ca="1" si="103"/>
        <v>2.07594563624783E-2</v>
      </c>
      <c r="E903" s="190">
        <f t="shared" ca="1" si="104"/>
        <v>-3.1305671498536853E-3</v>
      </c>
      <c r="F903" s="189" t="b">
        <f t="shared" ca="1" si="105"/>
        <v>1</v>
      </c>
      <c r="G903" s="188">
        <f ca="1">IF(F903,IFERROR(((('Data Schema'!$C$3*(1+B903)^1)*((1-$I$4-$I$5+E903)*(1-$I$10)+$I$6-$I$11)-('Data Schema'!$C$3*(1+B903)^1-'Data Schema'!$C$3)*$I$12)/(1+C903)^1+(('Data Schema'!$C$3*(1+B903)^2)*((1-$I$4-$I$5+E903)*(1-$I$10)+$I$6-$I$11)-('Data Schema'!$C$3*(1+B903)^2-'Data Schema'!$C$3*(1+B903)^1)*$I$12)/(1+C903)^2+(('Data Schema'!$C$3*(1+B903)^3)*((1-$I$4-$I$5+E903)*(1-$I$10)+$I$6-$I$11)-('Data Schema'!$C$3*(1+B903)^3-'Data Schema'!$C$3*(1+B903)^2)*$I$12)/(1+C903)^3+(('Data Schema'!$C$3*(1+B903)^4)*((1-$I$4-$I$5+E903)*(1-$I$10)+$I$6-$I$11)-('Data Schema'!$C$3*(1+B903)^4-'Data Schema'!$C$3*(1+B903)^3)*$I$12)/(1+C903)^4+(('Data Schema'!$C$3*(1+B903)^5)*((1-$I$4-$I$5+E903)*(1-$I$10)+$I$6-$I$11)-('Data Schema'!$C$3*(1+B903)^5-'Data Schema'!$C$3*(1+B903)^4)*$I$12)/(1+C903)^5+((('Data Schema'!$C$3*(1+B903)^5)*((1-$I$4-$I$5+E903)*(1-$I$10)+$I$6-$I$11)-('Data Schema'!$C$3*(1+B903)^5-'Data Schema'!$C$3*(1+B903)^4)*$I$12)*(1+D903)/(C903-D903))/(1+C903)^5-'Data Schema'!$C$31+'Data Schema'!$C$21)/'Data Schema'!$B$17,0),"INVALID")</f>
        <v>74.742286913809096</v>
      </c>
      <c r="H903" s="189" t="b">
        <f t="shared" ca="1" si="106"/>
        <v>1</v>
      </c>
      <c r="I903" s="188">
        <f t="shared" ca="1" si="107"/>
        <v>74.742286913809096</v>
      </c>
      <c r="J903" s="349">
        <f t="shared" ca="1" si="100"/>
        <v>74.742286913809096</v>
      </c>
    </row>
    <row r="904" spans="1:10">
      <c r="A904" s="185">
        <v>725</v>
      </c>
      <c r="B904" s="190">
        <f t="shared" ca="1" si="101"/>
        <v>0.1175418756092948</v>
      </c>
      <c r="C904" s="190">
        <f t="shared" ca="1" si="102"/>
        <v>4.9238755740818728E-2</v>
      </c>
      <c r="D904" s="190">
        <f t="shared" ca="1" si="103"/>
        <v>2.0479917996900653E-2</v>
      </c>
      <c r="E904" s="190">
        <f t="shared" ca="1" si="104"/>
        <v>-2.7742655845290037E-2</v>
      </c>
      <c r="F904" s="189" t="b">
        <f t="shared" ca="1" si="105"/>
        <v>1</v>
      </c>
      <c r="G904" s="188">
        <f ca="1">IF(F904,IFERROR(((('Data Schema'!$C$3*(1+B904)^1)*((1-$I$4-$I$5+E904)*(1-$I$10)+$I$6-$I$11)-('Data Schema'!$C$3*(1+B904)^1-'Data Schema'!$C$3)*$I$12)/(1+C904)^1+(('Data Schema'!$C$3*(1+B904)^2)*((1-$I$4-$I$5+E904)*(1-$I$10)+$I$6-$I$11)-('Data Schema'!$C$3*(1+B904)^2-'Data Schema'!$C$3*(1+B904)^1)*$I$12)/(1+C904)^2+(('Data Schema'!$C$3*(1+B904)^3)*((1-$I$4-$I$5+E904)*(1-$I$10)+$I$6-$I$11)-('Data Schema'!$C$3*(1+B904)^3-'Data Schema'!$C$3*(1+B904)^2)*$I$12)/(1+C904)^3+(('Data Schema'!$C$3*(1+B904)^4)*((1-$I$4-$I$5+E904)*(1-$I$10)+$I$6-$I$11)-('Data Schema'!$C$3*(1+B904)^4-'Data Schema'!$C$3*(1+B904)^3)*$I$12)/(1+C904)^4+(('Data Schema'!$C$3*(1+B904)^5)*((1-$I$4-$I$5+E904)*(1-$I$10)+$I$6-$I$11)-('Data Schema'!$C$3*(1+B904)^5-'Data Schema'!$C$3*(1+B904)^4)*$I$12)/(1+C904)^5+((('Data Schema'!$C$3*(1+B904)^5)*((1-$I$4-$I$5+E904)*(1-$I$10)+$I$6-$I$11)-('Data Schema'!$C$3*(1+B904)^5-'Data Schema'!$C$3*(1+B904)^4)*$I$12)*(1+D904)/(C904-D904))/(1+C904)^5-'Data Schema'!$C$31+'Data Schema'!$C$21)/'Data Schema'!$B$17,0),"INVALID")</f>
        <v>14.076989716816341</v>
      </c>
      <c r="H904" s="189" t="b">
        <f t="shared" ca="1" si="106"/>
        <v>1</v>
      </c>
      <c r="I904" s="188">
        <f t="shared" ca="1" si="107"/>
        <v>14.076989716816341</v>
      </c>
      <c r="J904" s="349" t="str">
        <f t="shared" ca="1" si="100"/>
        <v/>
      </c>
    </row>
    <row r="905" spans="1:10">
      <c r="A905" s="184">
        <v>726</v>
      </c>
      <c r="B905" s="190">
        <f t="shared" ca="1" si="101"/>
        <v>0.12150458438819522</v>
      </c>
      <c r="C905" s="190">
        <f t="shared" ca="1" si="102"/>
        <v>6.7391782241454048E-2</v>
      </c>
      <c r="D905" s="190">
        <f t="shared" ca="1" si="103"/>
        <v>2.1896182091092276E-2</v>
      </c>
      <c r="E905" s="190">
        <f t="shared" ca="1" si="104"/>
        <v>2.7394919564396207E-2</v>
      </c>
      <c r="F905" s="189" t="b">
        <f t="shared" ca="1" si="105"/>
        <v>1</v>
      </c>
      <c r="G905" s="188">
        <f ca="1">IF(F905,IFERROR(((('Data Schema'!$C$3*(1+B905)^1)*((1-$I$4-$I$5+E905)*(1-$I$10)+$I$6-$I$11)-('Data Schema'!$C$3*(1+B905)^1-'Data Schema'!$C$3)*$I$12)/(1+C905)^1+(('Data Schema'!$C$3*(1+B905)^2)*((1-$I$4-$I$5+E905)*(1-$I$10)+$I$6-$I$11)-('Data Schema'!$C$3*(1+B905)^2-'Data Schema'!$C$3*(1+B905)^1)*$I$12)/(1+C905)^2+(('Data Schema'!$C$3*(1+B905)^3)*((1-$I$4-$I$5+E905)*(1-$I$10)+$I$6-$I$11)-('Data Schema'!$C$3*(1+B905)^3-'Data Schema'!$C$3*(1+B905)^2)*$I$12)/(1+C905)^3+(('Data Schema'!$C$3*(1+B905)^4)*((1-$I$4-$I$5+E905)*(1-$I$10)+$I$6-$I$11)-('Data Schema'!$C$3*(1+B905)^4-'Data Schema'!$C$3*(1+B905)^3)*$I$12)/(1+C905)^4+(('Data Schema'!$C$3*(1+B905)^5)*((1-$I$4-$I$5+E905)*(1-$I$10)+$I$6-$I$11)-('Data Schema'!$C$3*(1+B905)^5-'Data Schema'!$C$3*(1+B905)^4)*$I$12)/(1+C905)^5+((('Data Schema'!$C$3*(1+B905)^5)*((1-$I$4-$I$5+E905)*(1-$I$10)+$I$6-$I$11)-('Data Schema'!$C$3*(1+B905)^5-'Data Schema'!$C$3*(1+B905)^4)*$I$12)*(1+D905)/(C905-D905))/(1+C905)^5-'Data Schema'!$C$31+'Data Schema'!$C$21)/'Data Schema'!$B$17,0),"INVALID")</f>
        <v>133.23111371546926</v>
      </c>
      <c r="H905" s="189" t="b">
        <f t="shared" ca="1" si="106"/>
        <v>1</v>
      </c>
      <c r="I905" s="188">
        <f t="shared" ca="1" si="107"/>
        <v>133.23111371546926</v>
      </c>
      <c r="J905" s="349">
        <f t="shared" ca="1" si="100"/>
        <v>133.23111371546926</v>
      </c>
    </row>
    <row r="906" spans="1:10">
      <c r="A906" s="185">
        <v>727</v>
      </c>
      <c r="B906" s="190">
        <f t="shared" ca="1" si="101"/>
        <v>9.0078164109876527E-2</v>
      </c>
      <c r="C906" s="190">
        <f t="shared" ca="1" si="102"/>
        <v>6.735256242810081E-2</v>
      </c>
      <c r="D906" s="190">
        <f t="shared" ca="1" si="103"/>
        <v>2.5703068883283157E-2</v>
      </c>
      <c r="E906" s="190">
        <f t="shared" ca="1" si="104"/>
        <v>2.1624439220539513E-2</v>
      </c>
      <c r="F906" s="189" t="b">
        <f t="shared" ca="1" si="105"/>
        <v>1</v>
      </c>
      <c r="G906" s="188">
        <f ca="1">IF(F906,IFERROR(((('Data Schema'!$C$3*(1+B906)^1)*((1-$I$4-$I$5+E906)*(1-$I$10)+$I$6-$I$11)-('Data Schema'!$C$3*(1+B906)^1-'Data Schema'!$C$3)*$I$12)/(1+C906)^1+(('Data Schema'!$C$3*(1+B906)^2)*((1-$I$4-$I$5+E906)*(1-$I$10)+$I$6-$I$11)-('Data Schema'!$C$3*(1+B906)^2-'Data Schema'!$C$3*(1+B906)^1)*$I$12)/(1+C906)^2+(('Data Schema'!$C$3*(1+B906)^3)*((1-$I$4-$I$5+E906)*(1-$I$10)+$I$6-$I$11)-('Data Schema'!$C$3*(1+B906)^3-'Data Schema'!$C$3*(1+B906)^2)*$I$12)/(1+C906)^3+(('Data Schema'!$C$3*(1+B906)^4)*((1-$I$4-$I$5+E906)*(1-$I$10)+$I$6-$I$11)-('Data Schema'!$C$3*(1+B906)^4-'Data Schema'!$C$3*(1+B906)^3)*$I$12)/(1+C906)^4+(('Data Schema'!$C$3*(1+B906)^5)*((1-$I$4-$I$5+E906)*(1-$I$10)+$I$6-$I$11)-('Data Schema'!$C$3*(1+B906)^5-'Data Schema'!$C$3*(1+B906)^4)*$I$12)/(1+C906)^5+((('Data Schema'!$C$3*(1+B906)^5)*((1-$I$4-$I$5+E906)*(1-$I$10)+$I$6-$I$11)-('Data Schema'!$C$3*(1+B906)^5-'Data Schema'!$C$3*(1+B906)^4)*$I$12)*(1+D906)/(C906-D906))/(1+C906)^5-'Data Schema'!$C$31+'Data Schema'!$C$21)/'Data Schema'!$B$17,0),"INVALID")</f>
        <v>114.50186724951818</v>
      </c>
      <c r="H906" s="189" t="b">
        <f t="shared" ca="1" si="106"/>
        <v>1</v>
      </c>
      <c r="I906" s="188">
        <f t="shared" ca="1" si="107"/>
        <v>114.50186724951818</v>
      </c>
      <c r="J906" s="349">
        <f t="shared" ca="1" si="100"/>
        <v>114.50186724951818</v>
      </c>
    </row>
    <row r="907" spans="1:10">
      <c r="A907" s="184">
        <v>728</v>
      </c>
      <c r="B907" s="190">
        <f t="shared" ca="1" si="101"/>
        <v>0.13034557303565236</v>
      </c>
      <c r="C907" s="190">
        <f t="shared" ca="1" si="102"/>
        <v>4.8961942357225958E-2</v>
      </c>
      <c r="D907" s="190">
        <f t="shared" ca="1" si="103"/>
        <v>2.3508935948405724E-2</v>
      </c>
      <c r="E907" s="190">
        <f t="shared" ca="1" si="104"/>
        <v>7.1205300898976517E-3</v>
      </c>
      <c r="F907" s="189" t="b">
        <f t="shared" ca="1" si="105"/>
        <v>1</v>
      </c>
      <c r="G907" s="188">
        <f ca="1">IF(F907,IFERROR(((('Data Schema'!$C$3*(1+B907)^1)*((1-$I$4-$I$5+E907)*(1-$I$10)+$I$6-$I$11)-('Data Schema'!$C$3*(1+B907)^1-'Data Schema'!$C$3)*$I$12)/(1+C907)^1+(('Data Schema'!$C$3*(1+B907)^2)*((1-$I$4-$I$5+E907)*(1-$I$10)+$I$6-$I$11)-('Data Schema'!$C$3*(1+B907)^2-'Data Schema'!$C$3*(1+B907)^1)*$I$12)/(1+C907)^2+(('Data Schema'!$C$3*(1+B907)^3)*((1-$I$4-$I$5+E907)*(1-$I$10)+$I$6-$I$11)-('Data Schema'!$C$3*(1+B907)^3-'Data Schema'!$C$3*(1+B907)^2)*$I$12)/(1+C907)^3+(('Data Schema'!$C$3*(1+B907)^4)*((1-$I$4-$I$5+E907)*(1-$I$10)+$I$6-$I$11)-('Data Schema'!$C$3*(1+B907)^4-'Data Schema'!$C$3*(1+B907)^3)*$I$12)/(1+C907)^4+(('Data Schema'!$C$3*(1+B907)^5)*((1-$I$4-$I$5+E907)*(1-$I$10)+$I$6-$I$11)-('Data Schema'!$C$3*(1+B907)^5-'Data Schema'!$C$3*(1+B907)^4)*$I$12)/(1+C907)^5+((('Data Schema'!$C$3*(1+B907)^5)*((1-$I$4-$I$5+E907)*(1-$I$10)+$I$6-$I$11)-('Data Schema'!$C$3*(1+B907)^5-'Data Schema'!$C$3*(1+B907)^4)*$I$12)*(1+D907)/(C907-D907))/(1+C907)^5-'Data Schema'!$C$31+'Data Schema'!$C$21)/'Data Schema'!$B$17,0),"INVALID")</f>
        <v>167.21232109643151</v>
      </c>
      <c r="H907" s="189" t="b">
        <f t="shared" ca="1" si="106"/>
        <v>1</v>
      </c>
      <c r="I907" s="188">
        <f t="shared" ca="1" si="107"/>
        <v>167.21232109643151</v>
      </c>
      <c r="J907" s="349">
        <f t="shared" ca="1" si="100"/>
        <v>167.21232109643151</v>
      </c>
    </row>
    <row r="908" spans="1:10">
      <c r="A908" s="185">
        <v>729</v>
      </c>
      <c r="B908" s="190">
        <f t="shared" ca="1" si="101"/>
        <v>7.2889281572872597E-2</v>
      </c>
      <c r="C908" s="190">
        <f t="shared" ca="1" si="102"/>
        <v>6.8322478916340579E-2</v>
      </c>
      <c r="D908" s="190">
        <f t="shared" ca="1" si="103"/>
        <v>2.7840526355023664E-2</v>
      </c>
      <c r="E908" s="190">
        <f t="shared" ca="1" si="104"/>
        <v>-7.3462593740283542E-3</v>
      </c>
      <c r="F908" s="189" t="b">
        <f t="shared" ca="1" si="105"/>
        <v>1</v>
      </c>
      <c r="G908" s="188">
        <f ca="1">IF(F908,IFERROR(((('Data Schema'!$C$3*(1+B908)^1)*((1-$I$4-$I$5+E908)*(1-$I$10)+$I$6-$I$11)-('Data Schema'!$C$3*(1+B908)^1-'Data Schema'!$C$3)*$I$12)/(1+C908)^1+(('Data Schema'!$C$3*(1+B908)^2)*((1-$I$4-$I$5+E908)*(1-$I$10)+$I$6-$I$11)-('Data Schema'!$C$3*(1+B908)^2-'Data Schema'!$C$3*(1+B908)^1)*$I$12)/(1+C908)^2+(('Data Schema'!$C$3*(1+B908)^3)*((1-$I$4-$I$5+E908)*(1-$I$10)+$I$6-$I$11)-('Data Schema'!$C$3*(1+B908)^3-'Data Schema'!$C$3*(1+B908)^2)*$I$12)/(1+C908)^3+(('Data Schema'!$C$3*(1+B908)^4)*((1-$I$4-$I$5+E908)*(1-$I$10)+$I$6-$I$11)-('Data Schema'!$C$3*(1+B908)^4-'Data Schema'!$C$3*(1+B908)^3)*$I$12)/(1+C908)^4+(('Data Schema'!$C$3*(1+B908)^5)*((1-$I$4-$I$5+E908)*(1-$I$10)+$I$6-$I$11)-('Data Schema'!$C$3*(1+B908)^5-'Data Schema'!$C$3*(1+B908)^4)*$I$12)/(1+C908)^5+((('Data Schema'!$C$3*(1+B908)^5)*((1-$I$4-$I$5+E908)*(1-$I$10)+$I$6-$I$11)-('Data Schema'!$C$3*(1+B908)^5-'Data Schema'!$C$3*(1+B908)^4)*$I$12)*(1+D908)/(C908-D908))/(1+C908)^5-'Data Schema'!$C$31+'Data Schema'!$C$21)/'Data Schema'!$B$17,0),"INVALID")</f>
        <v>49.146905650674071</v>
      </c>
      <c r="H908" s="189" t="b">
        <f t="shared" ca="1" si="106"/>
        <v>1</v>
      </c>
      <c r="I908" s="188">
        <f t="shared" ca="1" si="107"/>
        <v>49.146905650674071</v>
      </c>
      <c r="J908" s="349">
        <f t="shared" ca="1" si="100"/>
        <v>49.146905650674071</v>
      </c>
    </row>
    <row r="909" spans="1:10">
      <c r="A909" s="184">
        <v>730</v>
      </c>
      <c r="B909" s="190">
        <f t="shared" ca="1" si="101"/>
        <v>8.2533033985169618E-2</v>
      </c>
      <c r="C909" s="190">
        <f t="shared" ca="1" si="102"/>
        <v>6.7488760593370667E-2</v>
      </c>
      <c r="D909" s="190">
        <f t="shared" ca="1" si="103"/>
        <v>3.207956063437966E-2</v>
      </c>
      <c r="E909" s="190">
        <f t="shared" ca="1" si="104"/>
        <v>3.4642808824297558E-2</v>
      </c>
      <c r="F909" s="189" t="b">
        <f t="shared" ca="1" si="105"/>
        <v>1</v>
      </c>
      <c r="G909" s="188">
        <f ca="1">IF(F909,IFERROR(((('Data Schema'!$C$3*(1+B909)^1)*((1-$I$4-$I$5+E909)*(1-$I$10)+$I$6-$I$11)-('Data Schema'!$C$3*(1+B909)^1-'Data Schema'!$C$3)*$I$12)/(1+C909)^1+(('Data Schema'!$C$3*(1+B909)^2)*((1-$I$4-$I$5+E909)*(1-$I$10)+$I$6-$I$11)-('Data Schema'!$C$3*(1+B909)^2-'Data Schema'!$C$3*(1+B909)^1)*$I$12)/(1+C909)^2+(('Data Schema'!$C$3*(1+B909)^3)*((1-$I$4-$I$5+E909)*(1-$I$10)+$I$6-$I$11)-('Data Schema'!$C$3*(1+B909)^3-'Data Schema'!$C$3*(1+B909)^2)*$I$12)/(1+C909)^3+(('Data Schema'!$C$3*(1+B909)^4)*((1-$I$4-$I$5+E909)*(1-$I$10)+$I$6-$I$11)-('Data Schema'!$C$3*(1+B909)^4-'Data Schema'!$C$3*(1+B909)^3)*$I$12)/(1+C909)^4+(('Data Schema'!$C$3*(1+B909)^5)*((1-$I$4-$I$5+E909)*(1-$I$10)+$I$6-$I$11)-('Data Schema'!$C$3*(1+B909)^5-'Data Schema'!$C$3*(1+B909)^4)*$I$12)/(1+C909)^5+((('Data Schema'!$C$3*(1+B909)^5)*((1-$I$4-$I$5+E909)*(1-$I$10)+$I$6-$I$11)-('Data Schema'!$C$3*(1+B909)^5-'Data Schema'!$C$3*(1+B909)^4)*$I$12)*(1+D909)/(C909-D909))/(1+C909)^5-'Data Schema'!$C$31+'Data Schema'!$C$21)/'Data Schema'!$B$17,0),"INVALID")</f>
        <v>160.64351466460917</v>
      </c>
      <c r="H909" s="189" t="b">
        <f t="shared" ca="1" si="106"/>
        <v>1</v>
      </c>
      <c r="I909" s="188">
        <f t="shared" ca="1" si="107"/>
        <v>160.64351466460917</v>
      </c>
      <c r="J909" s="349">
        <f t="shared" ca="1" si="100"/>
        <v>160.64351466460917</v>
      </c>
    </row>
    <row r="910" spans="1:10">
      <c r="A910" s="185">
        <v>731</v>
      </c>
      <c r="B910" s="190">
        <f t="shared" ca="1" si="101"/>
        <v>9.3862372418772017E-2</v>
      </c>
      <c r="C910" s="190">
        <f t="shared" ca="1" si="102"/>
        <v>7.1554440775616332E-2</v>
      </c>
      <c r="D910" s="190">
        <f t="shared" ca="1" si="103"/>
        <v>2.8594478147424E-2</v>
      </c>
      <c r="E910" s="190">
        <f t="shared" ca="1" si="104"/>
        <v>5.4644962671173952E-3</v>
      </c>
      <c r="F910" s="189" t="b">
        <f t="shared" ca="1" si="105"/>
        <v>1</v>
      </c>
      <c r="G910" s="188">
        <f ca="1">IF(F910,IFERROR(((('Data Schema'!$C$3*(1+B910)^1)*((1-$I$4-$I$5+E910)*(1-$I$10)+$I$6-$I$11)-('Data Schema'!$C$3*(1+B910)^1-'Data Schema'!$C$3)*$I$12)/(1+C910)^1+(('Data Schema'!$C$3*(1+B910)^2)*((1-$I$4-$I$5+E910)*(1-$I$10)+$I$6-$I$11)-('Data Schema'!$C$3*(1+B910)^2-'Data Schema'!$C$3*(1+B910)^1)*$I$12)/(1+C910)^2+(('Data Schema'!$C$3*(1+B910)^3)*((1-$I$4-$I$5+E910)*(1-$I$10)+$I$6-$I$11)-('Data Schema'!$C$3*(1+B910)^3-'Data Schema'!$C$3*(1+B910)^2)*$I$12)/(1+C910)^3+(('Data Schema'!$C$3*(1+B910)^4)*((1-$I$4-$I$5+E910)*(1-$I$10)+$I$6-$I$11)-('Data Schema'!$C$3*(1+B910)^4-'Data Schema'!$C$3*(1+B910)^3)*$I$12)/(1+C910)^4+(('Data Schema'!$C$3*(1+B910)^5)*((1-$I$4-$I$5+E910)*(1-$I$10)+$I$6-$I$11)-('Data Schema'!$C$3*(1+B910)^5-'Data Schema'!$C$3*(1+B910)^4)*$I$12)/(1+C910)^5+((('Data Schema'!$C$3*(1+B910)^5)*((1-$I$4-$I$5+E910)*(1-$I$10)+$I$6-$I$11)-('Data Schema'!$C$3*(1+B910)^5-'Data Schema'!$C$3*(1+B910)^4)*$I$12)*(1+D910)/(C910-D910))/(1+C910)^5-'Data Schema'!$C$31+'Data Schema'!$C$21)/'Data Schema'!$B$17,0),"INVALID")</f>
        <v>76.909391321778159</v>
      </c>
      <c r="H910" s="189" t="b">
        <f t="shared" ca="1" si="106"/>
        <v>1</v>
      </c>
      <c r="I910" s="188">
        <f t="shared" ca="1" si="107"/>
        <v>76.909391321778159</v>
      </c>
      <c r="J910" s="349">
        <f t="shared" ca="1" si="100"/>
        <v>76.909391321778159</v>
      </c>
    </row>
    <row r="911" spans="1:10">
      <c r="A911" s="184">
        <v>732</v>
      </c>
      <c r="B911" s="190">
        <f t="shared" ca="1" si="101"/>
        <v>0.118719131063385</v>
      </c>
      <c r="C911" s="190">
        <f t="shared" ca="1" si="102"/>
        <v>5.7636170665527821E-2</v>
      </c>
      <c r="D911" s="190">
        <f t="shared" ca="1" si="103"/>
        <v>2.8899402729112032E-2</v>
      </c>
      <c r="E911" s="190">
        <f t="shared" ca="1" si="104"/>
        <v>2.7897622487639554E-2</v>
      </c>
      <c r="F911" s="189" t="b">
        <f t="shared" ca="1" si="105"/>
        <v>1</v>
      </c>
      <c r="G911" s="188">
        <f ca="1">IF(F911,IFERROR(((('Data Schema'!$C$3*(1+B911)^1)*((1-$I$4-$I$5+E911)*(1-$I$10)+$I$6-$I$11)-('Data Schema'!$C$3*(1+B911)^1-'Data Schema'!$C$3)*$I$12)/(1+C911)^1+(('Data Schema'!$C$3*(1+B911)^2)*((1-$I$4-$I$5+E911)*(1-$I$10)+$I$6-$I$11)-('Data Schema'!$C$3*(1+B911)^2-'Data Schema'!$C$3*(1+B911)^1)*$I$12)/(1+C911)^2+(('Data Schema'!$C$3*(1+B911)^3)*((1-$I$4-$I$5+E911)*(1-$I$10)+$I$6-$I$11)-('Data Schema'!$C$3*(1+B911)^3-'Data Schema'!$C$3*(1+B911)^2)*$I$12)/(1+C911)^3+(('Data Schema'!$C$3*(1+B911)^4)*((1-$I$4-$I$5+E911)*(1-$I$10)+$I$6-$I$11)-('Data Schema'!$C$3*(1+B911)^4-'Data Schema'!$C$3*(1+B911)^3)*$I$12)/(1+C911)^4+(('Data Schema'!$C$3*(1+B911)^5)*((1-$I$4-$I$5+E911)*(1-$I$10)+$I$6-$I$11)-('Data Schema'!$C$3*(1+B911)^5-'Data Schema'!$C$3*(1+B911)^4)*$I$12)/(1+C911)^5+((('Data Schema'!$C$3*(1+B911)^5)*((1-$I$4-$I$5+E911)*(1-$I$10)+$I$6-$I$11)-('Data Schema'!$C$3*(1+B911)^5-'Data Schema'!$C$3*(1+B911)^4)*$I$12)*(1+D911)/(C911-D911))/(1+C911)^5-'Data Schema'!$C$31+'Data Schema'!$C$21)/'Data Schema'!$B$17,0),"INVALID")</f>
        <v>211.36456008535697</v>
      </c>
      <c r="H911" s="189" t="b">
        <f t="shared" ca="1" si="106"/>
        <v>1</v>
      </c>
      <c r="I911" s="188">
        <f t="shared" ca="1" si="107"/>
        <v>211.36456008535697</v>
      </c>
      <c r="J911" s="349">
        <f t="shared" ca="1" si="100"/>
        <v>211.36456008535697</v>
      </c>
    </row>
    <row r="912" spans="1:10">
      <c r="A912" s="185">
        <v>733</v>
      </c>
      <c r="B912" s="190">
        <f t="shared" ca="1" si="101"/>
        <v>0.1048316630494583</v>
      </c>
      <c r="C912" s="190">
        <f t="shared" ca="1" si="102"/>
        <v>5.9876715028818583E-2</v>
      </c>
      <c r="D912" s="190">
        <f t="shared" ca="1" si="103"/>
        <v>2.0539299967308997E-2</v>
      </c>
      <c r="E912" s="190">
        <f t="shared" ca="1" si="104"/>
        <v>1.0268123091959061E-3</v>
      </c>
      <c r="F912" s="189" t="b">
        <f t="shared" ca="1" si="105"/>
        <v>1</v>
      </c>
      <c r="G912" s="188">
        <f ca="1">IF(F912,IFERROR(((('Data Schema'!$C$3*(1+B912)^1)*((1-$I$4-$I$5+E912)*(1-$I$10)+$I$6-$I$11)-('Data Schema'!$C$3*(1+B912)^1-'Data Schema'!$C$3)*$I$12)/(1+C912)^1+(('Data Schema'!$C$3*(1+B912)^2)*((1-$I$4-$I$5+E912)*(1-$I$10)+$I$6-$I$11)-('Data Schema'!$C$3*(1+B912)^2-'Data Schema'!$C$3*(1+B912)^1)*$I$12)/(1+C912)^2+(('Data Schema'!$C$3*(1+B912)^3)*((1-$I$4-$I$5+E912)*(1-$I$10)+$I$6-$I$11)-('Data Schema'!$C$3*(1+B912)^3-'Data Schema'!$C$3*(1+B912)^2)*$I$12)/(1+C912)^3+(('Data Schema'!$C$3*(1+B912)^4)*((1-$I$4-$I$5+E912)*(1-$I$10)+$I$6-$I$11)-('Data Schema'!$C$3*(1+B912)^4-'Data Schema'!$C$3*(1+B912)^3)*$I$12)/(1+C912)^4+(('Data Schema'!$C$3*(1+B912)^5)*((1-$I$4-$I$5+E912)*(1-$I$10)+$I$6-$I$11)-('Data Schema'!$C$3*(1+B912)^5-'Data Schema'!$C$3*(1+B912)^4)*$I$12)/(1+C912)^5+((('Data Schema'!$C$3*(1+B912)^5)*((1-$I$4-$I$5+E912)*(1-$I$10)+$I$6-$I$11)-('Data Schema'!$C$3*(1+B912)^5-'Data Schema'!$C$3*(1+B912)^4)*$I$12)*(1+D912)/(C912-D912))/(1+C912)^5-'Data Schema'!$C$31+'Data Schema'!$C$21)/'Data Schema'!$B$17,0),"INVALID")</f>
        <v>80.304786119125637</v>
      </c>
      <c r="H912" s="189" t="b">
        <f t="shared" ca="1" si="106"/>
        <v>1</v>
      </c>
      <c r="I912" s="188">
        <f t="shared" ca="1" si="107"/>
        <v>80.304786119125637</v>
      </c>
      <c r="J912" s="349">
        <f t="shared" ca="1" si="100"/>
        <v>80.304786119125637</v>
      </c>
    </row>
    <row r="913" spans="1:10">
      <c r="A913" s="184">
        <v>734</v>
      </c>
      <c r="B913" s="190">
        <f t="shared" ca="1" si="101"/>
        <v>9.8946273715553992E-2</v>
      </c>
      <c r="C913" s="190">
        <f t="shared" ca="1" si="102"/>
        <v>3.3347925019723716E-2</v>
      </c>
      <c r="D913" s="190">
        <f t="shared" ca="1" si="103"/>
        <v>2.3675866183939871E-2</v>
      </c>
      <c r="E913" s="190">
        <f t="shared" ca="1" si="104"/>
        <v>1.8579091869099715E-2</v>
      </c>
      <c r="F913" s="189" t="b">
        <f t="shared" ca="1" si="105"/>
        <v>0</v>
      </c>
      <c r="G913" s="188" t="str">
        <f ca="1">IF(F913,IFERROR(((('Data Schema'!$C$3*(1+B913)^1)*((1-$I$4-$I$5+E913)*(1-$I$10)+$I$6-$I$11)-('Data Schema'!$C$3*(1+B913)^1-'Data Schema'!$C$3)*$I$12)/(1+C913)^1+(('Data Schema'!$C$3*(1+B913)^2)*((1-$I$4-$I$5+E913)*(1-$I$10)+$I$6-$I$11)-('Data Schema'!$C$3*(1+B913)^2-'Data Schema'!$C$3*(1+B913)^1)*$I$12)/(1+C913)^2+(('Data Schema'!$C$3*(1+B913)^3)*((1-$I$4-$I$5+E913)*(1-$I$10)+$I$6-$I$11)-('Data Schema'!$C$3*(1+B913)^3-'Data Schema'!$C$3*(1+B913)^2)*$I$12)/(1+C913)^3+(('Data Schema'!$C$3*(1+B913)^4)*((1-$I$4-$I$5+E913)*(1-$I$10)+$I$6-$I$11)-('Data Schema'!$C$3*(1+B913)^4-'Data Schema'!$C$3*(1+B913)^3)*$I$12)/(1+C913)^4+(('Data Schema'!$C$3*(1+B913)^5)*((1-$I$4-$I$5+E913)*(1-$I$10)+$I$6-$I$11)-('Data Schema'!$C$3*(1+B913)^5-'Data Schema'!$C$3*(1+B913)^4)*$I$12)/(1+C913)^5+((('Data Schema'!$C$3*(1+B913)^5)*((1-$I$4-$I$5+E913)*(1-$I$10)+$I$6-$I$11)-('Data Schema'!$C$3*(1+B913)^5-'Data Schema'!$C$3*(1+B913)^4)*$I$12)*(1+D913)/(C913-D913))/(1+C913)^5-'Data Schema'!$C$31+'Data Schema'!$C$21)/'Data Schema'!$B$17,0),"INVALID")</f>
        <v>INVALID</v>
      </c>
      <c r="H913" s="189" t="b">
        <f t="shared" ca="1" si="106"/>
        <v>0</v>
      </c>
      <c r="I913" s="188" t="str">
        <f t="shared" ca="1" si="107"/>
        <v/>
      </c>
      <c r="J913" s="349" t="str">
        <f t="shared" ca="1" si="100"/>
        <v/>
      </c>
    </row>
    <row r="914" spans="1:10">
      <c r="A914" s="185">
        <v>735</v>
      </c>
      <c r="B914" s="190">
        <f t="shared" ca="1" si="101"/>
        <v>0.1504562534465248</v>
      </c>
      <c r="C914" s="190">
        <f t="shared" ca="1" si="102"/>
        <v>7.0951162823077465E-2</v>
      </c>
      <c r="D914" s="190">
        <f t="shared" ca="1" si="103"/>
        <v>2.1561372765024921E-2</v>
      </c>
      <c r="E914" s="190">
        <f t="shared" ca="1" si="104"/>
        <v>1.8351881632507235E-2</v>
      </c>
      <c r="F914" s="189" t="b">
        <f t="shared" ca="1" si="105"/>
        <v>1</v>
      </c>
      <c r="G914" s="188">
        <f ca="1">IF(F914,IFERROR(((('Data Schema'!$C$3*(1+B914)^1)*((1-$I$4-$I$5+E914)*(1-$I$10)+$I$6-$I$11)-('Data Schema'!$C$3*(1+B914)^1-'Data Schema'!$C$3)*$I$12)/(1+C914)^1+(('Data Schema'!$C$3*(1+B914)^2)*((1-$I$4-$I$5+E914)*(1-$I$10)+$I$6-$I$11)-('Data Schema'!$C$3*(1+B914)^2-'Data Schema'!$C$3*(1+B914)^1)*$I$12)/(1+C914)^2+(('Data Schema'!$C$3*(1+B914)^3)*((1-$I$4-$I$5+E914)*(1-$I$10)+$I$6-$I$11)-('Data Schema'!$C$3*(1+B914)^3-'Data Schema'!$C$3*(1+B914)^2)*$I$12)/(1+C914)^3+(('Data Schema'!$C$3*(1+B914)^4)*((1-$I$4-$I$5+E914)*(1-$I$10)+$I$6-$I$11)-('Data Schema'!$C$3*(1+B914)^4-'Data Schema'!$C$3*(1+B914)^3)*$I$12)/(1+C914)^4+(('Data Schema'!$C$3*(1+B914)^5)*((1-$I$4-$I$5+E914)*(1-$I$10)+$I$6-$I$11)-('Data Schema'!$C$3*(1+B914)^5-'Data Schema'!$C$3*(1+B914)^4)*$I$12)/(1+C914)^5+((('Data Schema'!$C$3*(1+B914)^5)*((1-$I$4-$I$5+E914)*(1-$I$10)+$I$6-$I$11)-('Data Schema'!$C$3*(1+B914)^5-'Data Schema'!$C$3*(1+B914)^4)*$I$12)*(1+D914)/(C914-D914))/(1+C914)^5-'Data Schema'!$C$31+'Data Schema'!$C$21)/'Data Schema'!$B$17,0),"INVALID")</f>
        <v>115.24687812041806</v>
      </c>
      <c r="H914" s="189" t="b">
        <f t="shared" ca="1" si="106"/>
        <v>1</v>
      </c>
      <c r="I914" s="188">
        <f t="shared" ca="1" si="107"/>
        <v>115.24687812041806</v>
      </c>
      <c r="J914" s="349">
        <f t="shared" ca="1" si="100"/>
        <v>115.24687812041806</v>
      </c>
    </row>
    <row r="915" spans="1:10">
      <c r="A915" s="184">
        <v>736</v>
      </c>
      <c r="B915" s="190">
        <f t="shared" ca="1" si="101"/>
        <v>9.5759620459049205E-2</v>
      </c>
      <c r="C915" s="190">
        <f t="shared" ca="1" si="102"/>
        <v>5.3595565379496675E-2</v>
      </c>
      <c r="D915" s="190">
        <f t="shared" ca="1" si="103"/>
        <v>2.7586917502579106E-2</v>
      </c>
      <c r="E915" s="190">
        <f t="shared" ca="1" si="104"/>
        <v>1.5740130163278594E-2</v>
      </c>
      <c r="F915" s="189" t="b">
        <f t="shared" ca="1" si="105"/>
        <v>1</v>
      </c>
      <c r="G915" s="188">
        <f ca="1">IF(F915,IFERROR(((('Data Schema'!$C$3*(1+B915)^1)*((1-$I$4-$I$5+E915)*(1-$I$10)+$I$6-$I$11)-('Data Schema'!$C$3*(1+B915)^1-'Data Schema'!$C$3)*$I$12)/(1+C915)^1+(('Data Schema'!$C$3*(1+B915)^2)*((1-$I$4-$I$5+E915)*(1-$I$10)+$I$6-$I$11)-('Data Schema'!$C$3*(1+B915)^2-'Data Schema'!$C$3*(1+B915)^1)*$I$12)/(1+C915)^2+(('Data Schema'!$C$3*(1+B915)^3)*((1-$I$4-$I$5+E915)*(1-$I$10)+$I$6-$I$11)-('Data Schema'!$C$3*(1+B915)^3-'Data Schema'!$C$3*(1+B915)^2)*$I$12)/(1+C915)^3+(('Data Schema'!$C$3*(1+B915)^4)*((1-$I$4-$I$5+E915)*(1-$I$10)+$I$6-$I$11)-('Data Schema'!$C$3*(1+B915)^4-'Data Schema'!$C$3*(1+B915)^3)*$I$12)/(1+C915)^4+(('Data Schema'!$C$3*(1+B915)^5)*((1-$I$4-$I$5+E915)*(1-$I$10)+$I$6-$I$11)-('Data Schema'!$C$3*(1+B915)^5-'Data Schema'!$C$3*(1+B915)^4)*$I$12)/(1+C915)^5+((('Data Schema'!$C$3*(1+B915)^5)*((1-$I$4-$I$5+E915)*(1-$I$10)+$I$6-$I$11)-('Data Schema'!$C$3*(1+B915)^5-'Data Schema'!$C$3*(1+B915)^4)*$I$12)*(1+D915)/(C915-D915))/(1+C915)^5-'Data Schema'!$C$31+'Data Schema'!$C$21)/'Data Schema'!$B$17,0),"INVALID")</f>
        <v>171.10066009362913</v>
      </c>
      <c r="H915" s="189" t="b">
        <f t="shared" ca="1" si="106"/>
        <v>1</v>
      </c>
      <c r="I915" s="188">
        <f t="shared" ca="1" si="107"/>
        <v>171.10066009362913</v>
      </c>
      <c r="J915" s="349">
        <f t="shared" ca="1" si="100"/>
        <v>171.10066009362913</v>
      </c>
    </row>
    <row r="916" spans="1:10">
      <c r="A916" s="185">
        <v>737</v>
      </c>
      <c r="B916" s="190">
        <f t="shared" ca="1" si="101"/>
        <v>0.11284459699735146</v>
      </c>
      <c r="C916" s="190">
        <f t="shared" ca="1" si="102"/>
        <v>6.40730347163119E-2</v>
      </c>
      <c r="D916" s="190">
        <f t="shared" ca="1" si="103"/>
        <v>3.0733195699397385E-2</v>
      </c>
      <c r="E916" s="190">
        <f t="shared" ca="1" si="104"/>
        <v>-4.1114353008975865E-3</v>
      </c>
      <c r="F916" s="189" t="b">
        <f t="shared" ca="1" si="105"/>
        <v>1</v>
      </c>
      <c r="G916" s="188">
        <f ca="1">IF(F916,IFERROR(((('Data Schema'!$C$3*(1+B916)^1)*((1-$I$4-$I$5+E916)*(1-$I$10)+$I$6-$I$11)-('Data Schema'!$C$3*(1+B916)^1-'Data Schema'!$C$3)*$I$12)/(1+C916)^1+(('Data Schema'!$C$3*(1+B916)^2)*((1-$I$4-$I$5+E916)*(1-$I$10)+$I$6-$I$11)-('Data Schema'!$C$3*(1+B916)^2-'Data Schema'!$C$3*(1+B916)^1)*$I$12)/(1+C916)^2+(('Data Schema'!$C$3*(1+B916)^3)*((1-$I$4-$I$5+E916)*(1-$I$10)+$I$6-$I$11)-('Data Schema'!$C$3*(1+B916)^3-'Data Schema'!$C$3*(1+B916)^2)*$I$12)/(1+C916)^3+(('Data Schema'!$C$3*(1+B916)^4)*((1-$I$4-$I$5+E916)*(1-$I$10)+$I$6-$I$11)-('Data Schema'!$C$3*(1+B916)^4-'Data Schema'!$C$3*(1+B916)^3)*$I$12)/(1+C916)^4+(('Data Schema'!$C$3*(1+B916)^5)*((1-$I$4-$I$5+E916)*(1-$I$10)+$I$6-$I$11)-('Data Schema'!$C$3*(1+B916)^5-'Data Schema'!$C$3*(1+B916)^4)*$I$12)/(1+C916)^5+((('Data Schema'!$C$3*(1+B916)^5)*((1-$I$4-$I$5+E916)*(1-$I$10)+$I$6-$I$11)-('Data Schema'!$C$3*(1+B916)^5-'Data Schema'!$C$3*(1+B916)^4)*$I$12)*(1+D916)/(C916-D916))/(1+C916)^5-'Data Schema'!$C$31+'Data Schema'!$C$21)/'Data Schema'!$B$17,0),"INVALID")</f>
        <v>80.381674665410955</v>
      </c>
      <c r="H916" s="189" t="b">
        <f t="shared" ca="1" si="106"/>
        <v>1</v>
      </c>
      <c r="I916" s="188">
        <f t="shared" ca="1" si="107"/>
        <v>80.381674665410955</v>
      </c>
      <c r="J916" s="349">
        <f t="shared" ca="1" si="100"/>
        <v>80.381674665410955</v>
      </c>
    </row>
    <row r="917" spans="1:10">
      <c r="A917" s="184">
        <v>738</v>
      </c>
      <c r="B917" s="190">
        <f t="shared" ca="1" si="101"/>
        <v>0.1104558914146003</v>
      </c>
      <c r="C917" s="190">
        <f t="shared" ca="1" si="102"/>
        <v>5.6533648103885288E-2</v>
      </c>
      <c r="D917" s="190">
        <f t="shared" ca="1" si="103"/>
        <v>2.1564189563128031E-2</v>
      </c>
      <c r="E917" s="190">
        <f t="shared" ca="1" si="104"/>
        <v>-2.9134660407219327E-2</v>
      </c>
      <c r="F917" s="189" t="b">
        <f t="shared" ca="1" si="105"/>
        <v>1</v>
      </c>
      <c r="G917" s="188">
        <f ca="1">IF(F917,IFERROR(((('Data Schema'!$C$3*(1+B917)^1)*((1-$I$4-$I$5+E917)*(1-$I$10)+$I$6-$I$11)-('Data Schema'!$C$3*(1+B917)^1-'Data Schema'!$C$3)*$I$12)/(1+C917)^1+(('Data Schema'!$C$3*(1+B917)^2)*((1-$I$4-$I$5+E917)*(1-$I$10)+$I$6-$I$11)-('Data Schema'!$C$3*(1+B917)^2-'Data Schema'!$C$3*(1+B917)^1)*$I$12)/(1+C917)^2+(('Data Schema'!$C$3*(1+B917)^3)*((1-$I$4-$I$5+E917)*(1-$I$10)+$I$6-$I$11)-('Data Schema'!$C$3*(1+B917)^3-'Data Schema'!$C$3*(1+B917)^2)*$I$12)/(1+C917)^3+(('Data Schema'!$C$3*(1+B917)^4)*((1-$I$4-$I$5+E917)*(1-$I$10)+$I$6-$I$11)-('Data Schema'!$C$3*(1+B917)^4-'Data Schema'!$C$3*(1+B917)^3)*$I$12)/(1+C917)^4+(('Data Schema'!$C$3*(1+B917)^5)*((1-$I$4-$I$5+E917)*(1-$I$10)+$I$6-$I$11)-('Data Schema'!$C$3*(1+B917)^5-'Data Schema'!$C$3*(1+B917)^4)*$I$12)/(1+C917)^5+((('Data Schema'!$C$3*(1+B917)^5)*((1-$I$4-$I$5+E917)*(1-$I$10)+$I$6-$I$11)-('Data Schema'!$C$3*(1+B917)^5-'Data Schema'!$C$3*(1+B917)^4)*$I$12)*(1+D917)/(C917-D917))/(1+C917)^5-'Data Schema'!$C$31+'Data Schema'!$C$21)/'Data Schema'!$B$17,0),"INVALID")</f>
        <v>6.094793577707013</v>
      </c>
      <c r="H917" s="189" t="b">
        <f t="shared" ca="1" si="106"/>
        <v>0</v>
      </c>
      <c r="I917" s="188" t="str">
        <f t="shared" ca="1" si="107"/>
        <v/>
      </c>
      <c r="J917" s="349" t="str">
        <f t="shared" ca="1" si="100"/>
        <v/>
      </c>
    </row>
    <row r="918" spans="1:10">
      <c r="A918" s="185">
        <v>739</v>
      </c>
      <c r="B918" s="190">
        <f t="shared" ca="1" si="101"/>
        <v>0.15431556933810484</v>
      </c>
      <c r="C918" s="190">
        <f t="shared" ca="1" si="102"/>
        <v>6.2391468981018355E-2</v>
      </c>
      <c r="D918" s="190">
        <f t="shared" ca="1" si="103"/>
        <v>2.9521305927868124E-2</v>
      </c>
      <c r="E918" s="190">
        <f t="shared" ca="1" si="104"/>
        <v>4.5893800328273622E-2</v>
      </c>
      <c r="F918" s="189" t="b">
        <f t="shared" ca="1" si="105"/>
        <v>1</v>
      </c>
      <c r="G918" s="188">
        <f ca="1">IF(F918,IFERROR(((('Data Schema'!$C$3*(1+B918)^1)*((1-$I$4-$I$5+E918)*(1-$I$10)+$I$6-$I$11)-('Data Schema'!$C$3*(1+B918)^1-'Data Schema'!$C$3)*$I$12)/(1+C918)^1+(('Data Schema'!$C$3*(1+B918)^2)*((1-$I$4-$I$5+E918)*(1-$I$10)+$I$6-$I$11)-('Data Schema'!$C$3*(1+B918)^2-'Data Schema'!$C$3*(1+B918)^1)*$I$12)/(1+C918)^2+(('Data Schema'!$C$3*(1+B918)^3)*((1-$I$4-$I$5+E918)*(1-$I$10)+$I$6-$I$11)-('Data Schema'!$C$3*(1+B918)^3-'Data Schema'!$C$3*(1+B918)^2)*$I$12)/(1+C918)^3+(('Data Schema'!$C$3*(1+B918)^4)*((1-$I$4-$I$5+E918)*(1-$I$10)+$I$6-$I$11)-('Data Schema'!$C$3*(1+B918)^4-'Data Schema'!$C$3*(1+B918)^3)*$I$12)/(1+C918)^4+(('Data Schema'!$C$3*(1+B918)^5)*((1-$I$4-$I$5+E918)*(1-$I$10)+$I$6-$I$11)-('Data Schema'!$C$3*(1+B918)^5-'Data Schema'!$C$3*(1+B918)^4)*$I$12)/(1+C918)^5+((('Data Schema'!$C$3*(1+B918)^5)*((1-$I$4-$I$5+E918)*(1-$I$10)+$I$6-$I$11)-('Data Schema'!$C$3*(1+B918)^5-'Data Schema'!$C$3*(1+B918)^4)*$I$12)*(1+D918)/(C918-D918))/(1+C918)^5-'Data Schema'!$C$31+'Data Schema'!$C$21)/'Data Schema'!$B$17,0),"INVALID")</f>
        <v>275.59499361769298</v>
      </c>
      <c r="H918" s="189" t="b">
        <f t="shared" ca="1" si="106"/>
        <v>1</v>
      </c>
      <c r="I918" s="188">
        <f t="shared" ca="1" si="107"/>
        <v>275.59499361769298</v>
      </c>
      <c r="J918" s="349" t="str">
        <f t="shared" ca="1" si="100"/>
        <v/>
      </c>
    </row>
    <row r="919" spans="1:10">
      <c r="A919" s="184">
        <v>740</v>
      </c>
      <c r="B919" s="190">
        <f t="shared" ca="1" si="101"/>
        <v>0.11173953869663367</v>
      </c>
      <c r="C919" s="190">
        <f t="shared" ca="1" si="102"/>
        <v>7.3826045440705965E-2</v>
      </c>
      <c r="D919" s="190">
        <f t="shared" ca="1" si="103"/>
        <v>2.0527523076281636E-2</v>
      </c>
      <c r="E919" s="190">
        <f t="shared" ca="1" si="104"/>
        <v>1.457414310166697E-3</v>
      </c>
      <c r="F919" s="189" t="b">
        <f t="shared" ca="1" si="105"/>
        <v>1</v>
      </c>
      <c r="G919" s="188">
        <f ca="1">IF(F919,IFERROR(((('Data Schema'!$C$3*(1+B919)^1)*((1-$I$4-$I$5+E919)*(1-$I$10)+$I$6-$I$11)-('Data Schema'!$C$3*(1+B919)^1-'Data Schema'!$C$3)*$I$12)/(1+C919)^1+(('Data Schema'!$C$3*(1+B919)^2)*((1-$I$4-$I$5+E919)*(1-$I$10)+$I$6-$I$11)-('Data Schema'!$C$3*(1+B919)^2-'Data Schema'!$C$3*(1+B919)^1)*$I$12)/(1+C919)^2+(('Data Schema'!$C$3*(1+B919)^3)*((1-$I$4-$I$5+E919)*(1-$I$10)+$I$6-$I$11)-('Data Schema'!$C$3*(1+B919)^3-'Data Schema'!$C$3*(1+B919)^2)*$I$12)/(1+C919)^3+(('Data Schema'!$C$3*(1+B919)^4)*((1-$I$4-$I$5+E919)*(1-$I$10)+$I$6-$I$11)-('Data Schema'!$C$3*(1+B919)^4-'Data Schema'!$C$3*(1+B919)^3)*$I$12)/(1+C919)^4+(('Data Schema'!$C$3*(1+B919)^5)*((1-$I$4-$I$5+E919)*(1-$I$10)+$I$6-$I$11)-('Data Schema'!$C$3*(1+B919)^5-'Data Schema'!$C$3*(1+B919)^4)*$I$12)/(1+C919)^5+((('Data Schema'!$C$3*(1+B919)^5)*((1-$I$4-$I$5+E919)*(1-$I$10)+$I$6-$I$11)-('Data Schema'!$C$3*(1+B919)^5-'Data Schema'!$C$3*(1+B919)^4)*$I$12)*(1+D919)/(C919-D919))/(1+C919)^5-'Data Schema'!$C$31+'Data Schema'!$C$21)/'Data Schema'!$B$17,0),"INVALID")</f>
        <v>59.294422338947157</v>
      </c>
      <c r="H919" s="189" t="b">
        <f t="shared" ca="1" si="106"/>
        <v>1</v>
      </c>
      <c r="I919" s="188">
        <f t="shared" ca="1" si="107"/>
        <v>59.294422338947157</v>
      </c>
      <c r="J919" s="349">
        <f t="shared" ca="1" si="100"/>
        <v>59.294422338947157</v>
      </c>
    </row>
    <row r="920" spans="1:10">
      <c r="A920" s="185">
        <v>741</v>
      </c>
      <c r="B920" s="190">
        <f t="shared" ca="1" si="101"/>
        <v>0.11571585144585717</v>
      </c>
      <c r="C920" s="190">
        <f t="shared" ca="1" si="102"/>
        <v>4.456052305973715E-2</v>
      </c>
      <c r="D920" s="190">
        <f t="shared" ca="1" si="103"/>
        <v>3.1998722847773518E-2</v>
      </c>
      <c r="E920" s="190">
        <f t="shared" ca="1" si="104"/>
        <v>1.8986257435490708E-3</v>
      </c>
      <c r="F920" s="189" t="b">
        <f t="shared" ca="1" si="105"/>
        <v>0</v>
      </c>
      <c r="G920" s="188" t="str">
        <f ca="1">IF(F920,IFERROR(((('Data Schema'!$C$3*(1+B920)^1)*((1-$I$4-$I$5+E920)*(1-$I$10)+$I$6-$I$11)-('Data Schema'!$C$3*(1+B920)^1-'Data Schema'!$C$3)*$I$12)/(1+C920)^1+(('Data Schema'!$C$3*(1+B920)^2)*((1-$I$4-$I$5+E920)*(1-$I$10)+$I$6-$I$11)-('Data Schema'!$C$3*(1+B920)^2-'Data Schema'!$C$3*(1+B920)^1)*$I$12)/(1+C920)^2+(('Data Schema'!$C$3*(1+B920)^3)*((1-$I$4-$I$5+E920)*(1-$I$10)+$I$6-$I$11)-('Data Schema'!$C$3*(1+B920)^3-'Data Schema'!$C$3*(1+B920)^2)*$I$12)/(1+C920)^3+(('Data Schema'!$C$3*(1+B920)^4)*((1-$I$4-$I$5+E920)*(1-$I$10)+$I$6-$I$11)-('Data Schema'!$C$3*(1+B920)^4-'Data Schema'!$C$3*(1+B920)^3)*$I$12)/(1+C920)^4+(('Data Schema'!$C$3*(1+B920)^5)*((1-$I$4-$I$5+E920)*(1-$I$10)+$I$6-$I$11)-('Data Schema'!$C$3*(1+B920)^5-'Data Schema'!$C$3*(1+B920)^4)*$I$12)/(1+C920)^5+((('Data Schema'!$C$3*(1+B920)^5)*((1-$I$4-$I$5+E920)*(1-$I$10)+$I$6-$I$11)-('Data Schema'!$C$3*(1+B920)^5-'Data Schema'!$C$3*(1+B920)^4)*$I$12)*(1+D920)/(C920-D920))/(1+C920)^5-'Data Schema'!$C$31+'Data Schema'!$C$21)/'Data Schema'!$B$17,0),"INVALID")</f>
        <v>INVALID</v>
      </c>
      <c r="H920" s="189" t="b">
        <f t="shared" ca="1" si="106"/>
        <v>0</v>
      </c>
      <c r="I920" s="188" t="str">
        <f t="shared" ca="1" si="107"/>
        <v/>
      </c>
      <c r="J920" s="349" t="str">
        <f t="shared" ca="1" si="100"/>
        <v/>
      </c>
    </row>
    <row r="921" spans="1:10">
      <c r="A921" s="184">
        <v>742</v>
      </c>
      <c r="B921" s="190">
        <f t="shared" ca="1" si="101"/>
        <v>8.4188481544674315E-2</v>
      </c>
      <c r="C921" s="190">
        <f t="shared" ca="1" si="102"/>
        <v>6.0987553234193977E-2</v>
      </c>
      <c r="D921" s="190">
        <f t="shared" ca="1" si="103"/>
        <v>3.1929057020794939E-2</v>
      </c>
      <c r="E921" s="190">
        <f t="shared" ca="1" si="104"/>
        <v>-1.366398931405997E-2</v>
      </c>
      <c r="F921" s="189" t="b">
        <f t="shared" ca="1" si="105"/>
        <v>1</v>
      </c>
      <c r="G921" s="188">
        <f ca="1">IF(F921,IFERROR(((('Data Schema'!$C$3*(1+B921)^1)*((1-$I$4-$I$5+E921)*(1-$I$10)+$I$6-$I$11)-('Data Schema'!$C$3*(1+B921)^1-'Data Schema'!$C$3)*$I$12)/(1+C921)^1+(('Data Schema'!$C$3*(1+B921)^2)*((1-$I$4-$I$5+E921)*(1-$I$10)+$I$6-$I$11)-('Data Schema'!$C$3*(1+B921)^2-'Data Schema'!$C$3*(1+B921)^1)*$I$12)/(1+C921)^2+(('Data Schema'!$C$3*(1+B921)^3)*((1-$I$4-$I$5+E921)*(1-$I$10)+$I$6-$I$11)-('Data Schema'!$C$3*(1+B921)^3-'Data Schema'!$C$3*(1+B921)^2)*$I$12)/(1+C921)^3+(('Data Schema'!$C$3*(1+B921)^4)*((1-$I$4-$I$5+E921)*(1-$I$10)+$I$6-$I$11)-('Data Schema'!$C$3*(1+B921)^4-'Data Schema'!$C$3*(1+B921)^3)*$I$12)/(1+C921)^4+(('Data Schema'!$C$3*(1+B921)^5)*((1-$I$4-$I$5+E921)*(1-$I$10)+$I$6-$I$11)-('Data Schema'!$C$3*(1+B921)^5-'Data Schema'!$C$3*(1+B921)^4)*$I$12)/(1+C921)^5+((('Data Schema'!$C$3*(1+B921)^5)*((1-$I$4-$I$5+E921)*(1-$I$10)+$I$6-$I$11)-('Data Schema'!$C$3*(1+B921)^5-'Data Schema'!$C$3*(1+B921)^4)*$I$12)*(1+D921)/(C921-D921))/(1+C921)^5-'Data Schema'!$C$31+'Data Schema'!$C$21)/'Data Schema'!$B$17,0),"INVALID")</f>
        <v>54.648779484538423</v>
      </c>
      <c r="H921" s="189" t="b">
        <f t="shared" ca="1" si="106"/>
        <v>1</v>
      </c>
      <c r="I921" s="188">
        <f t="shared" ca="1" si="107"/>
        <v>54.648779484538423</v>
      </c>
      <c r="J921" s="349">
        <f t="shared" ca="1" si="100"/>
        <v>54.648779484538423</v>
      </c>
    </row>
    <row r="922" spans="1:10">
      <c r="A922" s="185">
        <v>743</v>
      </c>
      <c r="B922" s="190">
        <f t="shared" ca="1" si="101"/>
        <v>0.11885379017990007</v>
      </c>
      <c r="C922" s="190">
        <f t="shared" ca="1" si="102"/>
        <v>5.594554460823728E-2</v>
      </c>
      <c r="D922" s="190">
        <f t="shared" ca="1" si="103"/>
        <v>3.0112175788062082E-2</v>
      </c>
      <c r="E922" s="190">
        <f t="shared" ca="1" si="104"/>
        <v>5.3565358585831793E-3</v>
      </c>
      <c r="F922" s="189" t="b">
        <f t="shared" ca="1" si="105"/>
        <v>1</v>
      </c>
      <c r="G922" s="188">
        <f ca="1">IF(F922,IFERROR(((('Data Schema'!$C$3*(1+B922)^1)*((1-$I$4-$I$5+E922)*(1-$I$10)+$I$6-$I$11)-('Data Schema'!$C$3*(1+B922)^1-'Data Schema'!$C$3)*$I$12)/(1+C922)^1+(('Data Schema'!$C$3*(1+B922)^2)*((1-$I$4-$I$5+E922)*(1-$I$10)+$I$6-$I$11)-('Data Schema'!$C$3*(1+B922)^2-'Data Schema'!$C$3*(1+B922)^1)*$I$12)/(1+C922)^2+(('Data Schema'!$C$3*(1+B922)^3)*((1-$I$4-$I$5+E922)*(1-$I$10)+$I$6-$I$11)-('Data Schema'!$C$3*(1+B922)^3-'Data Schema'!$C$3*(1+B922)^2)*$I$12)/(1+C922)^3+(('Data Schema'!$C$3*(1+B922)^4)*((1-$I$4-$I$5+E922)*(1-$I$10)+$I$6-$I$11)-('Data Schema'!$C$3*(1+B922)^4-'Data Schema'!$C$3*(1+B922)^3)*$I$12)/(1+C922)^4+(('Data Schema'!$C$3*(1+B922)^5)*((1-$I$4-$I$5+E922)*(1-$I$10)+$I$6-$I$11)-('Data Schema'!$C$3*(1+B922)^5-'Data Schema'!$C$3*(1+B922)^4)*$I$12)/(1+C922)^5+((('Data Schema'!$C$3*(1+B922)^5)*((1-$I$4-$I$5+E922)*(1-$I$10)+$I$6-$I$11)-('Data Schema'!$C$3*(1+B922)^5-'Data Schema'!$C$3*(1+B922)^4)*$I$12)*(1+D922)/(C922-D922))/(1+C922)^5-'Data Schema'!$C$31+'Data Schema'!$C$21)/'Data Schema'!$B$17,0),"INVALID")</f>
        <v>146.41005098751845</v>
      </c>
      <c r="H922" s="189" t="b">
        <f t="shared" ca="1" si="106"/>
        <v>1</v>
      </c>
      <c r="I922" s="188">
        <f t="shared" ca="1" si="107"/>
        <v>146.41005098751845</v>
      </c>
      <c r="J922" s="349">
        <f t="shared" ca="1" si="100"/>
        <v>146.41005098751845</v>
      </c>
    </row>
    <row r="923" spans="1:10">
      <c r="A923" s="184">
        <v>744</v>
      </c>
      <c r="B923" s="190">
        <f t="shared" ca="1" si="101"/>
        <v>0.11472947050364797</v>
      </c>
      <c r="C923" s="190">
        <f t="shared" ca="1" si="102"/>
        <v>6.0494355567138287E-2</v>
      </c>
      <c r="D923" s="190">
        <f t="shared" ca="1" si="103"/>
        <v>2.6562308647713001E-2</v>
      </c>
      <c r="E923" s="190">
        <f t="shared" ca="1" si="104"/>
        <v>-3.428849802158869E-2</v>
      </c>
      <c r="F923" s="189" t="b">
        <f t="shared" ca="1" si="105"/>
        <v>1</v>
      </c>
      <c r="G923" s="188">
        <f ca="1">IF(F923,IFERROR(((('Data Schema'!$C$3*(1+B923)^1)*((1-$I$4-$I$5+E923)*(1-$I$10)+$I$6-$I$11)-('Data Schema'!$C$3*(1+B923)^1-'Data Schema'!$C$3)*$I$12)/(1+C923)^1+(('Data Schema'!$C$3*(1+B923)^2)*((1-$I$4-$I$5+E923)*(1-$I$10)+$I$6-$I$11)-('Data Schema'!$C$3*(1+B923)^2-'Data Schema'!$C$3*(1+B923)^1)*$I$12)/(1+C923)^2+(('Data Schema'!$C$3*(1+B923)^3)*((1-$I$4-$I$5+E923)*(1-$I$10)+$I$6-$I$11)-('Data Schema'!$C$3*(1+B923)^3-'Data Schema'!$C$3*(1+B923)^2)*$I$12)/(1+C923)^3+(('Data Schema'!$C$3*(1+B923)^4)*((1-$I$4-$I$5+E923)*(1-$I$10)+$I$6-$I$11)-('Data Schema'!$C$3*(1+B923)^4-'Data Schema'!$C$3*(1+B923)^3)*$I$12)/(1+C923)^4+(('Data Schema'!$C$3*(1+B923)^5)*((1-$I$4-$I$5+E923)*(1-$I$10)+$I$6-$I$11)-('Data Schema'!$C$3*(1+B923)^5-'Data Schema'!$C$3*(1+B923)^4)*$I$12)/(1+C923)^5+((('Data Schema'!$C$3*(1+B923)^5)*((1-$I$4-$I$5+E923)*(1-$I$10)+$I$6-$I$11)-('Data Schema'!$C$3*(1+B923)^5-'Data Schema'!$C$3*(1+B923)^4)*$I$12)*(1+D923)/(C923-D923))/(1+C923)^5-'Data Schema'!$C$31+'Data Schema'!$C$21)/'Data Schema'!$B$17,0),"INVALID")</f>
        <v>-9.1095415688593597</v>
      </c>
      <c r="H923" s="189" t="b">
        <f t="shared" ca="1" si="106"/>
        <v>0</v>
      </c>
      <c r="I923" s="188" t="str">
        <f t="shared" ca="1" si="107"/>
        <v/>
      </c>
      <c r="J923" s="349" t="str">
        <f t="shared" ca="1" si="100"/>
        <v/>
      </c>
    </row>
    <row r="924" spans="1:10">
      <c r="A924" s="185">
        <v>745</v>
      </c>
      <c r="B924" s="190">
        <f t="shared" ca="1" si="101"/>
        <v>7.4868308636455105E-2</v>
      </c>
      <c r="C924" s="190">
        <f t="shared" ca="1" si="102"/>
        <v>4.2211706568824572E-2</v>
      </c>
      <c r="D924" s="190">
        <f t="shared" ca="1" si="103"/>
        <v>2.9616841314594685E-2</v>
      </c>
      <c r="E924" s="190">
        <f t="shared" ca="1" si="104"/>
        <v>1.4715378317747069E-2</v>
      </c>
      <c r="F924" s="189" t="b">
        <f t="shared" ca="1" si="105"/>
        <v>0</v>
      </c>
      <c r="G924" s="188" t="str">
        <f ca="1">IF(F924,IFERROR(((('Data Schema'!$C$3*(1+B924)^1)*((1-$I$4-$I$5+E924)*(1-$I$10)+$I$6-$I$11)-('Data Schema'!$C$3*(1+B924)^1-'Data Schema'!$C$3)*$I$12)/(1+C924)^1+(('Data Schema'!$C$3*(1+B924)^2)*((1-$I$4-$I$5+E924)*(1-$I$10)+$I$6-$I$11)-('Data Schema'!$C$3*(1+B924)^2-'Data Schema'!$C$3*(1+B924)^1)*$I$12)/(1+C924)^2+(('Data Schema'!$C$3*(1+B924)^3)*((1-$I$4-$I$5+E924)*(1-$I$10)+$I$6-$I$11)-('Data Schema'!$C$3*(1+B924)^3-'Data Schema'!$C$3*(1+B924)^2)*$I$12)/(1+C924)^3+(('Data Schema'!$C$3*(1+B924)^4)*((1-$I$4-$I$5+E924)*(1-$I$10)+$I$6-$I$11)-('Data Schema'!$C$3*(1+B924)^4-'Data Schema'!$C$3*(1+B924)^3)*$I$12)/(1+C924)^4+(('Data Schema'!$C$3*(1+B924)^5)*((1-$I$4-$I$5+E924)*(1-$I$10)+$I$6-$I$11)-('Data Schema'!$C$3*(1+B924)^5-'Data Schema'!$C$3*(1+B924)^4)*$I$12)/(1+C924)^5+((('Data Schema'!$C$3*(1+B924)^5)*((1-$I$4-$I$5+E924)*(1-$I$10)+$I$6-$I$11)-('Data Schema'!$C$3*(1+B924)^5-'Data Schema'!$C$3*(1+B924)^4)*$I$12)*(1+D924)/(C924-D924))/(1+C924)^5-'Data Schema'!$C$31+'Data Schema'!$C$21)/'Data Schema'!$B$17,0),"INVALID")</f>
        <v>INVALID</v>
      </c>
      <c r="H924" s="189" t="b">
        <f t="shared" ca="1" si="106"/>
        <v>0</v>
      </c>
      <c r="I924" s="188" t="str">
        <f t="shared" ca="1" si="107"/>
        <v/>
      </c>
      <c r="J924" s="349" t="str">
        <f t="shared" ca="1" si="100"/>
        <v/>
      </c>
    </row>
    <row r="925" spans="1:10">
      <c r="A925" s="184">
        <v>746</v>
      </c>
      <c r="B925" s="190">
        <f t="shared" ca="1" si="101"/>
        <v>0.10438326734424649</v>
      </c>
      <c r="C925" s="190">
        <f t="shared" ca="1" si="102"/>
        <v>4.8029248976818449E-2</v>
      </c>
      <c r="D925" s="190">
        <f t="shared" ca="1" si="103"/>
        <v>2.4284334692577691E-2</v>
      </c>
      <c r="E925" s="190">
        <f t="shared" ca="1" si="104"/>
        <v>2.5159270376401716E-2</v>
      </c>
      <c r="F925" s="189" t="b">
        <f t="shared" ca="1" si="105"/>
        <v>1</v>
      </c>
      <c r="G925" s="188">
        <f ca="1">IF(F925,IFERROR(((('Data Schema'!$C$3*(1+B925)^1)*((1-$I$4-$I$5+E925)*(1-$I$10)+$I$6-$I$11)-('Data Schema'!$C$3*(1+B925)^1-'Data Schema'!$C$3)*$I$12)/(1+C925)^1+(('Data Schema'!$C$3*(1+B925)^2)*((1-$I$4-$I$5+E925)*(1-$I$10)+$I$6-$I$11)-('Data Schema'!$C$3*(1+B925)^2-'Data Schema'!$C$3*(1+B925)^1)*$I$12)/(1+C925)^2+(('Data Schema'!$C$3*(1+B925)^3)*((1-$I$4-$I$5+E925)*(1-$I$10)+$I$6-$I$11)-('Data Schema'!$C$3*(1+B925)^3-'Data Schema'!$C$3*(1+B925)^2)*$I$12)/(1+C925)^3+(('Data Schema'!$C$3*(1+B925)^4)*((1-$I$4-$I$5+E925)*(1-$I$10)+$I$6-$I$11)-('Data Schema'!$C$3*(1+B925)^4-'Data Schema'!$C$3*(1+B925)^3)*$I$12)/(1+C925)^4+(('Data Schema'!$C$3*(1+B925)^5)*((1-$I$4-$I$5+E925)*(1-$I$10)+$I$6-$I$11)-('Data Schema'!$C$3*(1+B925)^5-'Data Schema'!$C$3*(1+B925)^4)*$I$12)/(1+C925)^5+((('Data Schema'!$C$3*(1+B925)^5)*((1-$I$4-$I$5+E925)*(1-$I$10)+$I$6-$I$11)-('Data Schema'!$C$3*(1+B925)^5-'Data Schema'!$C$3*(1+B925)^4)*$I$12)*(1+D925)/(C925-D925))/(1+C925)^5-'Data Schema'!$C$31+'Data Schema'!$C$21)/'Data Schema'!$B$17,0),"INVALID")</f>
        <v>236.43380239858135</v>
      </c>
      <c r="H925" s="189" t="b">
        <f t="shared" ca="1" si="106"/>
        <v>1</v>
      </c>
      <c r="I925" s="188">
        <f t="shared" ca="1" si="107"/>
        <v>236.43380239858135</v>
      </c>
      <c r="J925" s="349" t="str">
        <f t="shared" ca="1" si="100"/>
        <v/>
      </c>
    </row>
    <row r="926" spans="1:10">
      <c r="A926" s="185">
        <v>747</v>
      </c>
      <c r="B926" s="190">
        <f t="shared" ca="1" si="101"/>
        <v>0.10206511675705345</v>
      </c>
      <c r="C926" s="190">
        <f t="shared" ca="1" si="102"/>
        <v>7.0907412376912657E-2</v>
      </c>
      <c r="D926" s="190">
        <f t="shared" ca="1" si="103"/>
        <v>2.6967579292546884E-2</v>
      </c>
      <c r="E926" s="190">
        <f t="shared" ca="1" si="104"/>
        <v>-2.2763437393641733E-3</v>
      </c>
      <c r="F926" s="189" t="b">
        <f t="shared" ca="1" si="105"/>
        <v>1</v>
      </c>
      <c r="G926" s="188">
        <f ca="1">IF(F926,IFERROR(((('Data Schema'!$C$3*(1+B926)^1)*((1-$I$4-$I$5+E926)*(1-$I$10)+$I$6-$I$11)-('Data Schema'!$C$3*(1+B926)^1-'Data Schema'!$C$3)*$I$12)/(1+C926)^1+(('Data Schema'!$C$3*(1+B926)^2)*((1-$I$4-$I$5+E926)*(1-$I$10)+$I$6-$I$11)-('Data Schema'!$C$3*(1+B926)^2-'Data Schema'!$C$3*(1+B926)^1)*$I$12)/(1+C926)^2+(('Data Schema'!$C$3*(1+B926)^3)*((1-$I$4-$I$5+E926)*(1-$I$10)+$I$6-$I$11)-('Data Schema'!$C$3*(1+B926)^3-'Data Schema'!$C$3*(1+B926)^2)*$I$12)/(1+C926)^3+(('Data Schema'!$C$3*(1+B926)^4)*((1-$I$4-$I$5+E926)*(1-$I$10)+$I$6-$I$11)-('Data Schema'!$C$3*(1+B926)^4-'Data Schema'!$C$3*(1+B926)^3)*$I$12)/(1+C926)^4+(('Data Schema'!$C$3*(1+B926)^5)*((1-$I$4-$I$5+E926)*(1-$I$10)+$I$6-$I$11)-('Data Schema'!$C$3*(1+B926)^5-'Data Schema'!$C$3*(1+B926)^4)*$I$12)/(1+C926)^5+((('Data Schema'!$C$3*(1+B926)^5)*((1-$I$4-$I$5+E926)*(1-$I$10)+$I$6-$I$11)-('Data Schema'!$C$3*(1+B926)^5-'Data Schema'!$C$3*(1+B926)^4)*$I$12)*(1+D926)/(C926-D926))/(1+C926)^5-'Data Schema'!$C$31+'Data Schema'!$C$21)/'Data Schema'!$B$17,0),"INVALID")</f>
        <v>61.273418690895284</v>
      </c>
      <c r="H926" s="189" t="b">
        <f t="shared" ca="1" si="106"/>
        <v>1</v>
      </c>
      <c r="I926" s="188">
        <f t="shared" ca="1" si="107"/>
        <v>61.273418690895284</v>
      </c>
      <c r="J926" s="349">
        <f t="shared" ca="1" si="100"/>
        <v>61.273418690895284</v>
      </c>
    </row>
    <row r="927" spans="1:10">
      <c r="A927" s="184">
        <v>748</v>
      </c>
      <c r="B927" s="190">
        <f t="shared" ca="1" si="101"/>
        <v>0.10273929274306512</v>
      </c>
      <c r="C927" s="190">
        <f t="shared" ca="1" si="102"/>
        <v>6.7708738631227908E-2</v>
      </c>
      <c r="D927" s="190">
        <f t="shared" ca="1" si="103"/>
        <v>2.2928178261099427E-2</v>
      </c>
      <c r="E927" s="190">
        <f t="shared" ca="1" si="104"/>
        <v>1.8250392502486442E-2</v>
      </c>
      <c r="F927" s="189" t="b">
        <f t="shared" ca="1" si="105"/>
        <v>1</v>
      </c>
      <c r="G927" s="188">
        <f ca="1">IF(F927,IFERROR(((('Data Schema'!$C$3*(1+B927)^1)*((1-$I$4-$I$5+E927)*(1-$I$10)+$I$6-$I$11)-('Data Schema'!$C$3*(1+B927)^1-'Data Schema'!$C$3)*$I$12)/(1+C927)^1+(('Data Schema'!$C$3*(1+B927)^2)*((1-$I$4-$I$5+E927)*(1-$I$10)+$I$6-$I$11)-('Data Schema'!$C$3*(1+B927)^2-'Data Schema'!$C$3*(1+B927)^1)*$I$12)/(1+C927)^2+(('Data Schema'!$C$3*(1+B927)^3)*((1-$I$4-$I$5+E927)*(1-$I$10)+$I$6-$I$11)-('Data Schema'!$C$3*(1+B927)^3-'Data Schema'!$C$3*(1+B927)^2)*$I$12)/(1+C927)^3+(('Data Schema'!$C$3*(1+B927)^4)*((1-$I$4-$I$5+E927)*(1-$I$10)+$I$6-$I$11)-('Data Schema'!$C$3*(1+B927)^4-'Data Schema'!$C$3*(1+B927)^3)*$I$12)/(1+C927)^4+(('Data Schema'!$C$3*(1+B927)^5)*((1-$I$4-$I$5+E927)*(1-$I$10)+$I$6-$I$11)-('Data Schema'!$C$3*(1+B927)^5-'Data Schema'!$C$3*(1+B927)^4)*$I$12)/(1+C927)^5+((('Data Schema'!$C$3*(1+B927)^5)*((1-$I$4-$I$5+E927)*(1-$I$10)+$I$6-$I$11)-('Data Schema'!$C$3*(1+B927)^5-'Data Schema'!$C$3*(1+B927)^4)*$I$12)*(1+D927)/(C927-D927))/(1+C927)^5-'Data Schema'!$C$31+'Data Schema'!$C$21)/'Data Schema'!$B$17,0),"INVALID")</f>
        <v>105.37959600750037</v>
      </c>
      <c r="H927" s="189" t="b">
        <f t="shared" ca="1" si="106"/>
        <v>1</v>
      </c>
      <c r="I927" s="188">
        <f t="shared" ca="1" si="107"/>
        <v>105.37959600750037</v>
      </c>
      <c r="J927" s="349">
        <f t="shared" ca="1" si="100"/>
        <v>105.37959600750037</v>
      </c>
    </row>
    <row r="928" spans="1:10">
      <c r="A928" s="185">
        <v>749</v>
      </c>
      <c r="B928" s="190">
        <f t="shared" ca="1" si="101"/>
        <v>8.8164201526576266E-2</v>
      </c>
      <c r="C928" s="190">
        <f t="shared" ca="1" si="102"/>
        <v>5.1497319511088165E-2</v>
      </c>
      <c r="D928" s="190">
        <f t="shared" ca="1" si="103"/>
        <v>2.4633384633566759E-2</v>
      </c>
      <c r="E928" s="190">
        <f t="shared" ca="1" si="104"/>
        <v>-3.9016371088884276E-4</v>
      </c>
      <c r="F928" s="189" t="b">
        <f t="shared" ca="1" si="105"/>
        <v>1</v>
      </c>
      <c r="G928" s="188">
        <f ca="1">IF(F928,IFERROR(((('Data Schema'!$C$3*(1+B928)^1)*((1-$I$4-$I$5+E928)*(1-$I$10)+$I$6-$I$11)-('Data Schema'!$C$3*(1+B928)^1-'Data Schema'!$C$3)*$I$12)/(1+C928)^1+(('Data Schema'!$C$3*(1+B928)^2)*((1-$I$4-$I$5+E928)*(1-$I$10)+$I$6-$I$11)-('Data Schema'!$C$3*(1+B928)^2-'Data Schema'!$C$3*(1+B928)^1)*$I$12)/(1+C928)^2+(('Data Schema'!$C$3*(1+B928)^3)*((1-$I$4-$I$5+E928)*(1-$I$10)+$I$6-$I$11)-('Data Schema'!$C$3*(1+B928)^3-'Data Schema'!$C$3*(1+B928)^2)*$I$12)/(1+C928)^3+(('Data Schema'!$C$3*(1+B928)^4)*((1-$I$4-$I$5+E928)*(1-$I$10)+$I$6-$I$11)-('Data Schema'!$C$3*(1+B928)^4-'Data Schema'!$C$3*(1+B928)^3)*$I$12)/(1+C928)^4+(('Data Schema'!$C$3*(1+B928)^5)*((1-$I$4-$I$5+E928)*(1-$I$10)+$I$6-$I$11)-('Data Schema'!$C$3*(1+B928)^5-'Data Schema'!$C$3*(1+B928)^4)*$I$12)/(1+C928)^5+((('Data Schema'!$C$3*(1+B928)^5)*((1-$I$4-$I$5+E928)*(1-$I$10)+$I$6-$I$11)-('Data Schema'!$C$3*(1+B928)^5-'Data Schema'!$C$3*(1+B928)^4)*$I$12)*(1+D928)/(C928-D928))/(1+C928)^5-'Data Schema'!$C$31+'Data Schema'!$C$21)/'Data Schema'!$B$17,0),"INVALID")</f>
        <v>107.44445579537481</v>
      </c>
      <c r="H928" s="189" t="b">
        <f t="shared" ca="1" si="106"/>
        <v>1</v>
      </c>
      <c r="I928" s="188">
        <f t="shared" ca="1" si="107"/>
        <v>107.44445579537481</v>
      </c>
      <c r="J928" s="349">
        <f t="shared" ca="1" si="100"/>
        <v>107.44445579537481</v>
      </c>
    </row>
    <row r="929" spans="1:10">
      <c r="A929" s="184">
        <v>750</v>
      </c>
      <c r="B929" s="190">
        <f t="shared" ca="1" si="101"/>
        <v>9.8228328347013505E-2</v>
      </c>
      <c r="C929" s="190">
        <f t="shared" ca="1" si="102"/>
        <v>6.6318053233414553E-2</v>
      </c>
      <c r="D929" s="190">
        <f t="shared" ca="1" si="103"/>
        <v>3.244128581286837E-2</v>
      </c>
      <c r="E929" s="190">
        <f t="shared" ca="1" si="104"/>
        <v>6.6670568251012369E-4</v>
      </c>
      <c r="F929" s="189" t="b">
        <f t="shared" ca="1" si="105"/>
        <v>1</v>
      </c>
      <c r="G929" s="188">
        <f ca="1">IF(F929,IFERROR(((('Data Schema'!$C$3*(1+B929)^1)*((1-$I$4-$I$5+E929)*(1-$I$10)+$I$6-$I$11)-('Data Schema'!$C$3*(1+B929)^1-'Data Schema'!$C$3)*$I$12)/(1+C929)^1+(('Data Schema'!$C$3*(1+B929)^2)*((1-$I$4-$I$5+E929)*(1-$I$10)+$I$6-$I$11)-('Data Schema'!$C$3*(1+B929)^2-'Data Schema'!$C$3*(1+B929)^1)*$I$12)/(1+C929)^2+(('Data Schema'!$C$3*(1+B929)^3)*((1-$I$4-$I$5+E929)*(1-$I$10)+$I$6-$I$11)-('Data Schema'!$C$3*(1+B929)^3-'Data Schema'!$C$3*(1+B929)^2)*$I$12)/(1+C929)^3+(('Data Schema'!$C$3*(1+B929)^4)*((1-$I$4-$I$5+E929)*(1-$I$10)+$I$6-$I$11)-('Data Schema'!$C$3*(1+B929)^4-'Data Schema'!$C$3*(1+B929)^3)*$I$12)/(1+C929)^4+(('Data Schema'!$C$3*(1+B929)^5)*((1-$I$4-$I$5+E929)*(1-$I$10)+$I$6-$I$11)-('Data Schema'!$C$3*(1+B929)^5-'Data Schema'!$C$3*(1+B929)^4)*$I$12)/(1+C929)^5+((('Data Schema'!$C$3*(1+B929)^5)*((1-$I$4-$I$5+E929)*(1-$I$10)+$I$6-$I$11)-('Data Schema'!$C$3*(1+B929)^5-'Data Schema'!$C$3*(1+B929)^4)*$I$12)*(1+D929)/(C929-D929))/(1+C929)^5-'Data Schema'!$C$31+'Data Schema'!$C$21)/'Data Schema'!$B$17,0),"INVALID")</f>
        <v>87.103812280408206</v>
      </c>
      <c r="H929" s="189" t="b">
        <f t="shared" ca="1" si="106"/>
        <v>1</v>
      </c>
      <c r="I929" s="188">
        <f t="shared" ca="1" si="107"/>
        <v>87.103812280408206</v>
      </c>
      <c r="J929" s="349">
        <f t="shared" ca="1" si="100"/>
        <v>87.103812280408206</v>
      </c>
    </row>
    <row r="930" spans="1:10">
      <c r="A930" s="185">
        <v>751</v>
      </c>
      <c r="B930" s="190">
        <f t="shared" ca="1" si="101"/>
        <v>9.9082060596549809E-2</v>
      </c>
      <c r="C930" s="190">
        <f t="shared" ca="1" si="102"/>
        <v>6.7701442162218045E-2</v>
      </c>
      <c r="D930" s="190">
        <f t="shared" ca="1" si="103"/>
        <v>2.2837761649569053E-2</v>
      </c>
      <c r="E930" s="190">
        <f t="shared" ca="1" si="104"/>
        <v>-2.5197305178412434E-2</v>
      </c>
      <c r="F930" s="189" t="b">
        <f t="shared" ca="1" si="105"/>
        <v>1</v>
      </c>
      <c r="G930" s="188">
        <f ca="1">IF(F930,IFERROR(((('Data Schema'!$C$3*(1+B930)^1)*((1-$I$4-$I$5+E930)*(1-$I$10)+$I$6-$I$11)-('Data Schema'!$C$3*(1+B930)^1-'Data Schema'!$C$3)*$I$12)/(1+C930)^1+(('Data Schema'!$C$3*(1+B930)^2)*((1-$I$4-$I$5+E930)*(1-$I$10)+$I$6-$I$11)-('Data Schema'!$C$3*(1+B930)^2-'Data Schema'!$C$3*(1+B930)^1)*$I$12)/(1+C930)^2+(('Data Schema'!$C$3*(1+B930)^3)*((1-$I$4-$I$5+E930)*(1-$I$10)+$I$6-$I$11)-('Data Schema'!$C$3*(1+B930)^3-'Data Schema'!$C$3*(1+B930)^2)*$I$12)/(1+C930)^3+(('Data Schema'!$C$3*(1+B930)^4)*((1-$I$4-$I$5+E930)*(1-$I$10)+$I$6-$I$11)-('Data Schema'!$C$3*(1+B930)^4-'Data Schema'!$C$3*(1+B930)^3)*$I$12)/(1+C930)^4+(('Data Schema'!$C$3*(1+B930)^5)*((1-$I$4-$I$5+E930)*(1-$I$10)+$I$6-$I$11)-('Data Schema'!$C$3*(1+B930)^5-'Data Schema'!$C$3*(1+B930)^4)*$I$12)/(1+C930)^5+((('Data Schema'!$C$3*(1+B930)^5)*((1-$I$4-$I$5+E930)*(1-$I$10)+$I$6-$I$11)-('Data Schema'!$C$3*(1+B930)^5-'Data Schema'!$C$3*(1+B930)^4)*$I$12)*(1+D930)/(C930-D930))/(1+C930)^5-'Data Schema'!$C$31+'Data Schema'!$C$21)/'Data Schema'!$B$17,0),"INVALID")</f>
        <v>11.493850978536551</v>
      </c>
      <c r="H930" s="189" t="b">
        <f t="shared" ca="1" si="106"/>
        <v>0</v>
      </c>
      <c r="I930" s="188" t="str">
        <f t="shared" ca="1" si="107"/>
        <v/>
      </c>
      <c r="J930" s="349" t="str">
        <f t="shared" ca="1" si="100"/>
        <v/>
      </c>
    </row>
    <row r="931" spans="1:10">
      <c r="A931" s="184">
        <v>752</v>
      </c>
      <c r="B931" s="190">
        <f t="shared" ca="1" si="101"/>
        <v>8.9685715794055987E-2</v>
      </c>
      <c r="C931" s="190">
        <f t="shared" ca="1" si="102"/>
        <v>4.5711950748624219E-2</v>
      </c>
      <c r="D931" s="190">
        <f t="shared" ca="1" si="103"/>
        <v>3.5235478940273235E-2</v>
      </c>
      <c r="E931" s="190">
        <f t="shared" ca="1" si="104"/>
        <v>-1.8361910805861716E-2</v>
      </c>
      <c r="F931" s="189" t="b">
        <f t="shared" ca="1" si="105"/>
        <v>0</v>
      </c>
      <c r="G931" s="188" t="str">
        <f ca="1">IF(F931,IFERROR(((('Data Schema'!$C$3*(1+B931)^1)*((1-$I$4-$I$5+E931)*(1-$I$10)+$I$6-$I$11)-('Data Schema'!$C$3*(1+B931)^1-'Data Schema'!$C$3)*$I$12)/(1+C931)^1+(('Data Schema'!$C$3*(1+B931)^2)*((1-$I$4-$I$5+E931)*(1-$I$10)+$I$6-$I$11)-('Data Schema'!$C$3*(1+B931)^2-'Data Schema'!$C$3*(1+B931)^1)*$I$12)/(1+C931)^2+(('Data Schema'!$C$3*(1+B931)^3)*((1-$I$4-$I$5+E931)*(1-$I$10)+$I$6-$I$11)-('Data Schema'!$C$3*(1+B931)^3-'Data Schema'!$C$3*(1+B931)^2)*$I$12)/(1+C931)^3+(('Data Schema'!$C$3*(1+B931)^4)*((1-$I$4-$I$5+E931)*(1-$I$10)+$I$6-$I$11)-('Data Schema'!$C$3*(1+B931)^4-'Data Schema'!$C$3*(1+B931)^3)*$I$12)/(1+C931)^4+(('Data Schema'!$C$3*(1+B931)^5)*((1-$I$4-$I$5+E931)*(1-$I$10)+$I$6-$I$11)-('Data Schema'!$C$3*(1+B931)^5-'Data Schema'!$C$3*(1+B931)^4)*$I$12)/(1+C931)^5+((('Data Schema'!$C$3*(1+B931)^5)*((1-$I$4-$I$5+E931)*(1-$I$10)+$I$6-$I$11)-('Data Schema'!$C$3*(1+B931)^5-'Data Schema'!$C$3*(1+B931)^4)*$I$12)*(1+D931)/(C931-D931))/(1+C931)^5-'Data Schema'!$C$31+'Data Schema'!$C$21)/'Data Schema'!$B$17,0),"INVALID")</f>
        <v>INVALID</v>
      </c>
      <c r="H931" s="189" t="b">
        <f t="shared" ca="1" si="106"/>
        <v>0</v>
      </c>
      <c r="I931" s="188" t="str">
        <f t="shared" ca="1" si="107"/>
        <v/>
      </c>
      <c r="J931" s="349" t="str">
        <f t="shared" ca="1" si="100"/>
        <v/>
      </c>
    </row>
    <row r="932" spans="1:10">
      <c r="A932" s="185">
        <v>753</v>
      </c>
      <c r="B932" s="190">
        <f t="shared" ca="1" si="101"/>
        <v>0.13157303992475419</v>
      </c>
      <c r="C932" s="190">
        <f t="shared" ca="1" si="102"/>
        <v>6.4055522281558183E-2</v>
      </c>
      <c r="D932" s="190">
        <f t="shared" ca="1" si="103"/>
        <v>3.1286618586377567E-2</v>
      </c>
      <c r="E932" s="190">
        <f t="shared" ca="1" si="104"/>
        <v>2.0117768150802545E-2</v>
      </c>
      <c r="F932" s="189" t="b">
        <f t="shared" ca="1" si="105"/>
        <v>1</v>
      </c>
      <c r="G932" s="188">
        <f ca="1">IF(F932,IFERROR(((('Data Schema'!$C$3*(1+B932)^1)*((1-$I$4-$I$5+E932)*(1-$I$10)+$I$6-$I$11)-('Data Schema'!$C$3*(1+B932)^1-'Data Schema'!$C$3)*$I$12)/(1+C932)^1+(('Data Schema'!$C$3*(1+B932)^2)*((1-$I$4-$I$5+E932)*(1-$I$10)+$I$6-$I$11)-('Data Schema'!$C$3*(1+B932)^2-'Data Schema'!$C$3*(1+B932)^1)*$I$12)/(1+C932)^2+(('Data Schema'!$C$3*(1+B932)^3)*((1-$I$4-$I$5+E932)*(1-$I$10)+$I$6-$I$11)-('Data Schema'!$C$3*(1+B932)^3-'Data Schema'!$C$3*(1+B932)^2)*$I$12)/(1+C932)^3+(('Data Schema'!$C$3*(1+B932)^4)*((1-$I$4-$I$5+E932)*(1-$I$10)+$I$6-$I$11)-('Data Schema'!$C$3*(1+B932)^4-'Data Schema'!$C$3*(1+B932)^3)*$I$12)/(1+C932)^4+(('Data Schema'!$C$3*(1+B932)^5)*((1-$I$4-$I$5+E932)*(1-$I$10)+$I$6-$I$11)-('Data Schema'!$C$3*(1+B932)^5-'Data Schema'!$C$3*(1+B932)^4)*$I$12)/(1+C932)^5+((('Data Schema'!$C$3*(1+B932)^5)*((1-$I$4-$I$5+E932)*(1-$I$10)+$I$6-$I$11)-('Data Schema'!$C$3*(1+B932)^5-'Data Schema'!$C$3*(1+B932)^4)*$I$12)*(1+D932)/(C932-D932))/(1+C932)^5-'Data Schema'!$C$31+'Data Schema'!$C$21)/'Data Schema'!$B$17,0),"INVALID")</f>
        <v>166.71538074627324</v>
      </c>
      <c r="H932" s="189" t="b">
        <f t="shared" ca="1" si="106"/>
        <v>1</v>
      </c>
      <c r="I932" s="188">
        <f t="shared" ca="1" si="107"/>
        <v>166.71538074627324</v>
      </c>
      <c r="J932" s="349">
        <f t="shared" ca="1" si="100"/>
        <v>166.71538074627324</v>
      </c>
    </row>
    <row r="933" spans="1:10">
      <c r="A933" s="184">
        <v>754</v>
      </c>
      <c r="B933" s="190">
        <f t="shared" ca="1" si="101"/>
        <v>5.8104998617901485E-2</v>
      </c>
      <c r="C933" s="190">
        <f t="shared" ca="1" si="102"/>
        <v>6.684018637113473E-2</v>
      </c>
      <c r="D933" s="190">
        <f t="shared" ca="1" si="103"/>
        <v>3.0166194066649721E-2</v>
      </c>
      <c r="E933" s="190">
        <f t="shared" ca="1" si="104"/>
        <v>-3.8276163657527318E-3</v>
      </c>
      <c r="F933" s="189" t="b">
        <f t="shared" ca="1" si="105"/>
        <v>1</v>
      </c>
      <c r="G933" s="188">
        <f ca="1">IF(F933,IFERROR(((('Data Schema'!$C$3*(1+B933)^1)*((1-$I$4-$I$5+E933)*(1-$I$10)+$I$6-$I$11)-('Data Schema'!$C$3*(1+B933)^1-'Data Schema'!$C$3)*$I$12)/(1+C933)^1+(('Data Schema'!$C$3*(1+B933)^2)*((1-$I$4-$I$5+E933)*(1-$I$10)+$I$6-$I$11)-('Data Schema'!$C$3*(1+B933)^2-'Data Schema'!$C$3*(1+B933)^1)*$I$12)/(1+C933)^2+(('Data Schema'!$C$3*(1+B933)^3)*((1-$I$4-$I$5+E933)*(1-$I$10)+$I$6-$I$11)-('Data Schema'!$C$3*(1+B933)^3-'Data Schema'!$C$3*(1+B933)^2)*$I$12)/(1+C933)^3+(('Data Schema'!$C$3*(1+B933)^4)*((1-$I$4-$I$5+E933)*(1-$I$10)+$I$6-$I$11)-('Data Schema'!$C$3*(1+B933)^4-'Data Schema'!$C$3*(1+B933)^3)*$I$12)/(1+C933)^4+(('Data Schema'!$C$3*(1+B933)^5)*((1-$I$4-$I$5+E933)*(1-$I$10)+$I$6-$I$11)-('Data Schema'!$C$3*(1+B933)^5-'Data Schema'!$C$3*(1+B933)^4)*$I$12)/(1+C933)^5+((('Data Schema'!$C$3*(1+B933)^5)*((1-$I$4-$I$5+E933)*(1-$I$10)+$I$6-$I$11)-('Data Schema'!$C$3*(1+B933)^5-'Data Schema'!$C$3*(1+B933)^4)*$I$12)*(1+D933)/(C933-D933))/(1+C933)^5-'Data Schema'!$C$31+'Data Schema'!$C$21)/'Data Schema'!$B$17,0),"INVALID")</f>
        <v>58.866507063755591</v>
      </c>
      <c r="H933" s="189" t="b">
        <f t="shared" ca="1" si="106"/>
        <v>1</v>
      </c>
      <c r="I933" s="188">
        <f t="shared" ca="1" si="107"/>
        <v>58.866507063755591</v>
      </c>
      <c r="J933" s="349">
        <f t="shared" ca="1" si="100"/>
        <v>58.866507063755591</v>
      </c>
    </row>
    <row r="934" spans="1:10">
      <c r="A934" s="185">
        <v>755</v>
      </c>
      <c r="B934" s="190">
        <f t="shared" ca="1" si="101"/>
        <v>0.13249937204115</v>
      </c>
      <c r="C934" s="190">
        <f t="shared" ca="1" si="102"/>
        <v>6.4232325637430837E-2</v>
      </c>
      <c r="D934" s="190">
        <f t="shared" ca="1" si="103"/>
        <v>1.9488316648944258E-2</v>
      </c>
      <c r="E934" s="190">
        <f t="shared" ca="1" si="104"/>
        <v>1.2236309625218201E-3</v>
      </c>
      <c r="F934" s="189" t="b">
        <f t="shared" ca="1" si="105"/>
        <v>1</v>
      </c>
      <c r="G934" s="188">
        <f ca="1">IF(F934,IFERROR(((('Data Schema'!$C$3*(1+B934)^1)*((1-$I$4-$I$5+E934)*(1-$I$10)+$I$6-$I$11)-('Data Schema'!$C$3*(1+B934)^1-'Data Schema'!$C$3)*$I$12)/(1+C934)^1+(('Data Schema'!$C$3*(1+B934)^2)*((1-$I$4-$I$5+E934)*(1-$I$10)+$I$6-$I$11)-('Data Schema'!$C$3*(1+B934)^2-'Data Schema'!$C$3*(1+B934)^1)*$I$12)/(1+C934)^2+(('Data Schema'!$C$3*(1+B934)^3)*((1-$I$4-$I$5+E934)*(1-$I$10)+$I$6-$I$11)-('Data Schema'!$C$3*(1+B934)^3-'Data Schema'!$C$3*(1+B934)^2)*$I$12)/(1+C934)^3+(('Data Schema'!$C$3*(1+B934)^4)*((1-$I$4-$I$5+E934)*(1-$I$10)+$I$6-$I$11)-('Data Schema'!$C$3*(1+B934)^4-'Data Schema'!$C$3*(1+B934)^3)*$I$12)/(1+C934)^4+(('Data Schema'!$C$3*(1+B934)^5)*((1-$I$4-$I$5+E934)*(1-$I$10)+$I$6-$I$11)-('Data Schema'!$C$3*(1+B934)^5-'Data Schema'!$C$3*(1+B934)^4)*$I$12)/(1+C934)^5+((('Data Schema'!$C$3*(1+B934)^5)*((1-$I$4-$I$5+E934)*(1-$I$10)+$I$6-$I$11)-('Data Schema'!$C$3*(1+B934)^5-'Data Schema'!$C$3*(1+B934)^4)*$I$12)*(1+D934)/(C934-D934))/(1+C934)^5-'Data Schema'!$C$31+'Data Schema'!$C$21)/'Data Schema'!$B$17,0),"INVALID")</f>
        <v>78.253267177537225</v>
      </c>
      <c r="H934" s="189" t="b">
        <f t="shared" ca="1" si="106"/>
        <v>1</v>
      </c>
      <c r="I934" s="188">
        <f t="shared" ca="1" si="107"/>
        <v>78.253267177537225</v>
      </c>
      <c r="J934" s="349">
        <f t="shared" ca="1" si="100"/>
        <v>78.253267177537225</v>
      </c>
    </row>
    <row r="935" spans="1:10">
      <c r="A935" s="184">
        <v>756</v>
      </c>
      <c r="B935" s="190">
        <f t="shared" ca="1" si="101"/>
        <v>7.4977823929476578E-2</v>
      </c>
      <c r="C935" s="190">
        <f t="shared" ca="1" si="102"/>
        <v>3.9276780883038098E-2</v>
      </c>
      <c r="D935" s="190">
        <f t="shared" ca="1" si="103"/>
        <v>3.0789191613037108E-2</v>
      </c>
      <c r="E935" s="190">
        <f t="shared" ca="1" si="104"/>
        <v>-3.1333019357820666E-2</v>
      </c>
      <c r="F935" s="189" t="b">
        <f t="shared" ca="1" si="105"/>
        <v>0</v>
      </c>
      <c r="G935" s="188" t="str">
        <f ca="1">IF(F935,IFERROR(((('Data Schema'!$C$3*(1+B935)^1)*((1-$I$4-$I$5+E935)*(1-$I$10)+$I$6-$I$11)-('Data Schema'!$C$3*(1+B935)^1-'Data Schema'!$C$3)*$I$12)/(1+C935)^1+(('Data Schema'!$C$3*(1+B935)^2)*((1-$I$4-$I$5+E935)*(1-$I$10)+$I$6-$I$11)-('Data Schema'!$C$3*(1+B935)^2-'Data Schema'!$C$3*(1+B935)^1)*$I$12)/(1+C935)^2+(('Data Schema'!$C$3*(1+B935)^3)*((1-$I$4-$I$5+E935)*(1-$I$10)+$I$6-$I$11)-('Data Schema'!$C$3*(1+B935)^3-'Data Schema'!$C$3*(1+B935)^2)*$I$12)/(1+C935)^3+(('Data Schema'!$C$3*(1+B935)^4)*((1-$I$4-$I$5+E935)*(1-$I$10)+$I$6-$I$11)-('Data Schema'!$C$3*(1+B935)^4-'Data Schema'!$C$3*(1+B935)^3)*$I$12)/(1+C935)^4+(('Data Schema'!$C$3*(1+B935)^5)*((1-$I$4-$I$5+E935)*(1-$I$10)+$I$6-$I$11)-('Data Schema'!$C$3*(1+B935)^5-'Data Schema'!$C$3*(1+B935)^4)*$I$12)/(1+C935)^5+((('Data Schema'!$C$3*(1+B935)^5)*((1-$I$4-$I$5+E935)*(1-$I$10)+$I$6-$I$11)-('Data Schema'!$C$3*(1+B935)^5-'Data Schema'!$C$3*(1+B935)^4)*$I$12)*(1+D935)/(C935-D935))/(1+C935)^5-'Data Schema'!$C$31+'Data Schema'!$C$21)/'Data Schema'!$B$17,0),"INVALID")</f>
        <v>INVALID</v>
      </c>
      <c r="H935" s="189" t="b">
        <f t="shared" ca="1" si="106"/>
        <v>0</v>
      </c>
      <c r="I935" s="188" t="str">
        <f t="shared" ca="1" si="107"/>
        <v/>
      </c>
      <c r="J935" s="349" t="str">
        <f t="shared" ca="1" si="100"/>
        <v/>
      </c>
    </row>
    <row r="936" spans="1:10">
      <c r="A936" s="185">
        <v>757</v>
      </c>
      <c r="B936" s="190">
        <f t="shared" ca="1" si="101"/>
        <v>6.0515990900400482E-2</v>
      </c>
      <c r="C936" s="190">
        <f t="shared" ca="1" si="102"/>
        <v>6.4080648986623356E-2</v>
      </c>
      <c r="D936" s="190">
        <f t="shared" ca="1" si="103"/>
        <v>3.1258172196450343E-2</v>
      </c>
      <c r="E936" s="190">
        <f t="shared" ca="1" si="104"/>
        <v>1.18010852245232E-2</v>
      </c>
      <c r="F936" s="189" t="b">
        <f t="shared" ca="1" si="105"/>
        <v>1</v>
      </c>
      <c r="G936" s="188">
        <f ca="1">IF(F936,IFERROR(((('Data Schema'!$C$3*(1+B936)^1)*((1-$I$4-$I$5+E936)*(1-$I$10)+$I$6-$I$11)-('Data Schema'!$C$3*(1+B936)^1-'Data Schema'!$C$3)*$I$12)/(1+C936)^1+(('Data Schema'!$C$3*(1+B936)^2)*((1-$I$4-$I$5+E936)*(1-$I$10)+$I$6-$I$11)-('Data Schema'!$C$3*(1+B936)^2-'Data Schema'!$C$3*(1+B936)^1)*$I$12)/(1+C936)^2+(('Data Schema'!$C$3*(1+B936)^3)*((1-$I$4-$I$5+E936)*(1-$I$10)+$I$6-$I$11)-('Data Schema'!$C$3*(1+B936)^3-'Data Schema'!$C$3*(1+B936)^2)*$I$12)/(1+C936)^3+(('Data Schema'!$C$3*(1+B936)^4)*((1-$I$4-$I$5+E936)*(1-$I$10)+$I$6-$I$11)-('Data Schema'!$C$3*(1+B936)^4-'Data Schema'!$C$3*(1+B936)^3)*$I$12)/(1+C936)^4+(('Data Schema'!$C$3*(1+B936)^5)*((1-$I$4-$I$5+E936)*(1-$I$10)+$I$6-$I$11)-('Data Schema'!$C$3*(1+B936)^5-'Data Schema'!$C$3*(1+B936)^4)*$I$12)/(1+C936)^5+((('Data Schema'!$C$3*(1+B936)^5)*((1-$I$4-$I$5+E936)*(1-$I$10)+$I$6-$I$11)-('Data Schema'!$C$3*(1+B936)^5-'Data Schema'!$C$3*(1+B936)^4)*$I$12)*(1+D936)/(C936-D936))/(1+C936)^5-'Data Schema'!$C$31+'Data Schema'!$C$21)/'Data Schema'!$B$17,0),"INVALID")</f>
        <v>104.38190743675486</v>
      </c>
      <c r="H936" s="189" t="b">
        <f t="shared" ca="1" si="106"/>
        <v>1</v>
      </c>
      <c r="I936" s="188">
        <f t="shared" ca="1" si="107"/>
        <v>104.38190743675486</v>
      </c>
      <c r="J936" s="349">
        <f t="shared" ca="1" si="100"/>
        <v>104.38190743675486</v>
      </c>
    </row>
    <row r="937" spans="1:10">
      <c r="A937" s="184">
        <v>758</v>
      </c>
      <c r="B937" s="190">
        <f t="shared" ca="1" si="101"/>
        <v>9.4006256607523708E-2</v>
      </c>
      <c r="C937" s="190">
        <f t="shared" ca="1" si="102"/>
        <v>6.4938690704049867E-2</v>
      </c>
      <c r="D937" s="190">
        <f t="shared" ca="1" si="103"/>
        <v>2.2043276593662637E-2</v>
      </c>
      <c r="E937" s="190">
        <f t="shared" ca="1" si="104"/>
        <v>1.223497271480182E-2</v>
      </c>
      <c r="F937" s="189" t="b">
        <f t="shared" ca="1" si="105"/>
        <v>1</v>
      </c>
      <c r="G937" s="188">
        <f ca="1">IF(F937,IFERROR(((('Data Schema'!$C$3*(1+B937)^1)*((1-$I$4-$I$5+E937)*(1-$I$10)+$I$6-$I$11)-('Data Schema'!$C$3*(1+B937)^1-'Data Schema'!$C$3)*$I$12)/(1+C937)^1+(('Data Schema'!$C$3*(1+B937)^2)*((1-$I$4-$I$5+E937)*(1-$I$10)+$I$6-$I$11)-('Data Schema'!$C$3*(1+B937)^2-'Data Schema'!$C$3*(1+B937)^1)*$I$12)/(1+C937)^2+(('Data Schema'!$C$3*(1+B937)^3)*((1-$I$4-$I$5+E937)*(1-$I$10)+$I$6-$I$11)-('Data Schema'!$C$3*(1+B937)^3-'Data Schema'!$C$3*(1+B937)^2)*$I$12)/(1+C937)^3+(('Data Schema'!$C$3*(1+B937)^4)*((1-$I$4-$I$5+E937)*(1-$I$10)+$I$6-$I$11)-('Data Schema'!$C$3*(1+B937)^4-'Data Schema'!$C$3*(1+B937)^3)*$I$12)/(1+C937)^4+(('Data Schema'!$C$3*(1+B937)^5)*((1-$I$4-$I$5+E937)*(1-$I$10)+$I$6-$I$11)-('Data Schema'!$C$3*(1+B937)^5-'Data Schema'!$C$3*(1+B937)^4)*$I$12)/(1+C937)^5+((('Data Schema'!$C$3*(1+B937)^5)*((1-$I$4-$I$5+E937)*(1-$I$10)+$I$6-$I$11)-('Data Schema'!$C$3*(1+B937)^5-'Data Schema'!$C$3*(1+B937)^4)*$I$12)*(1+D937)/(C937-D937))/(1+C937)^5-'Data Schema'!$C$31+'Data Schema'!$C$21)/'Data Schema'!$B$17,0),"INVALID")</f>
        <v>93.824801936351207</v>
      </c>
      <c r="H937" s="189" t="b">
        <f t="shared" ca="1" si="106"/>
        <v>1</v>
      </c>
      <c r="I937" s="188">
        <f t="shared" ca="1" si="107"/>
        <v>93.824801936351207</v>
      </c>
      <c r="J937" s="349">
        <f t="shared" ca="1" si="100"/>
        <v>93.824801936351207</v>
      </c>
    </row>
    <row r="938" spans="1:10">
      <c r="A938" s="185">
        <v>759</v>
      </c>
      <c r="B938" s="190">
        <f t="shared" ca="1" si="101"/>
        <v>0.13680953461529613</v>
      </c>
      <c r="C938" s="190">
        <f t="shared" ca="1" si="102"/>
        <v>6.1366581898357975E-2</v>
      </c>
      <c r="D938" s="190">
        <f t="shared" ca="1" si="103"/>
        <v>2.6246162269597938E-2</v>
      </c>
      <c r="E938" s="190">
        <f t="shared" ca="1" si="104"/>
        <v>-4.0612648976100812E-2</v>
      </c>
      <c r="F938" s="189" t="b">
        <f t="shared" ca="1" si="105"/>
        <v>1</v>
      </c>
      <c r="G938" s="188">
        <f ca="1">IF(F938,IFERROR(((('Data Schema'!$C$3*(1+B938)^1)*((1-$I$4-$I$5+E938)*(1-$I$10)+$I$6-$I$11)-('Data Schema'!$C$3*(1+B938)^1-'Data Schema'!$C$3)*$I$12)/(1+C938)^1+(('Data Schema'!$C$3*(1+B938)^2)*((1-$I$4-$I$5+E938)*(1-$I$10)+$I$6-$I$11)-('Data Schema'!$C$3*(1+B938)^2-'Data Schema'!$C$3*(1+B938)^1)*$I$12)/(1+C938)^2+(('Data Schema'!$C$3*(1+B938)^3)*((1-$I$4-$I$5+E938)*(1-$I$10)+$I$6-$I$11)-('Data Schema'!$C$3*(1+B938)^3-'Data Schema'!$C$3*(1+B938)^2)*$I$12)/(1+C938)^3+(('Data Schema'!$C$3*(1+B938)^4)*((1-$I$4-$I$5+E938)*(1-$I$10)+$I$6-$I$11)-('Data Schema'!$C$3*(1+B938)^4-'Data Schema'!$C$3*(1+B938)^3)*$I$12)/(1+C938)^4+(('Data Schema'!$C$3*(1+B938)^5)*((1-$I$4-$I$5+E938)*(1-$I$10)+$I$6-$I$11)-('Data Schema'!$C$3*(1+B938)^5-'Data Schema'!$C$3*(1+B938)^4)*$I$12)/(1+C938)^5+((('Data Schema'!$C$3*(1+B938)^5)*((1-$I$4-$I$5+E938)*(1-$I$10)+$I$6-$I$11)-('Data Schema'!$C$3*(1+B938)^5-'Data Schema'!$C$3*(1+B938)^4)*$I$12)*(1+D938)/(C938-D938))/(1+C938)^5-'Data Schema'!$C$31+'Data Schema'!$C$21)/'Data Schema'!$B$17,0),"INVALID")</f>
        <v>-30.675573200763562</v>
      </c>
      <c r="H938" s="189" t="b">
        <f t="shared" ca="1" si="106"/>
        <v>0</v>
      </c>
      <c r="I938" s="188" t="str">
        <f t="shared" ca="1" si="107"/>
        <v/>
      </c>
      <c r="J938" s="349" t="str">
        <f t="shared" ca="1" si="100"/>
        <v/>
      </c>
    </row>
    <row r="939" spans="1:10">
      <c r="A939" s="184">
        <v>760</v>
      </c>
      <c r="B939" s="190">
        <f t="shared" ca="1" si="101"/>
        <v>0.10140679494753725</v>
      </c>
      <c r="C939" s="190">
        <f t="shared" ca="1" si="102"/>
        <v>5.9505016709873473E-2</v>
      </c>
      <c r="D939" s="190">
        <f t="shared" ca="1" si="103"/>
        <v>1.9326964584424514E-2</v>
      </c>
      <c r="E939" s="190">
        <f t="shared" ca="1" si="104"/>
        <v>2.1662725168057787E-2</v>
      </c>
      <c r="F939" s="189" t="b">
        <f t="shared" ca="1" si="105"/>
        <v>1</v>
      </c>
      <c r="G939" s="188">
        <f ca="1">IF(F939,IFERROR(((('Data Schema'!$C$3*(1+B939)^1)*((1-$I$4-$I$5+E939)*(1-$I$10)+$I$6-$I$11)-('Data Schema'!$C$3*(1+B939)^1-'Data Schema'!$C$3)*$I$12)/(1+C939)^1+(('Data Schema'!$C$3*(1+B939)^2)*((1-$I$4-$I$5+E939)*(1-$I$10)+$I$6-$I$11)-('Data Schema'!$C$3*(1+B939)^2-'Data Schema'!$C$3*(1+B939)^1)*$I$12)/(1+C939)^2+(('Data Schema'!$C$3*(1+B939)^3)*((1-$I$4-$I$5+E939)*(1-$I$10)+$I$6-$I$11)-('Data Schema'!$C$3*(1+B939)^3-'Data Schema'!$C$3*(1+B939)^2)*$I$12)/(1+C939)^3+(('Data Schema'!$C$3*(1+B939)^4)*((1-$I$4-$I$5+E939)*(1-$I$10)+$I$6-$I$11)-('Data Schema'!$C$3*(1+B939)^4-'Data Schema'!$C$3*(1+B939)^3)*$I$12)/(1+C939)^4+(('Data Schema'!$C$3*(1+B939)^5)*((1-$I$4-$I$5+E939)*(1-$I$10)+$I$6-$I$11)-('Data Schema'!$C$3*(1+B939)^5-'Data Schema'!$C$3*(1+B939)^4)*$I$12)/(1+C939)^5+((('Data Schema'!$C$3*(1+B939)^5)*((1-$I$4-$I$5+E939)*(1-$I$10)+$I$6-$I$11)-('Data Schema'!$C$3*(1+B939)^5-'Data Schema'!$C$3*(1+B939)^4)*$I$12)*(1+D939)/(C939-D939))/(1+C939)^5-'Data Schema'!$C$31+'Data Schema'!$C$21)/'Data Schema'!$B$17,0),"INVALID")</f>
        <v>127.86428289229764</v>
      </c>
      <c r="H939" s="189" t="b">
        <f t="shared" ca="1" si="106"/>
        <v>1</v>
      </c>
      <c r="I939" s="188">
        <f t="shared" ca="1" si="107"/>
        <v>127.86428289229764</v>
      </c>
      <c r="J939" s="349">
        <f t="shared" ca="1" si="100"/>
        <v>127.86428289229764</v>
      </c>
    </row>
    <row r="940" spans="1:10">
      <c r="A940" s="185">
        <v>761</v>
      </c>
      <c r="B940" s="190">
        <f t="shared" ca="1" si="101"/>
        <v>8.2094381701792174E-2</v>
      </c>
      <c r="C940" s="190">
        <f t="shared" ca="1" si="102"/>
        <v>6.3087392765972375E-2</v>
      </c>
      <c r="D940" s="190">
        <f t="shared" ca="1" si="103"/>
        <v>2.2721267182392282E-2</v>
      </c>
      <c r="E940" s="190">
        <f t="shared" ca="1" si="104"/>
        <v>2.103003368321156E-4</v>
      </c>
      <c r="F940" s="189" t="b">
        <f t="shared" ca="1" si="105"/>
        <v>1</v>
      </c>
      <c r="G940" s="188">
        <f ca="1">IF(F940,IFERROR(((('Data Schema'!$C$3*(1+B940)^1)*((1-$I$4-$I$5+E940)*(1-$I$10)+$I$6-$I$11)-('Data Schema'!$C$3*(1+B940)^1-'Data Schema'!$C$3)*$I$12)/(1+C940)^1+(('Data Schema'!$C$3*(1+B940)^2)*((1-$I$4-$I$5+E940)*(1-$I$10)+$I$6-$I$11)-('Data Schema'!$C$3*(1+B940)^2-'Data Schema'!$C$3*(1+B940)^1)*$I$12)/(1+C940)^2+(('Data Schema'!$C$3*(1+B940)^3)*((1-$I$4-$I$5+E940)*(1-$I$10)+$I$6-$I$11)-('Data Schema'!$C$3*(1+B940)^3-'Data Schema'!$C$3*(1+B940)^2)*$I$12)/(1+C940)^3+(('Data Schema'!$C$3*(1+B940)^4)*((1-$I$4-$I$5+E940)*(1-$I$10)+$I$6-$I$11)-('Data Schema'!$C$3*(1+B940)^4-'Data Schema'!$C$3*(1+B940)^3)*$I$12)/(1+C940)^4+(('Data Schema'!$C$3*(1+B940)^5)*((1-$I$4-$I$5+E940)*(1-$I$10)+$I$6-$I$11)-('Data Schema'!$C$3*(1+B940)^5-'Data Schema'!$C$3*(1+B940)^4)*$I$12)/(1+C940)^5+((('Data Schema'!$C$3*(1+B940)^5)*((1-$I$4-$I$5+E940)*(1-$I$10)+$I$6-$I$11)-('Data Schema'!$C$3*(1+B940)^5-'Data Schema'!$C$3*(1+B940)^4)*$I$12)*(1+D940)/(C940-D940))/(1+C940)^5-'Data Schema'!$C$31+'Data Schema'!$C$21)/'Data Schema'!$B$17,0),"INVALID")</f>
        <v>68.832484447178729</v>
      </c>
      <c r="H940" s="189" t="b">
        <f t="shared" ca="1" si="106"/>
        <v>1</v>
      </c>
      <c r="I940" s="188">
        <f t="shared" ca="1" si="107"/>
        <v>68.832484447178729</v>
      </c>
      <c r="J940" s="349">
        <f t="shared" ca="1" si="100"/>
        <v>68.832484447178729</v>
      </c>
    </row>
    <row r="941" spans="1:10">
      <c r="A941" s="184">
        <v>762</v>
      </c>
      <c r="B941" s="190">
        <f t="shared" ca="1" si="101"/>
        <v>6.3973784003028999E-2</v>
      </c>
      <c r="C941" s="190">
        <f t="shared" ca="1" si="102"/>
        <v>5.3873057507964388E-2</v>
      </c>
      <c r="D941" s="190">
        <f t="shared" ca="1" si="103"/>
        <v>2.2789307574991459E-2</v>
      </c>
      <c r="E941" s="190">
        <f t="shared" ca="1" si="104"/>
        <v>-1.8736514123215905E-2</v>
      </c>
      <c r="F941" s="189" t="b">
        <f t="shared" ca="1" si="105"/>
        <v>1</v>
      </c>
      <c r="G941" s="188">
        <f ca="1">IF(F941,IFERROR(((('Data Schema'!$C$3*(1+B941)^1)*((1-$I$4-$I$5+E941)*(1-$I$10)+$I$6-$I$11)-('Data Schema'!$C$3*(1+B941)^1-'Data Schema'!$C$3)*$I$12)/(1+C941)^1+(('Data Schema'!$C$3*(1+B941)^2)*((1-$I$4-$I$5+E941)*(1-$I$10)+$I$6-$I$11)-('Data Schema'!$C$3*(1+B941)^2-'Data Schema'!$C$3*(1+B941)^1)*$I$12)/(1+C941)^2+(('Data Schema'!$C$3*(1+B941)^3)*((1-$I$4-$I$5+E941)*(1-$I$10)+$I$6-$I$11)-('Data Schema'!$C$3*(1+B941)^3-'Data Schema'!$C$3*(1+B941)^2)*$I$12)/(1+C941)^3+(('Data Schema'!$C$3*(1+B941)^4)*((1-$I$4-$I$5+E941)*(1-$I$10)+$I$6-$I$11)-('Data Schema'!$C$3*(1+B941)^4-'Data Schema'!$C$3*(1+B941)^3)*$I$12)/(1+C941)^4+(('Data Schema'!$C$3*(1+B941)^5)*((1-$I$4-$I$5+E941)*(1-$I$10)+$I$6-$I$11)-('Data Schema'!$C$3*(1+B941)^5-'Data Schema'!$C$3*(1+B941)^4)*$I$12)/(1+C941)^5+((('Data Schema'!$C$3*(1+B941)^5)*((1-$I$4-$I$5+E941)*(1-$I$10)+$I$6-$I$11)-('Data Schema'!$C$3*(1+B941)^5-'Data Schema'!$C$3*(1+B941)^4)*$I$12)*(1+D941)/(C941-D941))/(1+C941)^5-'Data Schema'!$C$31+'Data Schema'!$C$21)/'Data Schema'!$B$17,0),"INVALID")</f>
        <v>35.262756172176218</v>
      </c>
      <c r="H941" s="189" t="b">
        <f t="shared" ca="1" si="106"/>
        <v>1</v>
      </c>
      <c r="I941" s="188">
        <f t="shared" ca="1" si="107"/>
        <v>35.262756172176218</v>
      </c>
      <c r="J941" s="349">
        <f t="shared" ca="1" si="100"/>
        <v>35.262756172176218</v>
      </c>
    </row>
    <row r="942" spans="1:10">
      <c r="A942" s="185">
        <v>763</v>
      </c>
      <c r="B942" s="190">
        <f t="shared" ca="1" si="101"/>
        <v>0.10035058539570738</v>
      </c>
      <c r="C942" s="190">
        <f t="shared" ca="1" si="102"/>
        <v>5.0080669073588588E-2</v>
      </c>
      <c r="D942" s="190">
        <f t="shared" ca="1" si="103"/>
        <v>2.3903312565947417E-2</v>
      </c>
      <c r="E942" s="190">
        <f t="shared" ca="1" si="104"/>
        <v>-2.7093684212408455E-2</v>
      </c>
      <c r="F942" s="189" t="b">
        <f t="shared" ca="1" si="105"/>
        <v>1</v>
      </c>
      <c r="G942" s="188">
        <f ca="1">IF(F942,IFERROR(((('Data Schema'!$C$3*(1+B942)^1)*((1-$I$4-$I$5+E942)*(1-$I$10)+$I$6-$I$11)-('Data Schema'!$C$3*(1+B942)^1-'Data Schema'!$C$3)*$I$12)/(1+C942)^1+(('Data Schema'!$C$3*(1+B942)^2)*((1-$I$4-$I$5+E942)*(1-$I$10)+$I$6-$I$11)-('Data Schema'!$C$3*(1+B942)^2-'Data Schema'!$C$3*(1+B942)^1)*$I$12)/(1+C942)^2+(('Data Schema'!$C$3*(1+B942)^3)*((1-$I$4-$I$5+E942)*(1-$I$10)+$I$6-$I$11)-('Data Schema'!$C$3*(1+B942)^3-'Data Schema'!$C$3*(1+B942)^2)*$I$12)/(1+C942)^3+(('Data Schema'!$C$3*(1+B942)^4)*((1-$I$4-$I$5+E942)*(1-$I$10)+$I$6-$I$11)-('Data Schema'!$C$3*(1+B942)^4-'Data Schema'!$C$3*(1+B942)^3)*$I$12)/(1+C942)^4+(('Data Schema'!$C$3*(1+B942)^5)*((1-$I$4-$I$5+E942)*(1-$I$10)+$I$6-$I$11)-('Data Schema'!$C$3*(1+B942)^5-'Data Schema'!$C$3*(1+B942)^4)*$I$12)/(1+C942)^5+((('Data Schema'!$C$3*(1+B942)^5)*((1-$I$4-$I$5+E942)*(1-$I$10)+$I$6-$I$11)-('Data Schema'!$C$3*(1+B942)^5-'Data Schema'!$C$3*(1+B942)^4)*$I$12)*(1+D942)/(C942-D942))/(1+C942)^5-'Data Schema'!$C$31+'Data Schema'!$C$21)/'Data Schema'!$B$17,0),"INVALID")</f>
        <v>18.02102322902223</v>
      </c>
      <c r="H942" s="189" t="b">
        <f t="shared" ca="1" si="106"/>
        <v>1</v>
      </c>
      <c r="I942" s="188">
        <f t="shared" ca="1" si="107"/>
        <v>18.02102322902223</v>
      </c>
      <c r="J942" s="349" t="str">
        <f t="shared" ca="1" si="100"/>
        <v/>
      </c>
    </row>
    <row r="943" spans="1:10">
      <c r="A943" s="184">
        <v>764</v>
      </c>
      <c r="B943" s="190">
        <f t="shared" ca="1" si="101"/>
        <v>9.1585582590757594E-2</v>
      </c>
      <c r="C943" s="190">
        <f t="shared" ca="1" si="102"/>
        <v>5.5725407761854279E-2</v>
      </c>
      <c r="D943" s="190">
        <f t="shared" ca="1" si="103"/>
        <v>2.9000774897926955E-2</v>
      </c>
      <c r="E943" s="190">
        <f t="shared" ca="1" si="104"/>
        <v>-1.7085310921136451E-2</v>
      </c>
      <c r="F943" s="189" t="b">
        <f t="shared" ca="1" si="105"/>
        <v>1</v>
      </c>
      <c r="G943" s="188">
        <f ca="1">IF(F943,IFERROR(((('Data Schema'!$C$3*(1+B943)^1)*((1-$I$4-$I$5+E943)*(1-$I$10)+$I$6-$I$11)-('Data Schema'!$C$3*(1+B943)^1-'Data Schema'!$C$3)*$I$12)/(1+C943)^1+(('Data Schema'!$C$3*(1+B943)^2)*((1-$I$4-$I$5+E943)*(1-$I$10)+$I$6-$I$11)-('Data Schema'!$C$3*(1+B943)^2-'Data Schema'!$C$3*(1+B943)^1)*$I$12)/(1+C943)^2+(('Data Schema'!$C$3*(1+B943)^3)*((1-$I$4-$I$5+E943)*(1-$I$10)+$I$6-$I$11)-('Data Schema'!$C$3*(1+B943)^3-'Data Schema'!$C$3*(1+B943)^2)*$I$12)/(1+C943)^3+(('Data Schema'!$C$3*(1+B943)^4)*((1-$I$4-$I$5+E943)*(1-$I$10)+$I$6-$I$11)-('Data Schema'!$C$3*(1+B943)^4-'Data Schema'!$C$3*(1+B943)^3)*$I$12)/(1+C943)^4+(('Data Schema'!$C$3*(1+B943)^5)*((1-$I$4-$I$5+E943)*(1-$I$10)+$I$6-$I$11)-('Data Schema'!$C$3*(1+B943)^5-'Data Schema'!$C$3*(1+B943)^4)*$I$12)/(1+C943)^5+((('Data Schema'!$C$3*(1+B943)^5)*((1-$I$4-$I$5+E943)*(1-$I$10)+$I$6-$I$11)-('Data Schema'!$C$3*(1+B943)^5-'Data Schema'!$C$3*(1+B943)^4)*$I$12)*(1+D943)/(C943-D943))/(1+C943)^5-'Data Schema'!$C$31+'Data Schema'!$C$21)/'Data Schema'!$B$17,0),"INVALID")</f>
        <v>50.858151225537426</v>
      </c>
      <c r="H943" s="189" t="b">
        <f t="shared" ca="1" si="106"/>
        <v>1</v>
      </c>
      <c r="I943" s="188">
        <f t="shared" ca="1" si="107"/>
        <v>50.858151225537426</v>
      </c>
      <c r="J943" s="349">
        <f t="shared" ca="1" si="100"/>
        <v>50.858151225537426</v>
      </c>
    </row>
    <row r="944" spans="1:10">
      <c r="A944" s="185">
        <v>765</v>
      </c>
      <c r="B944" s="190">
        <f t="shared" ca="1" si="101"/>
        <v>0.10922452932280771</v>
      </c>
      <c r="C944" s="190">
        <f t="shared" ca="1" si="102"/>
        <v>6.1120387524628443E-2</v>
      </c>
      <c r="D944" s="190">
        <f t="shared" ca="1" si="103"/>
        <v>2.4908614272572589E-2</v>
      </c>
      <c r="E944" s="190">
        <f t="shared" ca="1" si="104"/>
        <v>2.8499553700906798E-2</v>
      </c>
      <c r="F944" s="189" t="b">
        <f t="shared" ca="1" si="105"/>
        <v>1</v>
      </c>
      <c r="G944" s="188">
        <f ca="1">IF(F944,IFERROR(((('Data Schema'!$C$3*(1+B944)^1)*((1-$I$4-$I$5+E944)*(1-$I$10)+$I$6-$I$11)-('Data Schema'!$C$3*(1+B944)^1-'Data Schema'!$C$3)*$I$12)/(1+C944)^1+(('Data Schema'!$C$3*(1+B944)^2)*((1-$I$4-$I$5+E944)*(1-$I$10)+$I$6-$I$11)-('Data Schema'!$C$3*(1+B944)^2-'Data Schema'!$C$3*(1+B944)^1)*$I$12)/(1+C944)^2+(('Data Schema'!$C$3*(1+B944)^3)*((1-$I$4-$I$5+E944)*(1-$I$10)+$I$6-$I$11)-('Data Schema'!$C$3*(1+B944)^3-'Data Schema'!$C$3*(1+B944)^2)*$I$12)/(1+C944)^3+(('Data Schema'!$C$3*(1+B944)^4)*((1-$I$4-$I$5+E944)*(1-$I$10)+$I$6-$I$11)-('Data Schema'!$C$3*(1+B944)^4-'Data Schema'!$C$3*(1+B944)^3)*$I$12)/(1+C944)^4+(('Data Schema'!$C$3*(1+B944)^5)*((1-$I$4-$I$5+E944)*(1-$I$10)+$I$6-$I$11)-('Data Schema'!$C$3*(1+B944)^5-'Data Schema'!$C$3*(1+B944)^4)*$I$12)/(1+C944)^5+((('Data Schema'!$C$3*(1+B944)^5)*((1-$I$4-$I$5+E944)*(1-$I$10)+$I$6-$I$11)-('Data Schema'!$C$3*(1+B944)^5-'Data Schema'!$C$3*(1+B944)^4)*$I$12)*(1+D944)/(C944-D944))/(1+C944)^5-'Data Schema'!$C$31+'Data Schema'!$C$21)/'Data Schema'!$B$17,0),"INVALID")</f>
        <v>163.23517180526375</v>
      </c>
      <c r="H944" s="189" t="b">
        <f t="shared" ca="1" si="106"/>
        <v>1</v>
      </c>
      <c r="I944" s="188">
        <f t="shared" ca="1" si="107"/>
        <v>163.23517180526375</v>
      </c>
      <c r="J944" s="349">
        <f t="shared" ca="1" si="100"/>
        <v>163.23517180526375</v>
      </c>
    </row>
    <row r="945" spans="1:10">
      <c r="A945" s="184">
        <v>766</v>
      </c>
      <c r="B945" s="190">
        <f t="shared" ca="1" si="101"/>
        <v>0.12179327472278867</v>
      </c>
      <c r="C945" s="190">
        <f t="shared" ca="1" si="102"/>
        <v>5.79026761030609E-2</v>
      </c>
      <c r="D945" s="190">
        <f t="shared" ca="1" si="103"/>
        <v>1.9136785620963961E-2</v>
      </c>
      <c r="E945" s="190">
        <f t="shared" ca="1" si="104"/>
        <v>-5.0025715026591625E-3</v>
      </c>
      <c r="F945" s="189" t="b">
        <f t="shared" ca="1" si="105"/>
        <v>1</v>
      </c>
      <c r="G945" s="188">
        <f ca="1">IF(F945,IFERROR(((('Data Schema'!$C$3*(1+B945)^1)*((1-$I$4-$I$5+E945)*(1-$I$10)+$I$6-$I$11)-('Data Schema'!$C$3*(1+B945)^1-'Data Schema'!$C$3)*$I$12)/(1+C945)^1+(('Data Schema'!$C$3*(1+B945)^2)*((1-$I$4-$I$5+E945)*(1-$I$10)+$I$6-$I$11)-('Data Schema'!$C$3*(1+B945)^2-'Data Schema'!$C$3*(1+B945)^1)*$I$12)/(1+C945)^2+(('Data Schema'!$C$3*(1+B945)^3)*((1-$I$4-$I$5+E945)*(1-$I$10)+$I$6-$I$11)-('Data Schema'!$C$3*(1+B945)^3-'Data Schema'!$C$3*(1+B945)^2)*$I$12)/(1+C945)^3+(('Data Schema'!$C$3*(1+B945)^4)*((1-$I$4-$I$5+E945)*(1-$I$10)+$I$6-$I$11)-('Data Schema'!$C$3*(1+B945)^4-'Data Schema'!$C$3*(1+B945)^3)*$I$12)/(1+C945)^4+(('Data Schema'!$C$3*(1+B945)^5)*((1-$I$4-$I$5+E945)*(1-$I$10)+$I$6-$I$11)-('Data Schema'!$C$3*(1+B945)^5-'Data Schema'!$C$3*(1+B945)^4)*$I$12)/(1+C945)^5+((('Data Schema'!$C$3*(1+B945)^5)*((1-$I$4-$I$5+E945)*(1-$I$10)+$I$6-$I$11)-('Data Schema'!$C$3*(1+B945)^5-'Data Schema'!$C$3*(1+B945)^4)*$I$12)*(1+D945)/(C945-D945))/(1+C945)^5-'Data Schema'!$C$31+'Data Schema'!$C$21)/'Data Schema'!$B$17,0),"INVALID")</f>
        <v>71.141711280554929</v>
      </c>
      <c r="H945" s="189" t="b">
        <f t="shared" ca="1" si="106"/>
        <v>1</v>
      </c>
      <c r="I945" s="188">
        <f t="shared" ca="1" si="107"/>
        <v>71.141711280554929</v>
      </c>
      <c r="J945" s="349">
        <f t="shared" ca="1" si="100"/>
        <v>71.141711280554929</v>
      </c>
    </row>
    <row r="946" spans="1:10">
      <c r="A946" s="185">
        <v>767</v>
      </c>
      <c r="B946" s="190">
        <f t="shared" ca="1" si="101"/>
        <v>9.6625680253683358E-2</v>
      </c>
      <c r="C946" s="190">
        <f t="shared" ca="1" si="102"/>
        <v>6.75433177308951E-2</v>
      </c>
      <c r="D946" s="190">
        <f t="shared" ca="1" si="103"/>
        <v>2.1764715425585019E-2</v>
      </c>
      <c r="E946" s="190">
        <f t="shared" ca="1" si="104"/>
        <v>1.5864431714402439E-4</v>
      </c>
      <c r="F946" s="189" t="b">
        <f t="shared" ca="1" si="105"/>
        <v>1</v>
      </c>
      <c r="G946" s="188">
        <f ca="1">IF(F946,IFERROR(((('Data Schema'!$C$3*(1+B946)^1)*((1-$I$4-$I$5+E946)*(1-$I$10)+$I$6-$I$11)-('Data Schema'!$C$3*(1+B946)^1-'Data Schema'!$C$3)*$I$12)/(1+C946)^1+(('Data Schema'!$C$3*(1+B946)^2)*((1-$I$4-$I$5+E946)*(1-$I$10)+$I$6-$I$11)-('Data Schema'!$C$3*(1+B946)^2-'Data Schema'!$C$3*(1+B946)^1)*$I$12)/(1+C946)^2+(('Data Schema'!$C$3*(1+B946)^3)*((1-$I$4-$I$5+E946)*(1-$I$10)+$I$6-$I$11)-('Data Schema'!$C$3*(1+B946)^3-'Data Schema'!$C$3*(1+B946)^2)*$I$12)/(1+C946)^3+(('Data Schema'!$C$3*(1+B946)^4)*((1-$I$4-$I$5+E946)*(1-$I$10)+$I$6-$I$11)-('Data Schema'!$C$3*(1+B946)^4-'Data Schema'!$C$3*(1+B946)^3)*$I$12)/(1+C946)^4+(('Data Schema'!$C$3*(1+B946)^5)*((1-$I$4-$I$5+E946)*(1-$I$10)+$I$6-$I$11)-('Data Schema'!$C$3*(1+B946)^5-'Data Schema'!$C$3*(1+B946)^4)*$I$12)/(1+C946)^5+((('Data Schema'!$C$3*(1+B946)^5)*((1-$I$4-$I$5+E946)*(1-$I$10)+$I$6-$I$11)-('Data Schema'!$C$3*(1+B946)^5-'Data Schema'!$C$3*(1+B946)^4)*$I$12)*(1+D946)/(C946-D946))/(1+C946)^5-'Data Schema'!$C$31+'Data Schema'!$C$21)/'Data Schema'!$B$17,0),"INVALID")</f>
        <v>63.438740364455306</v>
      </c>
      <c r="H946" s="189" t="b">
        <f t="shared" ca="1" si="106"/>
        <v>1</v>
      </c>
      <c r="I946" s="188">
        <f t="shared" ca="1" si="107"/>
        <v>63.438740364455306</v>
      </c>
      <c r="J946" s="349">
        <f t="shared" ca="1" si="100"/>
        <v>63.438740364455306</v>
      </c>
    </row>
    <row r="947" spans="1:10">
      <c r="A947" s="184">
        <v>768</v>
      </c>
      <c r="B947" s="190">
        <f t="shared" ca="1" si="101"/>
        <v>0.11638648068594351</v>
      </c>
      <c r="C947" s="190">
        <f t="shared" ca="1" si="102"/>
        <v>7.3729604423462908E-2</v>
      </c>
      <c r="D947" s="190">
        <f t="shared" ca="1" si="103"/>
        <v>3.6838433732237136E-2</v>
      </c>
      <c r="E947" s="190">
        <f t="shared" ca="1" si="104"/>
        <v>-3.0347752782767485E-2</v>
      </c>
      <c r="F947" s="189" t="b">
        <f t="shared" ca="1" si="105"/>
        <v>1</v>
      </c>
      <c r="G947" s="188">
        <f ca="1">IF(F947,IFERROR(((('Data Schema'!$C$3*(1+B947)^1)*((1-$I$4-$I$5+E947)*(1-$I$10)+$I$6-$I$11)-('Data Schema'!$C$3*(1+B947)^1-'Data Schema'!$C$3)*$I$12)/(1+C947)^1+(('Data Schema'!$C$3*(1+B947)^2)*((1-$I$4-$I$5+E947)*(1-$I$10)+$I$6-$I$11)-('Data Schema'!$C$3*(1+B947)^2-'Data Schema'!$C$3*(1+B947)^1)*$I$12)/(1+C947)^2+(('Data Schema'!$C$3*(1+B947)^3)*((1-$I$4-$I$5+E947)*(1-$I$10)+$I$6-$I$11)-('Data Schema'!$C$3*(1+B947)^3-'Data Schema'!$C$3*(1+B947)^2)*$I$12)/(1+C947)^3+(('Data Schema'!$C$3*(1+B947)^4)*((1-$I$4-$I$5+E947)*(1-$I$10)+$I$6-$I$11)-('Data Schema'!$C$3*(1+B947)^4-'Data Schema'!$C$3*(1+B947)^3)*$I$12)/(1+C947)^4+(('Data Schema'!$C$3*(1+B947)^5)*((1-$I$4-$I$5+E947)*(1-$I$10)+$I$6-$I$11)-('Data Schema'!$C$3*(1+B947)^5-'Data Schema'!$C$3*(1+B947)^4)*$I$12)/(1+C947)^5+((('Data Schema'!$C$3*(1+B947)^5)*((1-$I$4-$I$5+E947)*(1-$I$10)+$I$6-$I$11)-('Data Schema'!$C$3*(1+B947)^5-'Data Schema'!$C$3*(1+B947)^4)*$I$12)*(1+D947)/(C947-D947))/(1+C947)^5-'Data Schema'!$C$31+'Data Schema'!$C$21)/'Data Schema'!$B$17,0),"INVALID")</f>
        <v>1.4750707611852443</v>
      </c>
      <c r="H947" s="189" t="b">
        <f t="shared" ca="1" si="106"/>
        <v>0</v>
      </c>
      <c r="I947" s="188" t="str">
        <f t="shared" ca="1" si="107"/>
        <v/>
      </c>
      <c r="J947" s="349" t="str">
        <f t="shared" ca="1" si="100"/>
        <v/>
      </c>
    </row>
    <row r="948" spans="1:10">
      <c r="A948" s="185">
        <v>769</v>
      </c>
      <c r="B948" s="190">
        <f t="shared" ca="1" si="101"/>
        <v>0.12192071872112302</v>
      </c>
      <c r="C948" s="190">
        <f t="shared" ca="1" si="102"/>
        <v>6.0035949532574746E-2</v>
      </c>
      <c r="D948" s="190">
        <f t="shared" ca="1" si="103"/>
        <v>3.3637807068827151E-2</v>
      </c>
      <c r="E948" s="190">
        <f t="shared" ca="1" si="104"/>
        <v>-2.0214506800313805E-2</v>
      </c>
      <c r="F948" s="189" t="b">
        <f t="shared" ca="1" si="105"/>
        <v>1</v>
      </c>
      <c r="G948" s="188">
        <f ca="1">IF(F948,IFERROR(((('Data Schema'!$C$3*(1+B948)^1)*((1-$I$4-$I$5+E948)*(1-$I$10)+$I$6-$I$11)-('Data Schema'!$C$3*(1+B948)^1-'Data Schema'!$C$3)*$I$12)/(1+C948)^1+(('Data Schema'!$C$3*(1+B948)^2)*((1-$I$4-$I$5+E948)*(1-$I$10)+$I$6-$I$11)-('Data Schema'!$C$3*(1+B948)^2-'Data Schema'!$C$3*(1+B948)^1)*$I$12)/(1+C948)^2+(('Data Schema'!$C$3*(1+B948)^3)*((1-$I$4-$I$5+E948)*(1-$I$10)+$I$6-$I$11)-('Data Schema'!$C$3*(1+B948)^3-'Data Schema'!$C$3*(1+B948)^2)*$I$12)/(1+C948)^3+(('Data Schema'!$C$3*(1+B948)^4)*((1-$I$4-$I$5+E948)*(1-$I$10)+$I$6-$I$11)-('Data Schema'!$C$3*(1+B948)^4-'Data Schema'!$C$3*(1+B948)^3)*$I$12)/(1+C948)^4+(('Data Schema'!$C$3*(1+B948)^5)*((1-$I$4-$I$5+E948)*(1-$I$10)+$I$6-$I$11)-('Data Schema'!$C$3*(1+B948)^5-'Data Schema'!$C$3*(1+B948)^4)*$I$12)/(1+C948)^5+((('Data Schema'!$C$3*(1+B948)^5)*((1-$I$4-$I$5+E948)*(1-$I$10)+$I$6-$I$11)-('Data Schema'!$C$3*(1+B948)^5-'Data Schema'!$C$3*(1+B948)^4)*$I$12)*(1+D948)/(C948-D948))/(1+C948)^5-'Data Schema'!$C$31+'Data Schema'!$C$21)/'Data Schema'!$B$17,0),"INVALID")</f>
        <v>44.054286872950733</v>
      </c>
      <c r="H948" s="189" t="b">
        <f t="shared" ca="1" si="106"/>
        <v>1</v>
      </c>
      <c r="I948" s="188">
        <f t="shared" ca="1" si="107"/>
        <v>44.054286872950733</v>
      </c>
      <c r="J948" s="349">
        <f t="shared" ref="J948:J1011" ca="1" si="108">IF(AND(F948=TRUE,H948=TRUE,ISNUMBER(G948),G948&gt;=$B$153,G948&lt;=$B$154),G948,"")</f>
        <v>44.054286872950733</v>
      </c>
    </row>
    <row r="949" spans="1:10">
      <c r="A949" s="184">
        <v>770</v>
      </c>
      <c r="B949" s="190">
        <f t="shared" ref="B949:B1012" ca="1" si="109">MAX($D$139,MIN($E$139,NORMINV(RAND(),$B$139,$C$139)))</f>
        <v>0.11720712886249682</v>
      </c>
      <c r="C949" s="190">
        <f t="shared" ref="C949:C1012" ca="1" si="110">MAX($D$140,MIN($E$140,NORMINV(RAND(),$B$140,$C$140)))</f>
        <v>5.479734451667069E-2</v>
      </c>
      <c r="D949" s="190">
        <f t="shared" ref="D949:D1012" ca="1" si="111">MAX($D$141,MIN($E$141,NORMINV(RAND(),$B$141,$C$141)))</f>
        <v>2.6228028507791719E-2</v>
      </c>
      <c r="E949" s="190">
        <f t="shared" ref="E949:E1012" ca="1" si="112">MAX($D$142,MIN($E$142,NORMINV(RAND(),$B$142,$C$142)))</f>
        <v>7.22628258745933E-3</v>
      </c>
      <c r="F949" s="189" t="b">
        <f t="shared" ref="F949:F1012" ca="1" si="113">C949&gt;D949+$B$144</f>
        <v>1</v>
      </c>
      <c r="G949" s="188">
        <f ca="1">IF(F949,IFERROR(((('Data Schema'!$C$3*(1+B949)^1)*((1-$I$4-$I$5+E949)*(1-$I$10)+$I$6-$I$11)-('Data Schema'!$C$3*(1+B949)^1-'Data Schema'!$C$3)*$I$12)/(1+C949)^1+(('Data Schema'!$C$3*(1+B949)^2)*((1-$I$4-$I$5+E949)*(1-$I$10)+$I$6-$I$11)-('Data Schema'!$C$3*(1+B949)^2-'Data Schema'!$C$3*(1+B949)^1)*$I$12)/(1+C949)^2+(('Data Schema'!$C$3*(1+B949)^3)*((1-$I$4-$I$5+E949)*(1-$I$10)+$I$6-$I$11)-('Data Schema'!$C$3*(1+B949)^3-'Data Schema'!$C$3*(1+B949)^2)*$I$12)/(1+C949)^3+(('Data Schema'!$C$3*(1+B949)^4)*((1-$I$4-$I$5+E949)*(1-$I$10)+$I$6-$I$11)-('Data Schema'!$C$3*(1+B949)^4-'Data Schema'!$C$3*(1+B949)^3)*$I$12)/(1+C949)^4+(('Data Schema'!$C$3*(1+B949)^5)*((1-$I$4-$I$5+E949)*(1-$I$10)+$I$6-$I$11)-('Data Schema'!$C$3*(1+B949)^5-'Data Schema'!$C$3*(1+B949)^4)*$I$12)/(1+C949)^5+((('Data Schema'!$C$3*(1+B949)^5)*((1-$I$4-$I$5+E949)*(1-$I$10)+$I$6-$I$11)-('Data Schema'!$C$3*(1+B949)^5-'Data Schema'!$C$3*(1+B949)^4)*$I$12)*(1+D949)/(C949-D949))/(1+C949)^5-'Data Schema'!$C$31+'Data Schema'!$C$21)/'Data Schema'!$B$17,0),"INVALID")</f>
        <v>139.30737072582912</v>
      </c>
      <c r="H949" s="189" t="b">
        <f t="shared" ref="H949:H1012" ca="1" si="114">AND(ISNUMBER(G949),G949&gt;$F$29*$B$145,G949&lt;$F$29*$B$146)</f>
        <v>1</v>
      </c>
      <c r="I949" s="188">
        <f t="shared" ref="I949:I1012" ca="1" si="115">IF(AND(F949=TRUE,H949=TRUE),G949,"")</f>
        <v>139.30737072582912</v>
      </c>
      <c r="J949" s="349">
        <f t="shared" ca="1" si="108"/>
        <v>139.30737072582912</v>
      </c>
    </row>
    <row r="950" spans="1:10">
      <c r="A950" s="185">
        <v>771</v>
      </c>
      <c r="B950" s="190">
        <f t="shared" ca="1" si="109"/>
        <v>0.10105404353059749</v>
      </c>
      <c r="C950" s="190">
        <f t="shared" ca="1" si="110"/>
        <v>6.4970555304370237E-2</v>
      </c>
      <c r="D950" s="190">
        <f t="shared" ca="1" si="111"/>
        <v>2.2080981515122236E-2</v>
      </c>
      <c r="E950" s="190">
        <f t="shared" ca="1" si="112"/>
        <v>3.1667395180007218E-2</v>
      </c>
      <c r="F950" s="189" t="b">
        <f t="shared" ca="1" si="113"/>
        <v>1</v>
      </c>
      <c r="G950" s="188">
        <f ca="1">IF(F950,IFERROR(((('Data Schema'!$C$3*(1+B950)^1)*((1-$I$4-$I$5+E950)*(1-$I$10)+$I$6-$I$11)-('Data Schema'!$C$3*(1+B950)^1-'Data Schema'!$C$3)*$I$12)/(1+C950)^1+(('Data Schema'!$C$3*(1+B950)^2)*((1-$I$4-$I$5+E950)*(1-$I$10)+$I$6-$I$11)-('Data Schema'!$C$3*(1+B950)^2-'Data Schema'!$C$3*(1+B950)^1)*$I$12)/(1+C950)^2+(('Data Schema'!$C$3*(1+B950)^3)*((1-$I$4-$I$5+E950)*(1-$I$10)+$I$6-$I$11)-('Data Schema'!$C$3*(1+B950)^3-'Data Schema'!$C$3*(1+B950)^2)*$I$12)/(1+C950)^3+(('Data Schema'!$C$3*(1+B950)^4)*((1-$I$4-$I$5+E950)*(1-$I$10)+$I$6-$I$11)-('Data Schema'!$C$3*(1+B950)^4-'Data Schema'!$C$3*(1+B950)^3)*$I$12)/(1+C950)^4+(('Data Schema'!$C$3*(1+B950)^5)*((1-$I$4-$I$5+E950)*(1-$I$10)+$I$6-$I$11)-('Data Schema'!$C$3*(1+B950)^5-'Data Schema'!$C$3*(1+B950)^4)*$I$12)/(1+C950)^5+((('Data Schema'!$C$3*(1+B950)^5)*((1-$I$4-$I$5+E950)*(1-$I$10)+$I$6-$I$11)-('Data Schema'!$C$3*(1+B950)^5-'Data Schema'!$C$3*(1+B950)^4)*$I$12)*(1+D950)/(C950-D950))/(1+C950)^5-'Data Schema'!$C$31+'Data Schema'!$C$21)/'Data Schema'!$B$17,0),"INVALID")</f>
        <v>140.19289978027624</v>
      </c>
      <c r="H950" s="189" t="b">
        <f t="shared" ca="1" si="114"/>
        <v>1</v>
      </c>
      <c r="I950" s="188">
        <f t="shared" ca="1" si="115"/>
        <v>140.19289978027624</v>
      </c>
      <c r="J950" s="349">
        <f t="shared" ca="1" si="108"/>
        <v>140.19289978027624</v>
      </c>
    </row>
    <row r="951" spans="1:10">
      <c r="A951" s="184">
        <v>772</v>
      </c>
      <c r="B951" s="190">
        <f t="shared" ca="1" si="109"/>
        <v>0.1250784736340344</v>
      </c>
      <c r="C951" s="190">
        <f t="shared" ca="1" si="110"/>
        <v>6.7811247079643533E-2</v>
      </c>
      <c r="D951" s="190">
        <f t="shared" ca="1" si="111"/>
        <v>1.3225710089678768E-2</v>
      </c>
      <c r="E951" s="190">
        <f t="shared" ca="1" si="112"/>
        <v>-1.0302941708171512E-2</v>
      </c>
      <c r="F951" s="189" t="b">
        <f t="shared" ca="1" si="113"/>
        <v>1</v>
      </c>
      <c r="G951" s="188">
        <f ca="1">IF(F951,IFERROR(((('Data Schema'!$C$3*(1+B951)^1)*((1-$I$4-$I$5+E951)*(1-$I$10)+$I$6-$I$11)-('Data Schema'!$C$3*(1+B951)^1-'Data Schema'!$C$3)*$I$12)/(1+C951)^1+(('Data Schema'!$C$3*(1+B951)^2)*((1-$I$4-$I$5+E951)*(1-$I$10)+$I$6-$I$11)-('Data Schema'!$C$3*(1+B951)^2-'Data Schema'!$C$3*(1+B951)^1)*$I$12)/(1+C951)^2+(('Data Schema'!$C$3*(1+B951)^3)*((1-$I$4-$I$5+E951)*(1-$I$10)+$I$6-$I$11)-('Data Schema'!$C$3*(1+B951)^3-'Data Schema'!$C$3*(1+B951)^2)*$I$12)/(1+C951)^3+(('Data Schema'!$C$3*(1+B951)^4)*((1-$I$4-$I$5+E951)*(1-$I$10)+$I$6-$I$11)-('Data Schema'!$C$3*(1+B951)^4-'Data Schema'!$C$3*(1+B951)^3)*$I$12)/(1+C951)^4+(('Data Schema'!$C$3*(1+B951)^5)*((1-$I$4-$I$5+E951)*(1-$I$10)+$I$6-$I$11)-('Data Schema'!$C$3*(1+B951)^5-'Data Schema'!$C$3*(1+B951)^4)*$I$12)/(1+C951)^5+((('Data Schema'!$C$3*(1+B951)^5)*((1-$I$4-$I$5+E951)*(1-$I$10)+$I$6-$I$11)-('Data Schema'!$C$3*(1+B951)^5-'Data Schema'!$C$3*(1+B951)^4)*$I$12)*(1+D951)/(C951-D951))/(1+C951)^5-'Data Schema'!$C$31+'Data Schema'!$C$21)/'Data Schema'!$B$17,0),"INVALID")</f>
        <v>39.060812445454722</v>
      </c>
      <c r="H951" s="189" t="b">
        <f t="shared" ca="1" si="114"/>
        <v>1</v>
      </c>
      <c r="I951" s="188">
        <f t="shared" ca="1" si="115"/>
        <v>39.060812445454722</v>
      </c>
      <c r="J951" s="349">
        <f t="shared" ca="1" si="108"/>
        <v>39.060812445454722</v>
      </c>
    </row>
    <row r="952" spans="1:10">
      <c r="A952" s="185">
        <v>773</v>
      </c>
      <c r="B952" s="190">
        <f t="shared" ca="1" si="109"/>
        <v>0.10997882195476803</v>
      </c>
      <c r="C952" s="190">
        <f t="shared" ca="1" si="110"/>
        <v>5.7066697378235588E-2</v>
      </c>
      <c r="D952" s="190">
        <f t="shared" ca="1" si="111"/>
        <v>2.6152471551667136E-2</v>
      </c>
      <c r="E952" s="190">
        <f t="shared" ca="1" si="112"/>
        <v>1.8301454508243672E-3</v>
      </c>
      <c r="F952" s="189" t="b">
        <f t="shared" ca="1" si="113"/>
        <v>1</v>
      </c>
      <c r="G952" s="188">
        <f ca="1">IF(F952,IFERROR(((('Data Schema'!$C$3*(1+B952)^1)*((1-$I$4-$I$5+E952)*(1-$I$10)+$I$6-$I$11)-('Data Schema'!$C$3*(1+B952)^1-'Data Schema'!$C$3)*$I$12)/(1+C952)^1+(('Data Schema'!$C$3*(1+B952)^2)*((1-$I$4-$I$5+E952)*(1-$I$10)+$I$6-$I$11)-('Data Schema'!$C$3*(1+B952)^2-'Data Schema'!$C$3*(1+B952)^1)*$I$12)/(1+C952)^2+(('Data Schema'!$C$3*(1+B952)^3)*((1-$I$4-$I$5+E952)*(1-$I$10)+$I$6-$I$11)-('Data Schema'!$C$3*(1+B952)^3-'Data Schema'!$C$3*(1+B952)^2)*$I$12)/(1+C952)^3+(('Data Schema'!$C$3*(1+B952)^4)*((1-$I$4-$I$5+E952)*(1-$I$10)+$I$6-$I$11)-('Data Schema'!$C$3*(1+B952)^4-'Data Schema'!$C$3*(1+B952)^3)*$I$12)/(1+C952)^4+(('Data Schema'!$C$3*(1+B952)^5)*((1-$I$4-$I$5+E952)*(1-$I$10)+$I$6-$I$11)-('Data Schema'!$C$3*(1+B952)^5-'Data Schema'!$C$3*(1+B952)^4)*$I$12)/(1+C952)^5+((('Data Schema'!$C$3*(1+B952)^5)*((1-$I$4-$I$5+E952)*(1-$I$10)+$I$6-$I$11)-('Data Schema'!$C$3*(1+B952)^5-'Data Schema'!$C$3*(1+B952)^4)*$I$12)*(1+D952)/(C952-D952))/(1+C952)^5-'Data Schema'!$C$31+'Data Schema'!$C$21)/'Data Schema'!$B$17,0),"INVALID")</f>
        <v>107.07930727392144</v>
      </c>
      <c r="H952" s="189" t="b">
        <f t="shared" ca="1" si="114"/>
        <v>1</v>
      </c>
      <c r="I952" s="188">
        <f t="shared" ca="1" si="115"/>
        <v>107.07930727392144</v>
      </c>
      <c r="J952" s="349">
        <f t="shared" ca="1" si="108"/>
        <v>107.07930727392144</v>
      </c>
    </row>
    <row r="953" spans="1:10">
      <c r="A953" s="184">
        <v>774</v>
      </c>
      <c r="B953" s="190">
        <f t="shared" ca="1" si="109"/>
        <v>8.2527090998212732E-2</v>
      </c>
      <c r="C953" s="190">
        <f t="shared" ca="1" si="110"/>
        <v>4.9079807222345853E-2</v>
      </c>
      <c r="D953" s="190">
        <f t="shared" ca="1" si="111"/>
        <v>2.0547882577514255E-2</v>
      </c>
      <c r="E953" s="190">
        <f t="shared" ca="1" si="112"/>
        <v>-3.8781540608268765E-2</v>
      </c>
      <c r="F953" s="189" t="b">
        <f t="shared" ca="1" si="113"/>
        <v>1</v>
      </c>
      <c r="G953" s="188">
        <f ca="1">IF(F953,IFERROR(((('Data Schema'!$C$3*(1+B953)^1)*((1-$I$4-$I$5+E953)*(1-$I$10)+$I$6-$I$11)-('Data Schema'!$C$3*(1+B953)^1-'Data Schema'!$C$3)*$I$12)/(1+C953)^1+(('Data Schema'!$C$3*(1+B953)^2)*((1-$I$4-$I$5+E953)*(1-$I$10)+$I$6-$I$11)-('Data Schema'!$C$3*(1+B953)^2-'Data Schema'!$C$3*(1+B953)^1)*$I$12)/(1+C953)^2+(('Data Schema'!$C$3*(1+B953)^3)*((1-$I$4-$I$5+E953)*(1-$I$10)+$I$6-$I$11)-('Data Schema'!$C$3*(1+B953)^3-'Data Schema'!$C$3*(1+B953)^2)*$I$12)/(1+C953)^3+(('Data Schema'!$C$3*(1+B953)^4)*((1-$I$4-$I$5+E953)*(1-$I$10)+$I$6-$I$11)-('Data Schema'!$C$3*(1+B953)^4-'Data Schema'!$C$3*(1+B953)^3)*$I$12)/(1+C953)^4+(('Data Schema'!$C$3*(1+B953)^5)*((1-$I$4-$I$5+E953)*(1-$I$10)+$I$6-$I$11)-('Data Schema'!$C$3*(1+B953)^5-'Data Schema'!$C$3*(1+B953)^4)*$I$12)/(1+C953)^5+((('Data Schema'!$C$3*(1+B953)^5)*((1-$I$4-$I$5+E953)*(1-$I$10)+$I$6-$I$11)-('Data Schema'!$C$3*(1+B953)^5-'Data Schema'!$C$3*(1+B953)^4)*$I$12)*(1+D953)/(C953-D953))/(1+C953)^5-'Data Schema'!$C$31+'Data Schema'!$C$21)/'Data Schema'!$B$17,0),"INVALID")</f>
        <v>-21.172616769436164</v>
      </c>
      <c r="H953" s="189" t="b">
        <f t="shared" ca="1" si="114"/>
        <v>0</v>
      </c>
      <c r="I953" s="188" t="str">
        <f t="shared" ca="1" si="115"/>
        <v/>
      </c>
      <c r="J953" s="349" t="str">
        <f t="shared" ca="1" si="108"/>
        <v/>
      </c>
    </row>
    <row r="954" spans="1:10">
      <c r="A954" s="185">
        <v>775</v>
      </c>
      <c r="B954" s="190">
        <f t="shared" ca="1" si="109"/>
        <v>8.2067893761702621E-2</v>
      </c>
      <c r="C954" s="190">
        <f t="shared" ca="1" si="110"/>
        <v>5.6305314936972703E-2</v>
      </c>
      <c r="D954" s="190">
        <f t="shared" ca="1" si="111"/>
        <v>2.3870686999470744E-2</v>
      </c>
      <c r="E954" s="190">
        <f t="shared" ca="1" si="112"/>
        <v>-1.3098609486103243E-2</v>
      </c>
      <c r="F954" s="189" t="b">
        <f t="shared" ca="1" si="113"/>
        <v>1</v>
      </c>
      <c r="G954" s="188">
        <f ca="1">IF(F954,IFERROR(((('Data Schema'!$C$3*(1+B954)^1)*((1-$I$4-$I$5+E954)*(1-$I$10)+$I$6-$I$11)-('Data Schema'!$C$3*(1+B954)^1-'Data Schema'!$C$3)*$I$12)/(1+C954)^1+(('Data Schema'!$C$3*(1+B954)^2)*((1-$I$4-$I$5+E954)*(1-$I$10)+$I$6-$I$11)-('Data Schema'!$C$3*(1+B954)^2-'Data Schema'!$C$3*(1+B954)^1)*$I$12)/(1+C954)^2+(('Data Schema'!$C$3*(1+B954)^3)*((1-$I$4-$I$5+E954)*(1-$I$10)+$I$6-$I$11)-('Data Schema'!$C$3*(1+B954)^3-'Data Schema'!$C$3*(1+B954)^2)*$I$12)/(1+C954)^3+(('Data Schema'!$C$3*(1+B954)^4)*((1-$I$4-$I$5+E954)*(1-$I$10)+$I$6-$I$11)-('Data Schema'!$C$3*(1+B954)^4-'Data Schema'!$C$3*(1+B954)^3)*$I$12)/(1+C954)^4+(('Data Schema'!$C$3*(1+B954)^5)*((1-$I$4-$I$5+E954)*(1-$I$10)+$I$6-$I$11)-('Data Schema'!$C$3*(1+B954)^5-'Data Schema'!$C$3*(1+B954)^4)*$I$12)/(1+C954)^5+((('Data Schema'!$C$3*(1+B954)^5)*((1-$I$4-$I$5+E954)*(1-$I$10)+$I$6-$I$11)-('Data Schema'!$C$3*(1+B954)^5-'Data Schema'!$C$3*(1+B954)^4)*$I$12)*(1+D954)/(C954-D954))/(1+C954)^5-'Data Schema'!$C$31+'Data Schema'!$C$21)/'Data Schema'!$B$17,0),"INVALID")</f>
        <v>50.942990330470238</v>
      </c>
      <c r="H954" s="189" t="b">
        <f t="shared" ca="1" si="114"/>
        <v>1</v>
      </c>
      <c r="I954" s="188">
        <f t="shared" ca="1" si="115"/>
        <v>50.942990330470238</v>
      </c>
      <c r="J954" s="349">
        <f t="shared" ca="1" si="108"/>
        <v>50.942990330470238</v>
      </c>
    </row>
    <row r="955" spans="1:10">
      <c r="A955" s="184">
        <v>776</v>
      </c>
      <c r="B955" s="190">
        <f t="shared" ca="1" si="109"/>
        <v>7.826270204573342E-2</v>
      </c>
      <c r="C955" s="190">
        <f t="shared" ca="1" si="110"/>
        <v>7.7362685051600197E-2</v>
      </c>
      <c r="D955" s="190">
        <f t="shared" ca="1" si="111"/>
        <v>2.4366734168437269E-2</v>
      </c>
      <c r="E955" s="190">
        <f t="shared" ca="1" si="112"/>
        <v>5.0357232400863643E-2</v>
      </c>
      <c r="F955" s="189" t="b">
        <f t="shared" ca="1" si="113"/>
        <v>1</v>
      </c>
      <c r="G955" s="188">
        <f ca="1">IF(F955,IFERROR(((('Data Schema'!$C$3*(1+B955)^1)*((1-$I$4-$I$5+E955)*(1-$I$10)+$I$6-$I$11)-('Data Schema'!$C$3*(1+B955)^1-'Data Schema'!$C$3)*$I$12)/(1+C955)^1+(('Data Schema'!$C$3*(1+B955)^2)*((1-$I$4-$I$5+E955)*(1-$I$10)+$I$6-$I$11)-('Data Schema'!$C$3*(1+B955)^2-'Data Schema'!$C$3*(1+B955)^1)*$I$12)/(1+C955)^2+(('Data Schema'!$C$3*(1+B955)^3)*((1-$I$4-$I$5+E955)*(1-$I$10)+$I$6-$I$11)-('Data Schema'!$C$3*(1+B955)^3-'Data Schema'!$C$3*(1+B955)^2)*$I$12)/(1+C955)^3+(('Data Schema'!$C$3*(1+B955)^4)*((1-$I$4-$I$5+E955)*(1-$I$10)+$I$6-$I$11)-('Data Schema'!$C$3*(1+B955)^4-'Data Schema'!$C$3*(1+B955)^3)*$I$12)/(1+C955)^4+(('Data Schema'!$C$3*(1+B955)^5)*((1-$I$4-$I$5+E955)*(1-$I$10)+$I$6-$I$11)-('Data Schema'!$C$3*(1+B955)^5-'Data Schema'!$C$3*(1+B955)^4)*$I$12)/(1+C955)^5+((('Data Schema'!$C$3*(1+B955)^5)*((1-$I$4-$I$5+E955)*(1-$I$10)+$I$6-$I$11)-('Data Schema'!$C$3*(1+B955)^5-'Data Schema'!$C$3*(1+B955)^4)*$I$12)*(1+D955)/(C955-D955))/(1+C955)^5-'Data Schema'!$C$31+'Data Schema'!$C$21)/'Data Schema'!$B$17,0),"INVALID")</f>
        <v>130.98767862518031</v>
      </c>
      <c r="H955" s="189" t="b">
        <f t="shared" ca="1" si="114"/>
        <v>1</v>
      </c>
      <c r="I955" s="188">
        <f t="shared" ca="1" si="115"/>
        <v>130.98767862518031</v>
      </c>
      <c r="J955" s="349">
        <f t="shared" ca="1" si="108"/>
        <v>130.98767862518031</v>
      </c>
    </row>
    <row r="956" spans="1:10">
      <c r="A956" s="185">
        <v>777</v>
      </c>
      <c r="B956" s="190">
        <f t="shared" ca="1" si="109"/>
        <v>0.12027670764412476</v>
      </c>
      <c r="C956" s="190">
        <f t="shared" ca="1" si="110"/>
        <v>6.4963666172384998E-2</v>
      </c>
      <c r="D956" s="190">
        <f t="shared" ca="1" si="111"/>
        <v>1.99719911823301E-2</v>
      </c>
      <c r="E956" s="190">
        <f t="shared" ca="1" si="112"/>
        <v>3.4685364071189391E-2</v>
      </c>
      <c r="F956" s="189" t="b">
        <f t="shared" ca="1" si="113"/>
        <v>1</v>
      </c>
      <c r="G956" s="188">
        <f ca="1">IF(F956,IFERROR(((('Data Schema'!$C$3*(1+B956)^1)*((1-$I$4-$I$5+E956)*(1-$I$10)+$I$6-$I$11)-('Data Schema'!$C$3*(1+B956)^1-'Data Schema'!$C$3)*$I$12)/(1+C956)^1+(('Data Schema'!$C$3*(1+B956)^2)*((1-$I$4-$I$5+E956)*(1-$I$10)+$I$6-$I$11)-('Data Schema'!$C$3*(1+B956)^2-'Data Schema'!$C$3*(1+B956)^1)*$I$12)/(1+C956)^2+(('Data Schema'!$C$3*(1+B956)^3)*((1-$I$4-$I$5+E956)*(1-$I$10)+$I$6-$I$11)-('Data Schema'!$C$3*(1+B956)^3-'Data Schema'!$C$3*(1+B956)^2)*$I$12)/(1+C956)^3+(('Data Schema'!$C$3*(1+B956)^4)*((1-$I$4-$I$5+E956)*(1-$I$10)+$I$6-$I$11)-('Data Schema'!$C$3*(1+B956)^4-'Data Schema'!$C$3*(1+B956)^3)*$I$12)/(1+C956)^4+(('Data Schema'!$C$3*(1+B956)^5)*((1-$I$4-$I$5+E956)*(1-$I$10)+$I$6-$I$11)-('Data Schema'!$C$3*(1+B956)^5-'Data Schema'!$C$3*(1+B956)^4)*$I$12)/(1+C956)^5+((('Data Schema'!$C$3*(1+B956)^5)*((1-$I$4-$I$5+E956)*(1-$I$10)+$I$6-$I$11)-('Data Schema'!$C$3*(1+B956)^5-'Data Schema'!$C$3*(1+B956)^4)*$I$12)*(1+D956)/(C956-D956))/(1+C956)^5-'Data Schema'!$C$31+'Data Schema'!$C$21)/'Data Schema'!$B$17,0),"INVALID")</f>
        <v>152.19247854670394</v>
      </c>
      <c r="H956" s="189" t="b">
        <f t="shared" ca="1" si="114"/>
        <v>1</v>
      </c>
      <c r="I956" s="188">
        <f t="shared" ca="1" si="115"/>
        <v>152.19247854670394</v>
      </c>
      <c r="J956" s="349">
        <f t="shared" ca="1" si="108"/>
        <v>152.19247854670394</v>
      </c>
    </row>
    <row r="957" spans="1:10">
      <c r="A957" s="184">
        <v>778</v>
      </c>
      <c r="B957" s="190">
        <f t="shared" ca="1" si="109"/>
        <v>9.6548183718654312E-2</v>
      </c>
      <c r="C957" s="190">
        <f t="shared" ca="1" si="110"/>
        <v>6.4333666487351115E-2</v>
      </c>
      <c r="D957" s="190">
        <f t="shared" ca="1" si="111"/>
        <v>1.9374497841724056E-2</v>
      </c>
      <c r="E957" s="190">
        <f t="shared" ca="1" si="112"/>
        <v>-1.9050273993831062E-2</v>
      </c>
      <c r="F957" s="189" t="b">
        <f t="shared" ca="1" si="113"/>
        <v>1</v>
      </c>
      <c r="G957" s="188">
        <f ca="1">IF(F957,IFERROR(((('Data Schema'!$C$3*(1+B957)^1)*((1-$I$4-$I$5+E957)*(1-$I$10)+$I$6-$I$11)-('Data Schema'!$C$3*(1+B957)^1-'Data Schema'!$C$3)*$I$12)/(1+C957)^1+(('Data Schema'!$C$3*(1+B957)^2)*((1-$I$4-$I$5+E957)*(1-$I$10)+$I$6-$I$11)-('Data Schema'!$C$3*(1+B957)^2-'Data Schema'!$C$3*(1+B957)^1)*$I$12)/(1+C957)^2+(('Data Schema'!$C$3*(1+B957)^3)*((1-$I$4-$I$5+E957)*(1-$I$10)+$I$6-$I$11)-('Data Schema'!$C$3*(1+B957)^3-'Data Schema'!$C$3*(1+B957)^2)*$I$12)/(1+C957)^3+(('Data Schema'!$C$3*(1+B957)^4)*((1-$I$4-$I$5+E957)*(1-$I$10)+$I$6-$I$11)-('Data Schema'!$C$3*(1+B957)^4-'Data Schema'!$C$3*(1+B957)^3)*$I$12)/(1+C957)^4+(('Data Schema'!$C$3*(1+B957)^5)*((1-$I$4-$I$5+E957)*(1-$I$10)+$I$6-$I$11)-('Data Schema'!$C$3*(1+B957)^5-'Data Schema'!$C$3*(1+B957)^4)*$I$12)/(1+C957)^5+((('Data Schema'!$C$3*(1+B957)^5)*((1-$I$4-$I$5+E957)*(1-$I$10)+$I$6-$I$11)-('Data Schema'!$C$3*(1+B957)^5-'Data Schema'!$C$3*(1+B957)^4)*$I$12)*(1+D957)/(C957-D957))/(1+C957)^5-'Data Schema'!$C$31+'Data Schema'!$C$21)/'Data Schema'!$B$17,0),"INVALID")</f>
        <v>24.631603797809579</v>
      </c>
      <c r="H957" s="189" t="b">
        <f t="shared" ca="1" si="114"/>
        <v>1</v>
      </c>
      <c r="I957" s="188">
        <f t="shared" ca="1" si="115"/>
        <v>24.631603797809579</v>
      </c>
      <c r="J957" s="349">
        <f t="shared" ca="1" si="108"/>
        <v>24.631603797809579</v>
      </c>
    </row>
    <row r="958" spans="1:10">
      <c r="A958" s="185">
        <v>779</v>
      </c>
      <c r="B958" s="190">
        <f t="shared" ca="1" si="109"/>
        <v>0.11962941245888886</v>
      </c>
      <c r="C958" s="190">
        <f t="shared" ca="1" si="110"/>
        <v>5.1462442102532875E-2</v>
      </c>
      <c r="D958" s="190">
        <f t="shared" ca="1" si="111"/>
        <v>1.8048363253546314E-2</v>
      </c>
      <c r="E958" s="190">
        <f t="shared" ca="1" si="112"/>
        <v>-1.3280537820844379E-2</v>
      </c>
      <c r="F958" s="189" t="b">
        <f t="shared" ca="1" si="113"/>
        <v>1</v>
      </c>
      <c r="G958" s="188">
        <f ca="1">IF(F958,IFERROR(((('Data Schema'!$C$3*(1+B958)^1)*((1-$I$4-$I$5+E958)*(1-$I$10)+$I$6-$I$11)-('Data Schema'!$C$3*(1+B958)^1-'Data Schema'!$C$3)*$I$12)/(1+C958)^1+(('Data Schema'!$C$3*(1+B958)^2)*((1-$I$4-$I$5+E958)*(1-$I$10)+$I$6-$I$11)-('Data Schema'!$C$3*(1+B958)^2-'Data Schema'!$C$3*(1+B958)^1)*$I$12)/(1+C958)^2+(('Data Schema'!$C$3*(1+B958)^3)*((1-$I$4-$I$5+E958)*(1-$I$10)+$I$6-$I$11)-('Data Schema'!$C$3*(1+B958)^3-'Data Schema'!$C$3*(1+B958)^2)*$I$12)/(1+C958)^3+(('Data Schema'!$C$3*(1+B958)^4)*((1-$I$4-$I$5+E958)*(1-$I$10)+$I$6-$I$11)-('Data Schema'!$C$3*(1+B958)^4-'Data Schema'!$C$3*(1+B958)^3)*$I$12)/(1+C958)^4+(('Data Schema'!$C$3*(1+B958)^5)*((1-$I$4-$I$5+E958)*(1-$I$10)+$I$6-$I$11)-('Data Schema'!$C$3*(1+B958)^5-'Data Schema'!$C$3*(1+B958)^4)*$I$12)/(1+C958)^5+((('Data Schema'!$C$3*(1+B958)^5)*((1-$I$4-$I$5+E958)*(1-$I$10)+$I$6-$I$11)-('Data Schema'!$C$3*(1+B958)^5-'Data Schema'!$C$3*(1+B958)^4)*$I$12)*(1+D958)/(C958-D958))/(1+C958)^5-'Data Schema'!$C$31+'Data Schema'!$C$21)/'Data Schema'!$B$17,0),"INVALID")</f>
        <v>57.324677897655327</v>
      </c>
      <c r="H958" s="189" t="b">
        <f t="shared" ca="1" si="114"/>
        <v>1</v>
      </c>
      <c r="I958" s="188">
        <f t="shared" ca="1" si="115"/>
        <v>57.324677897655327</v>
      </c>
      <c r="J958" s="349">
        <f t="shared" ca="1" si="108"/>
        <v>57.324677897655327</v>
      </c>
    </row>
    <row r="959" spans="1:10">
      <c r="A959" s="184">
        <v>780</v>
      </c>
      <c r="B959" s="190">
        <f t="shared" ca="1" si="109"/>
        <v>0.11346016331611884</v>
      </c>
      <c r="C959" s="190">
        <f t="shared" ca="1" si="110"/>
        <v>4.8816477959313084E-2</v>
      </c>
      <c r="D959" s="190">
        <f t="shared" ca="1" si="111"/>
        <v>3.1051272385228538E-2</v>
      </c>
      <c r="E959" s="190">
        <f t="shared" ca="1" si="112"/>
        <v>-2.0919879427732514E-3</v>
      </c>
      <c r="F959" s="189" t="b">
        <f t="shared" ca="1" si="113"/>
        <v>1</v>
      </c>
      <c r="G959" s="188">
        <f ca="1">IF(F959,IFERROR(((('Data Schema'!$C$3*(1+B959)^1)*((1-$I$4-$I$5+E959)*(1-$I$10)+$I$6-$I$11)-('Data Schema'!$C$3*(1+B959)^1-'Data Schema'!$C$3)*$I$12)/(1+C959)^1+(('Data Schema'!$C$3*(1+B959)^2)*((1-$I$4-$I$5+E959)*(1-$I$10)+$I$6-$I$11)-('Data Schema'!$C$3*(1+B959)^2-'Data Schema'!$C$3*(1+B959)^1)*$I$12)/(1+C959)^2+(('Data Schema'!$C$3*(1+B959)^3)*((1-$I$4-$I$5+E959)*(1-$I$10)+$I$6-$I$11)-('Data Schema'!$C$3*(1+B959)^3-'Data Schema'!$C$3*(1+B959)^2)*$I$12)/(1+C959)^3+(('Data Schema'!$C$3*(1+B959)^4)*((1-$I$4-$I$5+E959)*(1-$I$10)+$I$6-$I$11)-('Data Schema'!$C$3*(1+B959)^4-'Data Schema'!$C$3*(1+B959)^3)*$I$12)/(1+C959)^4+(('Data Schema'!$C$3*(1+B959)^5)*((1-$I$4-$I$5+E959)*(1-$I$10)+$I$6-$I$11)-('Data Schema'!$C$3*(1+B959)^5-'Data Schema'!$C$3*(1+B959)^4)*$I$12)/(1+C959)^5+((('Data Schema'!$C$3*(1+B959)^5)*((1-$I$4-$I$5+E959)*(1-$I$10)+$I$6-$I$11)-('Data Schema'!$C$3*(1+B959)^5-'Data Schema'!$C$3*(1+B959)^4)*$I$12)*(1+D959)/(C959-D959))/(1+C959)^5-'Data Schema'!$C$31+'Data Schema'!$C$21)/'Data Schema'!$B$17,0),"INVALID")</f>
        <v>170.10439844500397</v>
      </c>
      <c r="H959" s="189" t="b">
        <f t="shared" ca="1" si="114"/>
        <v>1</v>
      </c>
      <c r="I959" s="188">
        <f t="shared" ca="1" si="115"/>
        <v>170.10439844500397</v>
      </c>
      <c r="J959" s="349">
        <f t="shared" ca="1" si="108"/>
        <v>170.10439844500397</v>
      </c>
    </row>
    <row r="960" spans="1:10">
      <c r="A960" s="185">
        <v>781</v>
      </c>
      <c r="B960" s="190">
        <f t="shared" ca="1" si="109"/>
        <v>6.930445493347237E-2</v>
      </c>
      <c r="C960" s="190">
        <f t="shared" ca="1" si="110"/>
        <v>7.9593824004563135E-2</v>
      </c>
      <c r="D960" s="190">
        <f t="shared" ca="1" si="111"/>
        <v>2.2970557194564336E-2</v>
      </c>
      <c r="E960" s="190">
        <f t="shared" ca="1" si="112"/>
        <v>-1.1111408492467707E-2</v>
      </c>
      <c r="F960" s="189" t="b">
        <f t="shared" ca="1" si="113"/>
        <v>1</v>
      </c>
      <c r="G960" s="188">
        <f ca="1">IF(F960,IFERROR(((('Data Schema'!$C$3*(1+B960)^1)*((1-$I$4-$I$5+E960)*(1-$I$10)+$I$6-$I$11)-('Data Schema'!$C$3*(1+B960)^1-'Data Schema'!$C$3)*$I$12)/(1+C960)^1+(('Data Schema'!$C$3*(1+B960)^2)*((1-$I$4-$I$5+E960)*(1-$I$10)+$I$6-$I$11)-('Data Schema'!$C$3*(1+B960)^2-'Data Schema'!$C$3*(1+B960)^1)*$I$12)/(1+C960)^2+(('Data Schema'!$C$3*(1+B960)^3)*((1-$I$4-$I$5+E960)*(1-$I$10)+$I$6-$I$11)-('Data Schema'!$C$3*(1+B960)^3-'Data Schema'!$C$3*(1+B960)^2)*$I$12)/(1+C960)^3+(('Data Schema'!$C$3*(1+B960)^4)*((1-$I$4-$I$5+E960)*(1-$I$10)+$I$6-$I$11)-('Data Schema'!$C$3*(1+B960)^4-'Data Schema'!$C$3*(1+B960)^3)*$I$12)/(1+C960)^4+(('Data Schema'!$C$3*(1+B960)^5)*((1-$I$4-$I$5+E960)*(1-$I$10)+$I$6-$I$11)-('Data Schema'!$C$3*(1+B960)^5-'Data Schema'!$C$3*(1+B960)^4)*$I$12)/(1+C960)^5+((('Data Schema'!$C$3*(1+B960)^5)*((1-$I$4-$I$5+E960)*(1-$I$10)+$I$6-$I$11)-('Data Schema'!$C$3*(1+B960)^5-'Data Schema'!$C$3*(1+B960)^4)*$I$12)*(1+D960)/(C960-D960))/(1+C960)^5-'Data Schema'!$C$31+'Data Schema'!$C$21)/'Data Schema'!$B$17,0),"INVALID")</f>
        <v>27.561226266316556</v>
      </c>
      <c r="H960" s="189" t="b">
        <f t="shared" ca="1" si="114"/>
        <v>1</v>
      </c>
      <c r="I960" s="188">
        <f t="shared" ca="1" si="115"/>
        <v>27.561226266316556</v>
      </c>
      <c r="J960" s="349">
        <f t="shared" ca="1" si="108"/>
        <v>27.561226266316556</v>
      </c>
    </row>
    <row r="961" spans="1:10">
      <c r="A961" s="184">
        <v>782</v>
      </c>
      <c r="B961" s="190">
        <f t="shared" ca="1" si="109"/>
        <v>9.4074181799382942E-2</v>
      </c>
      <c r="C961" s="190">
        <f t="shared" ca="1" si="110"/>
        <v>6.2258221635219484E-2</v>
      </c>
      <c r="D961" s="190">
        <f t="shared" ca="1" si="111"/>
        <v>2.0507799898249759E-2</v>
      </c>
      <c r="E961" s="190">
        <f t="shared" ca="1" si="112"/>
        <v>2.0790294012694149E-3</v>
      </c>
      <c r="F961" s="189" t="b">
        <f t="shared" ca="1" si="113"/>
        <v>1</v>
      </c>
      <c r="G961" s="188">
        <f ca="1">IF(F961,IFERROR(((('Data Schema'!$C$3*(1+B961)^1)*((1-$I$4-$I$5+E961)*(1-$I$10)+$I$6-$I$11)-('Data Schema'!$C$3*(1+B961)^1-'Data Schema'!$C$3)*$I$12)/(1+C961)^1+(('Data Schema'!$C$3*(1+B961)^2)*((1-$I$4-$I$5+E961)*(1-$I$10)+$I$6-$I$11)-('Data Schema'!$C$3*(1+B961)^2-'Data Schema'!$C$3*(1+B961)^1)*$I$12)/(1+C961)^2+(('Data Schema'!$C$3*(1+B961)^3)*((1-$I$4-$I$5+E961)*(1-$I$10)+$I$6-$I$11)-('Data Schema'!$C$3*(1+B961)^3-'Data Schema'!$C$3*(1+B961)^2)*$I$12)/(1+C961)^3+(('Data Schema'!$C$3*(1+B961)^4)*((1-$I$4-$I$5+E961)*(1-$I$10)+$I$6-$I$11)-('Data Schema'!$C$3*(1+B961)^4-'Data Schema'!$C$3*(1+B961)^3)*$I$12)/(1+C961)^4+(('Data Schema'!$C$3*(1+B961)^5)*((1-$I$4-$I$5+E961)*(1-$I$10)+$I$6-$I$11)-('Data Schema'!$C$3*(1+B961)^5-'Data Schema'!$C$3*(1+B961)^4)*$I$12)/(1+C961)^5+((('Data Schema'!$C$3*(1+B961)^5)*((1-$I$4-$I$5+E961)*(1-$I$10)+$I$6-$I$11)-('Data Schema'!$C$3*(1+B961)^5-'Data Schema'!$C$3*(1+B961)^4)*$I$12)*(1+D961)/(C961-D961))/(1+C961)^5-'Data Schema'!$C$31+'Data Schema'!$C$21)/'Data Schema'!$B$17,0),"INVALID")</f>
        <v>74.366464450863262</v>
      </c>
      <c r="H961" s="189" t="b">
        <f t="shared" ca="1" si="114"/>
        <v>1</v>
      </c>
      <c r="I961" s="188">
        <f t="shared" ca="1" si="115"/>
        <v>74.366464450863262</v>
      </c>
      <c r="J961" s="349">
        <f t="shared" ca="1" si="108"/>
        <v>74.366464450863262</v>
      </c>
    </row>
    <row r="962" spans="1:10">
      <c r="A962" s="185">
        <v>783</v>
      </c>
      <c r="B962" s="190">
        <f t="shared" ca="1" si="109"/>
        <v>7.8923706503829072E-2</v>
      </c>
      <c r="C962" s="190">
        <f t="shared" ca="1" si="110"/>
        <v>6.3683540456123761E-2</v>
      </c>
      <c r="D962" s="190">
        <f t="shared" ca="1" si="111"/>
        <v>2.9234522073802206E-2</v>
      </c>
      <c r="E962" s="190">
        <f t="shared" ca="1" si="112"/>
        <v>5.9397045017956666E-2</v>
      </c>
      <c r="F962" s="189" t="b">
        <f t="shared" ca="1" si="113"/>
        <v>1</v>
      </c>
      <c r="G962" s="188">
        <f ca="1">IF(F962,IFERROR(((('Data Schema'!$C$3*(1+B962)^1)*((1-$I$4-$I$5+E962)*(1-$I$10)+$I$6-$I$11)-('Data Schema'!$C$3*(1+B962)^1-'Data Schema'!$C$3)*$I$12)/(1+C962)^1+(('Data Schema'!$C$3*(1+B962)^2)*((1-$I$4-$I$5+E962)*(1-$I$10)+$I$6-$I$11)-('Data Schema'!$C$3*(1+B962)^2-'Data Schema'!$C$3*(1+B962)^1)*$I$12)/(1+C962)^2+(('Data Schema'!$C$3*(1+B962)^3)*((1-$I$4-$I$5+E962)*(1-$I$10)+$I$6-$I$11)-('Data Schema'!$C$3*(1+B962)^3-'Data Schema'!$C$3*(1+B962)^2)*$I$12)/(1+C962)^3+(('Data Schema'!$C$3*(1+B962)^4)*((1-$I$4-$I$5+E962)*(1-$I$10)+$I$6-$I$11)-('Data Schema'!$C$3*(1+B962)^4-'Data Schema'!$C$3*(1+B962)^3)*$I$12)/(1+C962)^4+(('Data Schema'!$C$3*(1+B962)^5)*((1-$I$4-$I$5+E962)*(1-$I$10)+$I$6-$I$11)-('Data Schema'!$C$3*(1+B962)^5-'Data Schema'!$C$3*(1+B962)^4)*$I$12)/(1+C962)^5+((('Data Schema'!$C$3*(1+B962)^5)*((1-$I$4-$I$5+E962)*(1-$I$10)+$I$6-$I$11)-('Data Schema'!$C$3*(1+B962)^5-'Data Schema'!$C$3*(1+B962)^4)*$I$12)*(1+D962)/(C962-D962))/(1+C962)^5-'Data Schema'!$C$31+'Data Schema'!$C$21)/'Data Schema'!$B$17,0),"INVALID")</f>
        <v>226.19535735681842</v>
      </c>
      <c r="H962" s="189" t="b">
        <f t="shared" ca="1" si="114"/>
        <v>1</v>
      </c>
      <c r="I962" s="188">
        <f t="shared" ca="1" si="115"/>
        <v>226.19535735681842</v>
      </c>
      <c r="J962" s="349" t="str">
        <f t="shared" ca="1" si="108"/>
        <v/>
      </c>
    </row>
    <row r="963" spans="1:10">
      <c r="A963" s="184">
        <v>784</v>
      </c>
      <c r="B963" s="190">
        <f t="shared" ca="1" si="109"/>
        <v>7.0639225042284454E-2</v>
      </c>
      <c r="C963" s="190">
        <f t="shared" ca="1" si="110"/>
        <v>6.9841289350198024E-2</v>
      </c>
      <c r="D963" s="190">
        <f t="shared" ca="1" si="111"/>
        <v>2.3934914178752344E-2</v>
      </c>
      <c r="E963" s="190">
        <f t="shared" ca="1" si="112"/>
        <v>-3.7579623566859767E-2</v>
      </c>
      <c r="F963" s="189" t="b">
        <f t="shared" ca="1" si="113"/>
        <v>1</v>
      </c>
      <c r="G963" s="188">
        <f ca="1">IF(F963,IFERROR(((('Data Schema'!$C$3*(1+B963)^1)*((1-$I$4-$I$5+E963)*(1-$I$10)+$I$6-$I$11)-('Data Schema'!$C$3*(1+B963)^1-'Data Schema'!$C$3)*$I$12)/(1+C963)^1+(('Data Schema'!$C$3*(1+B963)^2)*((1-$I$4-$I$5+E963)*(1-$I$10)+$I$6-$I$11)-('Data Schema'!$C$3*(1+B963)^2-'Data Schema'!$C$3*(1+B963)^1)*$I$12)/(1+C963)^2+(('Data Schema'!$C$3*(1+B963)^3)*((1-$I$4-$I$5+E963)*(1-$I$10)+$I$6-$I$11)-('Data Schema'!$C$3*(1+B963)^3-'Data Schema'!$C$3*(1+B963)^2)*$I$12)/(1+C963)^3+(('Data Schema'!$C$3*(1+B963)^4)*((1-$I$4-$I$5+E963)*(1-$I$10)+$I$6-$I$11)-('Data Schema'!$C$3*(1+B963)^4-'Data Schema'!$C$3*(1+B963)^3)*$I$12)/(1+C963)^4+(('Data Schema'!$C$3*(1+B963)^5)*((1-$I$4-$I$5+E963)*(1-$I$10)+$I$6-$I$11)-('Data Schema'!$C$3*(1+B963)^5-'Data Schema'!$C$3*(1+B963)^4)*$I$12)/(1+C963)^5+((('Data Schema'!$C$3*(1+B963)^5)*((1-$I$4-$I$5+E963)*(1-$I$10)+$I$6-$I$11)-('Data Schema'!$C$3*(1+B963)^5-'Data Schema'!$C$3*(1+B963)^4)*$I$12)*(1+D963)/(C963-D963))/(1+C963)^5-'Data Schema'!$C$31+'Data Schema'!$C$21)/'Data Schema'!$B$17,0),"INVALID")</f>
        <v>-12.51773449038752</v>
      </c>
      <c r="H963" s="189" t="b">
        <f t="shared" ca="1" si="114"/>
        <v>0</v>
      </c>
      <c r="I963" s="188" t="str">
        <f t="shared" ca="1" si="115"/>
        <v/>
      </c>
      <c r="J963" s="349" t="str">
        <f t="shared" ca="1" si="108"/>
        <v/>
      </c>
    </row>
    <row r="964" spans="1:10">
      <c r="A964" s="185">
        <v>785</v>
      </c>
      <c r="B964" s="190">
        <f t="shared" ca="1" si="109"/>
        <v>0.10580870581882884</v>
      </c>
      <c r="C964" s="190">
        <f t="shared" ca="1" si="110"/>
        <v>5.2974769536182173E-2</v>
      </c>
      <c r="D964" s="190">
        <f t="shared" ca="1" si="111"/>
        <v>2.9453564854334719E-2</v>
      </c>
      <c r="E964" s="190">
        <f t="shared" ca="1" si="112"/>
        <v>-2.7058873833082635E-2</v>
      </c>
      <c r="F964" s="189" t="b">
        <f t="shared" ca="1" si="113"/>
        <v>1</v>
      </c>
      <c r="G964" s="188">
        <f ca="1">IF(F964,IFERROR(((('Data Schema'!$C$3*(1+B964)^1)*((1-$I$4-$I$5+E964)*(1-$I$10)+$I$6-$I$11)-('Data Schema'!$C$3*(1+B964)^1-'Data Schema'!$C$3)*$I$12)/(1+C964)^1+(('Data Schema'!$C$3*(1+B964)^2)*((1-$I$4-$I$5+E964)*(1-$I$10)+$I$6-$I$11)-('Data Schema'!$C$3*(1+B964)^2-'Data Schema'!$C$3*(1+B964)^1)*$I$12)/(1+C964)^2+(('Data Schema'!$C$3*(1+B964)^3)*((1-$I$4-$I$5+E964)*(1-$I$10)+$I$6-$I$11)-('Data Schema'!$C$3*(1+B964)^3-'Data Schema'!$C$3*(1+B964)^2)*$I$12)/(1+C964)^3+(('Data Schema'!$C$3*(1+B964)^4)*((1-$I$4-$I$5+E964)*(1-$I$10)+$I$6-$I$11)-('Data Schema'!$C$3*(1+B964)^4-'Data Schema'!$C$3*(1+B964)^3)*$I$12)/(1+C964)^4+(('Data Schema'!$C$3*(1+B964)^5)*((1-$I$4-$I$5+E964)*(1-$I$10)+$I$6-$I$11)-('Data Schema'!$C$3*(1+B964)^5-'Data Schema'!$C$3*(1+B964)^4)*$I$12)/(1+C964)^5+((('Data Schema'!$C$3*(1+B964)^5)*((1-$I$4-$I$5+E964)*(1-$I$10)+$I$6-$I$11)-('Data Schema'!$C$3*(1+B964)^5-'Data Schema'!$C$3*(1+B964)^4)*$I$12)*(1+D964)/(C964-D964))/(1+C964)^5-'Data Schema'!$C$31+'Data Schema'!$C$21)/'Data Schema'!$B$17,0),"INVALID")</f>
        <v>20.635318548151812</v>
      </c>
      <c r="H964" s="189" t="b">
        <f t="shared" ca="1" si="114"/>
        <v>1</v>
      </c>
      <c r="I964" s="188">
        <f t="shared" ca="1" si="115"/>
        <v>20.635318548151812</v>
      </c>
      <c r="J964" s="349" t="str">
        <f t="shared" ca="1" si="108"/>
        <v/>
      </c>
    </row>
    <row r="965" spans="1:10">
      <c r="A965" s="184">
        <v>786</v>
      </c>
      <c r="B965" s="190">
        <f t="shared" ca="1" si="109"/>
        <v>7.9434969438197361E-2</v>
      </c>
      <c r="C965" s="190">
        <f t="shared" ca="1" si="110"/>
        <v>6.4638856941547626E-2</v>
      </c>
      <c r="D965" s="190">
        <f t="shared" ca="1" si="111"/>
        <v>2.5674898359305313E-2</v>
      </c>
      <c r="E965" s="190">
        <f t="shared" ca="1" si="112"/>
        <v>8.5265617370214476E-3</v>
      </c>
      <c r="F965" s="189" t="b">
        <f t="shared" ca="1" si="113"/>
        <v>1</v>
      </c>
      <c r="G965" s="188">
        <f ca="1">IF(F965,IFERROR(((('Data Schema'!$C$3*(1+B965)^1)*((1-$I$4-$I$5+E965)*(1-$I$10)+$I$6-$I$11)-('Data Schema'!$C$3*(1+B965)^1-'Data Schema'!$C$3)*$I$12)/(1+C965)^1+(('Data Schema'!$C$3*(1+B965)^2)*((1-$I$4-$I$5+E965)*(1-$I$10)+$I$6-$I$11)-('Data Schema'!$C$3*(1+B965)^2-'Data Schema'!$C$3*(1+B965)^1)*$I$12)/(1+C965)^2+(('Data Schema'!$C$3*(1+B965)^3)*((1-$I$4-$I$5+E965)*(1-$I$10)+$I$6-$I$11)-('Data Schema'!$C$3*(1+B965)^3-'Data Schema'!$C$3*(1+B965)^2)*$I$12)/(1+C965)^3+(('Data Schema'!$C$3*(1+B965)^4)*((1-$I$4-$I$5+E965)*(1-$I$10)+$I$6-$I$11)-('Data Schema'!$C$3*(1+B965)^4-'Data Schema'!$C$3*(1+B965)^3)*$I$12)/(1+C965)^4+(('Data Schema'!$C$3*(1+B965)^5)*((1-$I$4-$I$5+E965)*(1-$I$10)+$I$6-$I$11)-('Data Schema'!$C$3*(1+B965)^5-'Data Schema'!$C$3*(1+B965)^4)*$I$12)/(1+C965)^5+((('Data Schema'!$C$3*(1+B965)^5)*((1-$I$4-$I$5+E965)*(1-$I$10)+$I$6-$I$11)-('Data Schema'!$C$3*(1+B965)^5-'Data Schema'!$C$3*(1+B965)^4)*$I$12)*(1+D965)/(C965-D965))/(1+C965)^5-'Data Schema'!$C$31+'Data Schema'!$C$21)/'Data Schema'!$B$17,0),"INVALID")</f>
        <v>88.55277100641058</v>
      </c>
      <c r="H965" s="189" t="b">
        <f t="shared" ca="1" si="114"/>
        <v>1</v>
      </c>
      <c r="I965" s="188">
        <f t="shared" ca="1" si="115"/>
        <v>88.55277100641058</v>
      </c>
      <c r="J965" s="349">
        <f t="shared" ca="1" si="108"/>
        <v>88.55277100641058</v>
      </c>
    </row>
    <row r="966" spans="1:10">
      <c r="A966" s="185">
        <v>787</v>
      </c>
      <c r="B966" s="190">
        <f t="shared" ca="1" si="109"/>
        <v>0.11216889803839261</v>
      </c>
      <c r="C966" s="190">
        <f t="shared" ca="1" si="110"/>
        <v>6.7132333980038122E-2</v>
      </c>
      <c r="D966" s="190">
        <f t="shared" ca="1" si="111"/>
        <v>2.3988383319153088E-2</v>
      </c>
      <c r="E966" s="190">
        <f t="shared" ca="1" si="112"/>
        <v>-1.3215461890378572E-2</v>
      </c>
      <c r="F966" s="189" t="b">
        <f t="shared" ca="1" si="113"/>
        <v>1</v>
      </c>
      <c r="G966" s="188">
        <f ca="1">IF(F966,IFERROR(((('Data Schema'!$C$3*(1+B966)^1)*((1-$I$4-$I$5+E966)*(1-$I$10)+$I$6-$I$11)-('Data Schema'!$C$3*(1+B966)^1-'Data Schema'!$C$3)*$I$12)/(1+C966)^1+(('Data Schema'!$C$3*(1+B966)^2)*((1-$I$4-$I$5+E966)*(1-$I$10)+$I$6-$I$11)-('Data Schema'!$C$3*(1+B966)^2-'Data Schema'!$C$3*(1+B966)^1)*$I$12)/(1+C966)^2+(('Data Schema'!$C$3*(1+B966)^3)*((1-$I$4-$I$5+E966)*(1-$I$10)+$I$6-$I$11)-('Data Schema'!$C$3*(1+B966)^3-'Data Schema'!$C$3*(1+B966)^2)*$I$12)/(1+C966)^3+(('Data Schema'!$C$3*(1+B966)^4)*((1-$I$4-$I$5+E966)*(1-$I$10)+$I$6-$I$11)-('Data Schema'!$C$3*(1+B966)^4-'Data Schema'!$C$3*(1+B966)^3)*$I$12)/(1+C966)^4+(('Data Schema'!$C$3*(1+B966)^5)*((1-$I$4-$I$5+E966)*(1-$I$10)+$I$6-$I$11)-('Data Schema'!$C$3*(1+B966)^5-'Data Schema'!$C$3*(1+B966)^4)*$I$12)/(1+C966)^5+((('Data Schema'!$C$3*(1+B966)^5)*((1-$I$4-$I$5+E966)*(1-$I$10)+$I$6-$I$11)-('Data Schema'!$C$3*(1+B966)^5-'Data Schema'!$C$3*(1+B966)^4)*$I$12)*(1+D966)/(C966-D966))/(1+C966)^5-'Data Schema'!$C$31+'Data Schema'!$C$21)/'Data Schema'!$B$17,0),"INVALID")</f>
        <v>40.446195991026414</v>
      </c>
      <c r="H966" s="189" t="b">
        <f t="shared" ca="1" si="114"/>
        <v>1</v>
      </c>
      <c r="I966" s="188">
        <f t="shared" ca="1" si="115"/>
        <v>40.446195991026414</v>
      </c>
      <c r="J966" s="349">
        <f t="shared" ca="1" si="108"/>
        <v>40.446195991026414</v>
      </c>
    </row>
    <row r="967" spans="1:10">
      <c r="A967" s="184">
        <v>788</v>
      </c>
      <c r="B967" s="190">
        <f t="shared" ca="1" si="109"/>
        <v>9.1416446807926835E-2</v>
      </c>
      <c r="C967" s="190">
        <f t="shared" ca="1" si="110"/>
        <v>7.9115745982657609E-2</v>
      </c>
      <c r="D967" s="190">
        <f t="shared" ca="1" si="111"/>
        <v>2.8879691729482553E-2</v>
      </c>
      <c r="E967" s="190">
        <f t="shared" ca="1" si="112"/>
        <v>-2.0927781128945968E-2</v>
      </c>
      <c r="F967" s="189" t="b">
        <f t="shared" ca="1" si="113"/>
        <v>1</v>
      </c>
      <c r="G967" s="188">
        <f ca="1">IF(F967,IFERROR(((('Data Schema'!$C$3*(1+B967)^1)*((1-$I$4-$I$5+E967)*(1-$I$10)+$I$6-$I$11)-('Data Schema'!$C$3*(1+B967)^1-'Data Schema'!$C$3)*$I$12)/(1+C967)^1+(('Data Schema'!$C$3*(1+B967)^2)*((1-$I$4-$I$5+E967)*(1-$I$10)+$I$6-$I$11)-('Data Schema'!$C$3*(1+B967)^2-'Data Schema'!$C$3*(1+B967)^1)*$I$12)/(1+C967)^2+(('Data Schema'!$C$3*(1+B967)^3)*((1-$I$4-$I$5+E967)*(1-$I$10)+$I$6-$I$11)-('Data Schema'!$C$3*(1+B967)^3-'Data Schema'!$C$3*(1+B967)^2)*$I$12)/(1+C967)^3+(('Data Schema'!$C$3*(1+B967)^4)*((1-$I$4-$I$5+E967)*(1-$I$10)+$I$6-$I$11)-('Data Schema'!$C$3*(1+B967)^4-'Data Schema'!$C$3*(1+B967)^3)*$I$12)/(1+C967)^4+(('Data Schema'!$C$3*(1+B967)^5)*((1-$I$4-$I$5+E967)*(1-$I$10)+$I$6-$I$11)-('Data Schema'!$C$3*(1+B967)^5-'Data Schema'!$C$3*(1+B967)^4)*$I$12)/(1+C967)^5+((('Data Schema'!$C$3*(1+B967)^5)*((1-$I$4-$I$5+E967)*(1-$I$10)+$I$6-$I$11)-('Data Schema'!$C$3*(1+B967)^5-'Data Schema'!$C$3*(1+B967)^4)*$I$12)*(1+D967)/(C967-D967))/(1+C967)^5-'Data Schema'!$C$31+'Data Schema'!$C$21)/'Data Schema'!$B$17,0),"INVALID")</f>
        <v>16.553203511128189</v>
      </c>
      <c r="H967" s="189" t="b">
        <f t="shared" ca="1" si="114"/>
        <v>1</v>
      </c>
      <c r="I967" s="188">
        <f t="shared" ca="1" si="115"/>
        <v>16.553203511128189</v>
      </c>
      <c r="J967" s="349" t="str">
        <f t="shared" ca="1" si="108"/>
        <v/>
      </c>
    </row>
    <row r="968" spans="1:10">
      <c r="A968" s="185">
        <v>789</v>
      </c>
      <c r="B968" s="190">
        <f t="shared" ca="1" si="109"/>
        <v>6.441523013726895E-2</v>
      </c>
      <c r="C968" s="190">
        <f t="shared" ca="1" si="110"/>
        <v>6.4806914263877885E-2</v>
      </c>
      <c r="D968" s="190">
        <f t="shared" ca="1" si="111"/>
        <v>2.9341849696862026E-2</v>
      </c>
      <c r="E968" s="190">
        <f t="shared" ca="1" si="112"/>
        <v>-9.9700937823305052E-3</v>
      </c>
      <c r="F968" s="189" t="b">
        <f t="shared" ca="1" si="113"/>
        <v>1</v>
      </c>
      <c r="G968" s="188">
        <f ca="1">IF(F968,IFERROR(((('Data Schema'!$C$3*(1+B968)^1)*((1-$I$4-$I$5+E968)*(1-$I$10)+$I$6-$I$11)-('Data Schema'!$C$3*(1+B968)^1-'Data Schema'!$C$3)*$I$12)/(1+C968)^1+(('Data Schema'!$C$3*(1+B968)^2)*((1-$I$4-$I$5+E968)*(1-$I$10)+$I$6-$I$11)-('Data Schema'!$C$3*(1+B968)^2-'Data Schema'!$C$3*(1+B968)^1)*$I$12)/(1+C968)^2+(('Data Schema'!$C$3*(1+B968)^3)*((1-$I$4-$I$5+E968)*(1-$I$10)+$I$6-$I$11)-('Data Schema'!$C$3*(1+B968)^3-'Data Schema'!$C$3*(1+B968)^2)*$I$12)/(1+C968)^3+(('Data Schema'!$C$3*(1+B968)^4)*((1-$I$4-$I$5+E968)*(1-$I$10)+$I$6-$I$11)-('Data Schema'!$C$3*(1+B968)^4-'Data Schema'!$C$3*(1+B968)^3)*$I$12)/(1+C968)^4+(('Data Schema'!$C$3*(1+B968)^5)*((1-$I$4-$I$5+E968)*(1-$I$10)+$I$6-$I$11)-('Data Schema'!$C$3*(1+B968)^5-'Data Schema'!$C$3*(1+B968)^4)*$I$12)/(1+C968)^5+((('Data Schema'!$C$3*(1+B968)^5)*((1-$I$4-$I$5+E968)*(1-$I$10)+$I$6-$I$11)-('Data Schema'!$C$3*(1+B968)^5-'Data Schema'!$C$3*(1+B968)^4)*$I$12)*(1+D968)/(C968-D968))/(1+C968)^5-'Data Schema'!$C$31+'Data Schema'!$C$21)/'Data Schema'!$B$17,0),"INVALID")</f>
        <v>49.022317233903436</v>
      </c>
      <c r="H968" s="189" t="b">
        <f t="shared" ca="1" si="114"/>
        <v>1</v>
      </c>
      <c r="I968" s="188">
        <f t="shared" ca="1" si="115"/>
        <v>49.022317233903436</v>
      </c>
      <c r="J968" s="349">
        <f t="shared" ca="1" si="108"/>
        <v>49.022317233903436</v>
      </c>
    </row>
    <row r="969" spans="1:10">
      <c r="A969" s="184">
        <v>790</v>
      </c>
      <c r="B969" s="190">
        <f t="shared" ca="1" si="109"/>
        <v>7.6010302474742553E-2</v>
      </c>
      <c r="C969" s="190">
        <f t="shared" ca="1" si="110"/>
        <v>4.6579810261954777E-2</v>
      </c>
      <c r="D969" s="190">
        <f t="shared" ca="1" si="111"/>
        <v>2.8874411061481677E-2</v>
      </c>
      <c r="E969" s="190">
        <f t="shared" ca="1" si="112"/>
        <v>2.580238143158551E-2</v>
      </c>
      <c r="F969" s="189" t="b">
        <f t="shared" ca="1" si="113"/>
        <v>1</v>
      </c>
      <c r="G969" s="188">
        <f ca="1">IF(F969,IFERROR(((('Data Schema'!$C$3*(1+B969)^1)*((1-$I$4-$I$5+E969)*(1-$I$10)+$I$6-$I$11)-('Data Schema'!$C$3*(1+B969)^1-'Data Schema'!$C$3)*$I$12)/(1+C969)^1+(('Data Schema'!$C$3*(1+B969)^2)*((1-$I$4-$I$5+E969)*(1-$I$10)+$I$6-$I$11)-('Data Schema'!$C$3*(1+B969)^2-'Data Schema'!$C$3*(1+B969)^1)*$I$12)/(1+C969)^2+(('Data Schema'!$C$3*(1+B969)^3)*((1-$I$4-$I$5+E969)*(1-$I$10)+$I$6-$I$11)-('Data Schema'!$C$3*(1+B969)^3-'Data Schema'!$C$3*(1+B969)^2)*$I$12)/(1+C969)^3+(('Data Schema'!$C$3*(1+B969)^4)*((1-$I$4-$I$5+E969)*(1-$I$10)+$I$6-$I$11)-('Data Schema'!$C$3*(1+B969)^4-'Data Schema'!$C$3*(1+B969)^3)*$I$12)/(1+C969)^4+(('Data Schema'!$C$3*(1+B969)^5)*((1-$I$4-$I$5+E969)*(1-$I$10)+$I$6-$I$11)-('Data Schema'!$C$3*(1+B969)^5-'Data Schema'!$C$3*(1+B969)^4)*$I$12)/(1+C969)^5+((('Data Schema'!$C$3*(1+B969)^5)*((1-$I$4-$I$5+E969)*(1-$I$10)+$I$6-$I$11)-('Data Schema'!$C$3*(1+B969)^5-'Data Schema'!$C$3*(1+B969)^4)*$I$12)*(1+D969)/(C969-D969))/(1+C969)^5-'Data Schema'!$C$31+'Data Schema'!$C$21)/'Data Schema'!$B$17,0),"INVALID")</f>
        <v>282.99280817055234</v>
      </c>
      <c r="H969" s="189" t="b">
        <f t="shared" ca="1" si="114"/>
        <v>1</v>
      </c>
      <c r="I969" s="188">
        <f t="shared" ca="1" si="115"/>
        <v>282.99280817055234</v>
      </c>
      <c r="J969" s="349" t="str">
        <f t="shared" ca="1" si="108"/>
        <v/>
      </c>
    </row>
    <row r="970" spans="1:10">
      <c r="A970" s="185">
        <v>791</v>
      </c>
      <c r="B970" s="190">
        <f t="shared" ca="1" si="109"/>
        <v>9.81409985676093E-2</v>
      </c>
      <c r="C970" s="190">
        <f t="shared" ca="1" si="110"/>
        <v>5.4323491088044427E-2</v>
      </c>
      <c r="D970" s="190">
        <f t="shared" ca="1" si="111"/>
        <v>1.7076258231871727E-2</v>
      </c>
      <c r="E970" s="190">
        <f t="shared" ca="1" si="112"/>
        <v>3.1709128875871774E-2</v>
      </c>
      <c r="F970" s="189" t="b">
        <f t="shared" ca="1" si="113"/>
        <v>1</v>
      </c>
      <c r="G970" s="188">
        <f ca="1">IF(F970,IFERROR(((('Data Schema'!$C$3*(1+B970)^1)*((1-$I$4-$I$5+E970)*(1-$I$10)+$I$6-$I$11)-('Data Schema'!$C$3*(1+B970)^1-'Data Schema'!$C$3)*$I$12)/(1+C970)^1+(('Data Schema'!$C$3*(1+B970)^2)*((1-$I$4-$I$5+E970)*(1-$I$10)+$I$6-$I$11)-('Data Schema'!$C$3*(1+B970)^2-'Data Schema'!$C$3*(1+B970)^1)*$I$12)/(1+C970)^2+(('Data Schema'!$C$3*(1+B970)^3)*((1-$I$4-$I$5+E970)*(1-$I$10)+$I$6-$I$11)-('Data Schema'!$C$3*(1+B970)^3-'Data Schema'!$C$3*(1+B970)^2)*$I$12)/(1+C970)^3+(('Data Schema'!$C$3*(1+B970)^4)*((1-$I$4-$I$5+E970)*(1-$I$10)+$I$6-$I$11)-('Data Schema'!$C$3*(1+B970)^4-'Data Schema'!$C$3*(1+B970)^3)*$I$12)/(1+C970)^4+(('Data Schema'!$C$3*(1+B970)^5)*((1-$I$4-$I$5+E970)*(1-$I$10)+$I$6-$I$11)-('Data Schema'!$C$3*(1+B970)^5-'Data Schema'!$C$3*(1+B970)^4)*$I$12)/(1+C970)^5+((('Data Schema'!$C$3*(1+B970)^5)*((1-$I$4-$I$5+E970)*(1-$I$10)+$I$6-$I$11)-('Data Schema'!$C$3*(1+B970)^5-'Data Schema'!$C$3*(1+B970)^4)*$I$12)*(1+D970)/(C970-D970))/(1+C970)^5-'Data Schema'!$C$31+'Data Schema'!$C$21)/'Data Schema'!$B$17,0),"INVALID")</f>
        <v>164.28376884868763</v>
      </c>
      <c r="H970" s="189" t="b">
        <f t="shared" ca="1" si="114"/>
        <v>1</v>
      </c>
      <c r="I970" s="188">
        <f t="shared" ca="1" si="115"/>
        <v>164.28376884868763</v>
      </c>
      <c r="J970" s="349">
        <f t="shared" ca="1" si="108"/>
        <v>164.28376884868763</v>
      </c>
    </row>
    <row r="971" spans="1:10">
      <c r="A971" s="184">
        <v>792</v>
      </c>
      <c r="B971" s="190">
        <f t="shared" ca="1" si="109"/>
        <v>0.12981445979643738</v>
      </c>
      <c r="C971" s="190">
        <f t="shared" ca="1" si="110"/>
        <v>7.9075792650719623E-2</v>
      </c>
      <c r="D971" s="190">
        <f t="shared" ca="1" si="111"/>
        <v>1.9217746967018938E-2</v>
      </c>
      <c r="E971" s="190">
        <f t="shared" ca="1" si="112"/>
        <v>-1.3657635363111681E-2</v>
      </c>
      <c r="F971" s="189" t="b">
        <f t="shared" ca="1" si="113"/>
        <v>1</v>
      </c>
      <c r="G971" s="188">
        <f ca="1">IF(F971,IFERROR(((('Data Schema'!$C$3*(1+B971)^1)*((1-$I$4-$I$5+E971)*(1-$I$10)+$I$6-$I$11)-('Data Schema'!$C$3*(1+B971)^1-'Data Schema'!$C$3)*$I$12)/(1+C971)^1+(('Data Schema'!$C$3*(1+B971)^2)*((1-$I$4-$I$5+E971)*(1-$I$10)+$I$6-$I$11)-('Data Schema'!$C$3*(1+B971)^2-'Data Schema'!$C$3*(1+B971)^1)*$I$12)/(1+C971)^2+(('Data Schema'!$C$3*(1+B971)^3)*((1-$I$4-$I$5+E971)*(1-$I$10)+$I$6-$I$11)-('Data Schema'!$C$3*(1+B971)^3-'Data Schema'!$C$3*(1+B971)^2)*$I$12)/(1+C971)^3+(('Data Schema'!$C$3*(1+B971)^4)*((1-$I$4-$I$5+E971)*(1-$I$10)+$I$6-$I$11)-('Data Schema'!$C$3*(1+B971)^4-'Data Schema'!$C$3*(1+B971)^3)*$I$12)/(1+C971)^4+(('Data Schema'!$C$3*(1+B971)^5)*((1-$I$4-$I$5+E971)*(1-$I$10)+$I$6-$I$11)-('Data Schema'!$C$3*(1+B971)^5-'Data Schema'!$C$3*(1+B971)^4)*$I$12)/(1+C971)^5+((('Data Schema'!$C$3*(1+B971)^5)*((1-$I$4-$I$5+E971)*(1-$I$10)+$I$6-$I$11)-('Data Schema'!$C$3*(1+B971)^5-'Data Schema'!$C$3*(1+B971)^4)*$I$12)*(1+D971)/(C971-D971))/(1+C971)^5-'Data Schema'!$C$31+'Data Schema'!$C$21)/'Data Schema'!$B$17,0),"INVALID")</f>
        <v>28.5094609334684</v>
      </c>
      <c r="H971" s="189" t="b">
        <f t="shared" ca="1" si="114"/>
        <v>1</v>
      </c>
      <c r="I971" s="188">
        <f t="shared" ca="1" si="115"/>
        <v>28.5094609334684</v>
      </c>
      <c r="J971" s="349">
        <f t="shared" ca="1" si="108"/>
        <v>28.5094609334684</v>
      </c>
    </row>
    <row r="972" spans="1:10">
      <c r="A972" s="185">
        <v>793</v>
      </c>
      <c r="B972" s="190">
        <f t="shared" ca="1" si="109"/>
        <v>9.8526344357491039E-2</v>
      </c>
      <c r="C972" s="190">
        <f t="shared" ca="1" si="110"/>
        <v>5.5942130279142473E-2</v>
      </c>
      <c r="D972" s="190">
        <f t="shared" ca="1" si="111"/>
        <v>2.2301755262283784E-2</v>
      </c>
      <c r="E972" s="190">
        <f t="shared" ca="1" si="112"/>
        <v>6.1617626659251868E-3</v>
      </c>
      <c r="F972" s="189" t="b">
        <f t="shared" ca="1" si="113"/>
        <v>1</v>
      </c>
      <c r="G972" s="188">
        <f ca="1">IF(F972,IFERROR(((('Data Schema'!$C$3*(1+B972)^1)*((1-$I$4-$I$5+E972)*(1-$I$10)+$I$6-$I$11)-('Data Schema'!$C$3*(1+B972)^1-'Data Schema'!$C$3)*$I$12)/(1+C972)^1+(('Data Schema'!$C$3*(1+B972)^2)*((1-$I$4-$I$5+E972)*(1-$I$10)+$I$6-$I$11)-('Data Schema'!$C$3*(1+B972)^2-'Data Schema'!$C$3*(1+B972)^1)*$I$12)/(1+C972)^2+(('Data Schema'!$C$3*(1+B972)^3)*((1-$I$4-$I$5+E972)*(1-$I$10)+$I$6-$I$11)-('Data Schema'!$C$3*(1+B972)^3-'Data Schema'!$C$3*(1+B972)^2)*$I$12)/(1+C972)^3+(('Data Schema'!$C$3*(1+B972)^4)*((1-$I$4-$I$5+E972)*(1-$I$10)+$I$6-$I$11)-('Data Schema'!$C$3*(1+B972)^4-'Data Schema'!$C$3*(1+B972)^3)*$I$12)/(1+C972)^4+(('Data Schema'!$C$3*(1+B972)^5)*((1-$I$4-$I$5+E972)*(1-$I$10)+$I$6-$I$11)-('Data Schema'!$C$3*(1+B972)^5-'Data Schema'!$C$3*(1+B972)^4)*$I$12)/(1+C972)^5+((('Data Schema'!$C$3*(1+B972)^5)*((1-$I$4-$I$5+E972)*(1-$I$10)+$I$6-$I$11)-('Data Schema'!$C$3*(1+B972)^5-'Data Schema'!$C$3*(1+B972)^4)*$I$12)*(1+D972)/(C972-D972))/(1+C972)^5-'Data Schema'!$C$31+'Data Schema'!$C$21)/'Data Schema'!$B$17,0),"INVALID")</f>
        <v>107.06905177901122</v>
      </c>
      <c r="H972" s="189" t="b">
        <f t="shared" ca="1" si="114"/>
        <v>1</v>
      </c>
      <c r="I972" s="188">
        <f t="shared" ca="1" si="115"/>
        <v>107.06905177901122</v>
      </c>
      <c r="J972" s="349">
        <f t="shared" ca="1" si="108"/>
        <v>107.06905177901122</v>
      </c>
    </row>
    <row r="973" spans="1:10">
      <c r="A973" s="184">
        <v>794</v>
      </c>
      <c r="B973" s="190">
        <f t="shared" ca="1" si="109"/>
        <v>0.11159442342966611</v>
      </c>
      <c r="C973" s="190">
        <f t="shared" ca="1" si="110"/>
        <v>5.4111140859142037E-2</v>
      </c>
      <c r="D973" s="190">
        <f t="shared" ca="1" si="111"/>
        <v>2.8366720248326392E-2</v>
      </c>
      <c r="E973" s="190">
        <f t="shared" ca="1" si="112"/>
        <v>-1.9339311862637207E-3</v>
      </c>
      <c r="F973" s="189" t="b">
        <f t="shared" ca="1" si="113"/>
        <v>1</v>
      </c>
      <c r="G973" s="188">
        <f ca="1">IF(F973,IFERROR(((('Data Schema'!$C$3*(1+B973)^1)*((1-$I$4-$I$5+E973)*(1-$I$10)+$I$6-$I$11)-('Data Schema'!$C$3*(1+B973)^1-'Data Schema'!$C$3)*$I$12)/(1+C973)^1+(('Data Schema'!$C$3*(1+B973)^2)*((1-$I$4-$I$5+E973)*(1-$I$10)+$I$6-$I$11)-('Data Schema'!$C$3*(1+B973)^2-'Data Schema'!$C$3*(1+B973)^1)*$I$12)/(1+C973)^2+(('Data Schema'!$C$3*(1+B973)^3)*((1-$I$4-$I$5+E973)*(1-$I$10)+$I$6-$I$11)-('Data Schema'!$C$3*(1+B973)^3-'Data Schema'!$C$3*(1+B973)^2)*$I$12)/(1+C973)^3+(('Data Schema'!$C$3*(1+B973)^4)*((1-$I$4-$I$5+E973)*(1-$I$10)+$I$6-$I$11)-('Data Schema'!$C$3*(1+B973)^4-'Data Schema'!$C$3*(1+B973)^3)*$I$12)/(1+C973)^4+(('Data Schema'!$C$3*(1+B973)^5)*((1-$I$4-$I$5+E973)*(1-$I$10)+$I$6-$I$11)-('Data Schema'!$C$3*(1+B973)^5-'Data Schema'!$C$3*(1+B973)^4)*$I$12)/(1+C973)^5+((('Data Schema'!$C$3*(1+B973)^5)*((1-$I$4-$I$5+E973)*(1-$I$10)+$I$6-$I$11)-('Data Schema'!$C$3*(1+B973)^5-'Data Schema'!$C$3*(1+B973)^4)*$I$12)*(1+D973)/(C973-D973))/(1+C973)^5-'Data Schema'!$C$31+'Data Schema'!$C$21)/'Data Schema'!$B$17,0),"INVALID")</f>
        <v>115.58851142805568</v>
      </c>
      <c r="H973" s="189" t="b">
        <f t="shared" ca="1" si="114"/>
        <v>1</v>
      </c>
      <c r="I973" s="188">
        <f t="shared" ca="1" si="115"/>
        <v>115.58851142805568</v>
      </c>
      <c r="J973" s="349">
        <f t="shared" ca="1" si="108"/>
        <v>115.58851142805568</v>
      </c>
    </row>
    <row r="974" spans="1:10">
      <c r="A974" s="185">
        <v>795</v>
      </c>
      <c r="B974" s="190">
        <f t="shared" ca="1" si="109"/>
        <v>7.9911871645117177E-2</v>
      </c>
      <c r="C974" s="190">
        <f t="shared" ca="1" si="110"/>
        <v>6.5201988645827325E-2</v>
      </c>
      <c r="D974" s="190">
        <f t="shared" ca="1" si="111"/>
        <v>2.1715856932828782E-2</v>
      </c>
      <c r="E974" s="190">
        <f t="shared" ca="1" si="112"/>
        <v>-3.217565548779143E-2</v>
      </c>
      <c r="F974" s="189" t="b">
        <f t="shared" ca="1" si="113"/>
        <v>1</v>
      </c>
      <c r="G974" s="188">
        <f ca="1">IF(F974,IFERROR(((('Data Schema'!$C$3*(1+B974)^1)*((1-$I$4-$I$5+E974)*(1-$I$10)+$I$6-$I$11)-('Data Schema'!$C$3*(1+B974)^1-'Data Schema'!$C$3)*$I$12)/(1+C974)^1+(('Data Schema'!$C$3*(1+B974)^2)*((1-$I$4-$I$5+E974)*(1-$I$10)+$I$6-$I$11)-('Data Schema'!$C$3*(1+B974)^2-'Data Schema'!$C$3*(1+B974)^1)*$I$12)/(1+C974)^2+(('Data Schema'!$C$3*(1+B974)^3)*((1-$I$4-$I$5+E974)*(1-$I$10)+$I$6-$I$11)-('Data Schema'!$C$3*(1+B974)^3-'Data Schema'!$C$3*(1+B974)^2)*$I$12)/(1+C974)^3+(('Data Schema'!$C$3*(1+B974)^4)*((1-$I$4-$I$5+E974)*(1-$I$10)+$I$6-$I$11)-('Data Schema'!$C$3*(1+B974)^4-'Data Schema'!$C$3*(1+B974)^3)*$I$12)/(1+C974)^4+(('Data Schema'!$C$3*(1+B974)^5)*((1-$I$4-$I$5+E974)*(1-$I$10)+$I$6-$I$11)-('Data Schema'!$C$3*(1+B974)^5-'Data Schema'!$C$3*(1+B974)^4)*$I$12)/(1+C974)^5+((('Data Schema'!$C$3*(1+B974)^5)*((1-$I$4-$I$5+E974)*(1-$I$10)+$I$6-$I$11)-('Data Schema'!$C$3*(1+B974)^5-'Data Schema'!$C$3*(1+B974)^4)*$I$12)*(1+D974)/(C974-D974))/(1+C974)^5-'Data Schema'!$C$31+'Data Schema'!$C$21)/'Data Schema'!$B$17,0),"INVALID")</f>
        <v>-2.6028584989562327</v>
      </c>
      <c r="H974" s="189" t="b">
        <f t="shared" ca="1" si="114"/>
        <v>0</v>
      </c>
      <c r="I974" s="188" t="str">
        <f t="shared" ca="1" si="115"/>
        <v/>
      </c>
      <c r="J974" s="349" t="str">
        <f t="shared" ca="1" si="108"/>
        <v/>
      </c>
    </row>
    <row r="975" spans="1:10">
      <c r="A975" s="184">
        <v>796</v>
      </c>
      <c r="B975" s="190">
        <f t="shared" ca="1" si="109"/>
        <v>8.0553623453039416E-2</v>
      </c>
      <c r="C975" s="190">
        <f t="shared" ca="1" si="110"/>
        <v>4.132958099336434E-2</v>
      </c>
      <c r="D975" s="190">
        <f t="shared" ca="1" si="111"/>
        <v>2.0040884737358169E-2</v>
      </c>
      <c r="E975" s="190">
        <f t="shared" ca="1" si="112"/>
        <v>-6.9314725147192223E-3</v>
      </c>
      <c r="F975" s="189" t="b">
        <f t="shared" ca="1" si="113"/>
        <v>1</v>
      </c>
      <c r="G975" s="188">
        <f ca="1">IF(F975,IFERROR(((('Data Schema'!$C$3*(1+B975)^1)*((1-$I$4-$I$5+E975)*(1-$I$10)+$I$6-$I$11)-('Data Schema'!$C$3*(1+B975)^1-'Data Schema'!$C$3)*$I$12)/(1+C975)^1+(('Data Schema'!$C$3*(1+B975)^2)*((1-$I$4-$I$5+E975)*(1-$I$10)+$I$6-$I$11)-('Data Schema'!$C$3*(1+B975)^2-'Data Schema'!$C$3*(1+B975)^1)*$I$12)/(1+C975)^2+(('Data Schema'!$C$3*(1+B975)^3)*((1-$I$4-$I$5+E975)*(1-$I$10)+$I$6-$I$11)-('Data Schema'!$C$3*(1+B975)^3-'Data Schema'!$C$3*(1+B975)^2)*$I$12)/(1+C975)^3+(('Data Schema'!$C$3*(1+B975)^4)*((1-$I$4-$I$5+E975)*(1-$I$10)+$I$6-$I$11)-('Data Schema'!$C$3*(1+B975)^4-'Data Schema'!$C$3*(1+B975)^3)*$I$12)/(1+C975)^4+(('Data Schema'!$C$3*(1+B975)^5)*((1-$I$4-$I$5+E975)*(1-$I$10)+$I$6-$I$11)-('Data Schema'!$C$3*(1+B975)^5-'Data Schema'!$C$3*(1+B975)^4)*$I$12)/(1+C975)^5+((('Data Schema'!$C$3*(1+B975)^5)*((1-$I$4-$I$5+E975)*(1-$I$10)+$I$6-$I$11)-('Data Schema'!$C$3*(1+B975)^5-'Data Schema'!$C$3*(1+B975)^4)*$I$12)*(1+D975)/(C975-D975))/(1+C975)^5-'Data Schema'!$C$31+'Data Schema'!$C$21)/'Data Schema'!$B$17,0),"INVALID")</f>
        <v>108.56386714559741</v>
      </c>
      <c r="H975" s="189" t="b">
        <f t="shared" ca="1" si="114"/>
        <v>1</v>
      </c>
      <c r="I975" s="188">
        <f t="shared" ca="1" si="115"/>
        <v>108.56386714559741</v>
      </c>
      <c r="J975" s="349">
        <f t="shared" ca="1" si="108"/>
        <v>108.56386714559741</v>
      </c>
    </row>
    <row r="976" spans="1:10">
      <c r="A976" s="185">
        <v>797</v>
      </c>
      <c r="B976" s="190">
        <f t="shared" ca="1" si="109"/>
        <v>0.11636636419756699</v>
      </c>
      <c r="C976" s="190">
        <f t="shared" ca="1" si="110"/>
        <v>5.2142704912564952E-2</v>
      </c>
      <c r="D976" s="190">
        <f t="shared" ca="1" si="111"/>
        <v>3.0273915698490379E-2</v>
      </c>
      <c r="E976" s="190">
        <f t="shared" ca="1" si="112"/>
        <v>4.4561572641181975E-3</v>
      </c>
      <c r="F976" s="189" t="b">
        <f t="shared" ca="1" si="113"/>
        <v>1</v>
      </c>
      <c r="G976" s="188">
        <f ca="1">IF(F976,IFERROR(((('Data Schema'!$C$3*(1+B976)^1)*((1-$I$4-$I$5+E976)*(1-$I$10)+$I$6-$I$11)-('Data Schema'!$C$3*(1+B976)^1-'Data Schema'!$C$3)*$I$12)/(1+C976)^1+(('Data Schema'!$C$3*(1+B976)^2)*((1-$I$4-$I$5+E976)*(1-$I$10)+$I$6-$I$11)-('Data Schema'!$C$3*(1+B976)^2-'Data Schema'!$C$3*(1+B976)^1)*$I$12)/(1+C976)^2+(('Data Schema'!$C$3*(1+B976)^3)*((1-$I$4-$I$5+E976)*(1-$I$10)+$I$6-$I$11)-('Data Schema'!$C$3*(1+B976)^3-'Data Schema'!$C$3*(1+B976)^2)*$I$12)/(1+C976)^3+(('Data Schema'!$C$3*(1+B976)^4)*((1-$I$4-$I$5+E976)*(1-$I$10)+$I$6-$I$11)-('Data Schema'!$C$3*(1+B976)^4-'Data Schema'!$C$3*(1+B976)^3)*$I$12)/(1+C976)^4+(('Data Schema'!$C$3*(1+B976)^5)*((1-$I$4-$I$5+E976)*(1-$I$10)+$I$6-$I$11)-('Data Schema'!$C$3*(1+B976)^5-'Data Schema'!$C$3*(1+B976)^4)*$I$12)/(1+C976)^5+((('Data Schema'!$C$3*(1+B976)^5)*((1-$I$4-$I$5+E976)*(1-$I$10)+$I$6-$I$11)-('Data Schema'!$C$3*(1+B976)^5-'Data Schema'!$C$3*(1+B976)^4)*$I$12)*(1+D976)/(C976-D976))/(1+C976)^5-'Data Schema'!$C$31+'Data Schema'!$C$21)/'Data Schema'!$B$17,0),"INVALID")</f>
        <v>168.72855793528737</v>
      </c>
      <c r="H976" s="189" t="b">
        <f t="shared" ca="1" si="114"/>
        <v>1</v>
      </c>
      <c r="I976" s="188">
        <f t="shared" ca="1" si="115"/>
        <v>168.72855793528737</v>
      </c>
      <c r="J976" s="349">
        <f t="shared" ca="1" si="108"/>
        <v>168.72855793528737</v>
      </c>
    </row>
    <row r="977" spans="1:10">
      <c r="A977" s="184">
        <v>798</v>
      </c>
      <c r="B977" s="190">
        <f t="shared" ca="1" si="109"/>
        <v>0.10064282899929898</v>
      </c>
      <c r="C977" s="190">
        <f t="shared" ca="1" si="110"/>
        <v>5.0243603007405817E-2</v>
      </c>
      <c r="D977" s="190">
        <f t="shared" ca="1" si="111"/>
        <v>2.4599330417140332E-2</v>
      </c>
      <c r="E977" s="190">
        <f t="shared" ca="1" si="112"/>
        <v>-9.9660336735094644E-3</v>
      </c>
      <c r="F977" s="189" t="b">
        <f t="shared" ca="1" si="113"/>
        <v>1</v>
      </c>
      <c r="G977" s="188">
        <f ca="1">IF(F977,IFERROR(((('Data Schema'!$C$3*(1+B977)^1)*((1-$I$4-$I$5+E977)*(1-$I$10)+$I$6-$I$11)-('Data Schema'!$C$3*(1+B977)^1-'Data Schema'!$C$3)*$I$12)/(1+C977)^1+(('Data Schema'!$C$3*(1+B977)^2)*((1-$I$4-$I$5+E977)*(1-$I$10)+$I$6-$I$11)-('Data Schema'!$C$3*(1+B977)^2-'Data Schema'!$C$3*(1+B977)^1)*$I$12)/(1+C977)^2+(('Data Schema'!$C$3*(1+B977)^3)*((1-$I$4-$I$5+E977)*(1-$I$10)+$I$6-$I$11)-('Data Schema'!$C$3*(1+B977)^3-'Data Schema'!$C$3*(1+B977)^2)*$I$12)/(1+C977)^3+(('Data Schema'!$C$3*(1+B977)^4)*((1-$I$4-$I$5+E977)*(1-$I$10)+$I$6-$I$11)-('Data Schema'!$C$3*(1+B977)^4-'Data Schema'!$C$3*(1+B977)^3)*$I$12)/(1+C977)^4+(('Data Schema'!$C$3*(1+B977)^5)*((1-$I$4-$I$5+E977)*(1-$I$10)+$I$6-$I$11)-('Data Schema'!$C$3*(1+B977)^5-'Data Schema'!$C$3*(1+B977)^4)*$I$12)/(1+C977)^5+((('Data Schema'!$C$3*(1+B977)^5)*((1-$I$4-$I$5+E977)*(1-$I$10)+$I$6-$I$11)-('Data Schema'!$C$3*(1+B977)^5-'Data Schema'!$C$3*(1+B977)^4)*$I$12)*(1+D977)/(C977-D977))/(1+C977)^5-'Data Schema'!$C$31+'Data Schema'!$C$21)/'Data Schema'!$B$17,0),"INVALID")</f>
        <v>82.756887611362913</v>
      </c>
      <c r="H977" s="189" t="b">
        <f t="shared" ca="1" si="114"/>
        <v>1</v>
      </c>
      <c r="I977" s="188">
        <f t="shared" ca="1" si="115"/>
        <v>82.756887611362913</v>
      </c>
      <c r="J977" s="349">
        <f t="shared" ca="1" si="108"/>
        <v>82.756887611362913</v>
      </c>
    </row>
    <row r="978" spans="1:10">
      <c r="A978" s="185">
        <v>799</v>
      </c>
      <c r="B978" s="190">
        <f t="shared" ca="1" si="109"/>
        <v>0.10510202053994602</v>
      </c>
      <c r="C978" s="190">
        <f t="shared" ca="1" si="110"/>
        <v>4.8371569919367662E-2</v>
      </c>
      <c r="D978" s="190">
        <f t="shared" ca="1" si="111"/>
        <v>2.566949394206515E-2</v>
      </c>
      <c r="E978" s="190">
        <f t="shared" ca="1" si="112"/>
        <v>-3.5918719094456528E-2</v>
      </c>
      <c r="F978" s="189" t="b">
        <f t="shared" ca="1" si="113"/>
        <v>1</v>
      </c>
      <c r="G978" s="188">
        <f ca="1">IF(F978,IFERROR(((('Data Schema'!$C$3*(1+B978)^1)*((1-$I$4-$I$5+E978)*(1-$I$10)+$I$6-$I$11)-('Data Schema'!$C$3*(1+B978)^1-'Data Schema'!$C$3)*$I$12)/(1+C978)^1+(('Data Schema'!$C$3*(1+B978)^2)*((1-$I$4-$I$5+E978)*(1-$I$10)+$I$6-$I$11)-('Data Schema'!$C$3*(1+B978)^2-'Data Schema'!$C$3*(1+B978)^1)*$I$12)/(1+C978)^2+(('Data Schema'!$C$3*(1+B978)^3)*((1-$I$4-$I$5+E978)*(1-$I$10)+$I$6-$I$11)-('Data Schema'!$C$3*(1+B978)^3-'Data Schema'!$C$3*(1+B978)^2)*$I$12)/(1+C978)^3+(('Data Schema'!$C$3*(1+B978)^4)*((1-$I$4-$I$5+E978)*(1-$I$10)+$I$6-$I$11)-('Data Schema'!$C$3*(1+B978)^4-'Data Schema'!$C$3*(1+B978)^3)*$I$12)/(1+C978)^4+(('Data Schema'!$C$3*(1+B978)^5)*((1-$I$4-$I$5+E978)*(1-$I$10)+$I$6-$I$11)-('Data Schema'!$C$3*(1+B978)^5-'Data Schema'!$C$3*(1+B978)^4)*$I$12)/(1+C978)^5+((('Data Schema'!$C$3*(1+B978)^5)*((1-$I$4-$I$5+E978)*(1-$I$10)+$I$6-$I$11)-('Data Schema'!$C$3*(1+B978)^5-'Data Schema'!$C$3*(1+B978)^4)*$I$12)*(1+D978)/(C978-D978))/(1+C978)^5-'Data Schema'!$C$31+'Data Schema'!$C$21)/'Data Schema'!$B$17,0),"INVALID")</f>
        <v>-16.175007271441959</v>
      </c>
      <c r="H978" s="189" t="b">
        <f t="shared" ca="1" si="114"/>
        <v>0</v>
      </c>
      <c r="I978" s="188" t="str">
        <f t="shared" ca="1" si="115"/>
        <v/>
      </c>
      <c r="J978" s="349" t="str">
        <f t="shared" ca="1" si="108"/>
        <v/>
      </c>
    </row>
    <row r="979" spans="1:10">
      <c r="A979" s="184">
        <v>800</v>
      </c>
      <c r="B979" s="190">
        <f t="shared" ca="1" si="109"/>
        <v>8.1252073221609655E-2</v>
      </c>
      <c r="C979" s="190">
        <f t="shared" ca="1" si="110"/>
        <v>4.6974793557310296E-2</v>
      </c>
      <c r="D979" s="190">
        <f t="shared" ca="1" si="111"/>
        <v>2.7596624295616809E-2</v>
      </c>
      <c r="E979" s="190">
        <f t="shared" ca="1" si="112"/>
        <v>-1.6415236727953524E-2</v>
      </c>
      <c r="F979" s="189" t="b">
        <f t="shared" ca="1" si="113"/>
        <v>1</v>
      </c>
      <c r="G979" s="188">
        <f ca="1">IF(F979,IFERROR(((('Data Schema'!$C$3*(1+B979)^1)*((1-$I$4-$I$5+E979)*(1-$I$10)+$I$6-$I$11)-('Data Schema'!$C$3*(1+B979)^1-'Data Schema'!$C$3)*$I$12)/(1+C979)^1+(('Data Schema'!$C$3*(1+B979)^2)*((1-$I$4-$I$5+E979)*(1-$I$10)+$I$6-$I$11)-('Data Schema'!$C$3*(1+B979)^2-'Data Schema'!$C$3*(1+B979)^1)*$I$12)/(1+C979)^2+(('Data Schema'!$C$3*(1+B979)^3)*((1-$I$4-$I$5+E979)*(1-$I$10)+$I$6-$I$11)-('Data Schema'!$C$3*(1+B979)^3-'Data Schema'!$C$3*(1+B979)^2)*$I$12)/(1+C979)^3+(('Data Schema'!$C$3*(1+B979)^4)*((1-$I$4-$I$5+E979)*(1-$I$10)+$I$6-$I$11)-('Data Schema'!$C$3*(1+B979)^4-'Data Schema'!$C$3*(1+B979)^3)*$I$12)/(1+C979)^4+(('Data Schema'!$C$3*(1+B979)^5)*((1-$I$4-$I$5+E979)*(1-$I$10)+$I$6-$I$11)-('Data Schema'!$C$3*(1+B979)^5-'Data Schema'!$C$3*(1+B979)^4)*$I$12)/(1+C979)^5+((('Data Schema'!$C$3*(1+B979)^5)*((1-$I$4-$I$5+E979)*(1-$I$10)+$I$6-$I$11)-('Data Schema'!$C$3*(1+B979)^5-'Data Schema'!$C$3*(1+B979)^4)*$I$12)*(1+D979)/(C979-D979))/(1+C979)^5-'Data Schema'!$C$31+'Data Schema'!$C$21)/'Data Schema'!$B$17,0),"INVALID")</f>
        <v>73.967832320778854</v>
      </c>
      <c r="H979" s="189" t="b">
        <f t="shared" ca="1" si="114"/>
        <v>1</v>
      </c>
      <c r="I979" s="188">
        <f t="shared" ca="1" si="115"/>
        <v>73.967832320778854</v>
      </c>
      <c r="J979" s="349">
        <f t="shared" ca="1" si="108"/>
        <v>73.967832320778854</v>
      </c>
    </row>
    <row r="980" spans="1:10">
      <c r="A980" s="185">
        <v>801</v>
      </c>
      <c r="B980" s="190">
        <f t="shared" ca="1" si="109"/>
        <v>5.7742374593348002E-2</v>
      </c>
      <c r="C980" s="190">
        <f t="shared" ca="1" si="110"/>
        <v>5.6628911181768216E-2</v>
      </c>
      <c r="D980" s="190">
        <f t="shared" ca="1" si="111"/>
        <v>2.6621624139089677E-2</v>
      </c>
      <c r="E980" s="190">
        <f t="shared" ca="1" si="112"/>
        <v>-1.179707921020981E-2</v>
      </c>
      <c r="F980" s="189" t="b">
        <f t="shared" ca="1" si="113"/>
        <v>1</v>
      </c>
      <c r="G980" s="188">
        <f ca="1">IF(F980,IFERROR(((('Data Schema'!$C$3*(1+B980)^1)*((1-$I$4-$I$5+E980)*(1-$I$10)+$I$6-$I$11)-('Data Schema'!$C$3*(1+B980)^1-'Data Schema'!$C$3)*$I$12)/(1+C980)^1+(('Data Schema'!$C$3*(1+B980)^2)*((1-$I$4-$I$5+E980)*(1-$I$10)+$I$6-$I$11)-('Data Schema'!$C$3*(1+B980)^2-'Data Schema'!$C$3*(1+B980)^1)*$I$12)/(1+C980)^2+(('Data Schema'!$C$3*(1+B980)^3)*((1-$I$4-$I$5+E980)*(1-$I$10)+$I$6-$I$11)-('Data Schema'!$C$3*(1+B980)^3-'Data Schema'!$C$3*(1+B980)^2)*$I$12)/(1+C980)^3+(('Data Schema'!$C$3*(1+B980)^4)*((1-$I$4-$I$5+E980)*(1-$I$10)+$I$6-$I$11)-('Data Schema'!$C$3*(1+B980)^4-'Data Schema'!$C$3*(1+B980)^3)*$I$12)/(1+C980)^4+(('Data Schema'!$C$3*(1+B980)^5)*((1-$I$4-$I$5+E980)*(1-$I$10)+$I$6-$I$11)-('Data Schema'!$C$3*(1+B980)^5-'Data Schema'!$C$3*(1+B980)^4)*$I$12)/(1+C980)^5+((('Data Schema'!$C$3*(1+B980)^5)*((1-$I$4-$I$5+E980)*(1-$I$10)+$I$6-$I$11)-('Data Schema'!$C$3*(1+B980)^5-'Data Schema'!$C$3*(1+B980)^4)*$I$12)*(1+D980)/(C980-D980))/(1+C980)^5-'Data Schema'!$C$31+'Data Schema'!$C$21)/'Data Schema'!$B$17,0),"INVALID")</f>
        <v>53.62000413079231</v>
      </c>
      <c r="H980" s="189" t="b">
        <f t="shared" ca="1" si="114"/>
        <v>1</v>
      </c>
      <c r="I980" s="188">
        <f t="shared" ca="1" si="115"/>
        <v>53.62000413079231</v>
      </c>
      <c r="J980" s="349">
        <f t="shared" ca="1" si="108"/>
        <v>53.62000413079231</v>
      </c>
    </row>
    <row r="981" spans="1:10">
      <c r="A981" s="184">
        <v>802</v>
      </c>
      <c r="B981" s="190">
        <f t="shared" ca="1" si="109"/>
        <v>9.4767409298621749E-2</v>
      </c>
      <c r="C981" s="190">
        <f t="shared" ca="1" si="110"/>
        <v>6.7357360427505258E-2</v>
      </c>
      <c r="D981" s="190">
        <f t="shared" ca="1" si="111"/>
        <v>1.8235452802790028E-2</v>
      </c>
      <c r="E981" s="190">
        <f t="shared" ca="1" si="112"/>
        <v>-9.9415508380301665E-3</v>
      </c>
      <c r="F981" s="189" t="b">
        <f t="shared" ca="1" si="113"/>
        <v>1</v>
      </c>
      <c r="G981" s="188">
        <f ca="1">IF(F981,IFERROR(((('Data Schema'!$C$3*(1+B981)^1)*((1-$I$4-$I$5+E981)*(1-$I$10)+$I$6-$I$11)-('Data Schema'!$C$3*(1+B981)^1-'Data Schema'!$C$3)*$I$12)/(1+C981)^1+(('Data Schema'!$C$3*(1+B981)^2)*((1-$I$4-$I$5+E981)*(1-$I$10)+$I$6-$I$11)-('Data Schema'!$C$3*(1+B981)^2-'Data Schema'!$C$3*(1+B981)^1)*$I$12)/(1+C981)^2+(('Data Schema'!$C$3*(1+B981)^3)*((1-$I$4-$I$5+E981)*(1-$I$10)+$I$6-$I$11)-('Data Schema'!$C$3*(1+B981)^3-'Data Schema'!$C$3*(1+B981)^2)*$I$12)/(1+C981)^3+(('Data Schema'!$C$3*(1+B981)^4)*((1-$I$4-$I$5+E981)*(1-$I$10)+$I$6-$I$11)-('Data Schema'!$C$3*(1+B981)^4-'Data Schema'!$C$3*(1+B981)^3)*$I$12)/(1+C981)^4+(('Data Schema'!$C$3*(1+B981)^5)*((1-$I$4-$I$5+E981)*(1-$I$10)+$I$6-$I$11)-('Data Schema'!$C$3*(1+B981)^5-'Data Schema'!$C$3*(1+B981)^4)*$I$12)/(1+C981)^5+((('Data Schema'!$C$3*(1+B981)^5)*((1-$I$4-$I$5+E981)*(1-$I$10)+$I$6-$I$11)-('Data Schema'!$C$3*(1+B981)^5-'Data Schema'!$C$3*(1+B981)^4)*$I$12)*(1+D981)/(C981-D981))/(1+C981)^5-'Data Schema'!$C$31+'Data Schema'!$C$21)/'Data Schema'!$B$17,0),"INVALID")</f>
        <v>39.427269043300072</v>
      </c>
      <c r="H981" s="189" t="b">
        <f t="shared" ca="1" si="114"/>
        <v>1</v>
      </c>
      <c r="I981" s="188">
        <f t="shared" ca="1" si="115"/>
        <v>39.427269043300072</v>
      </c>
      <c r="J981" s="349">
        <f t="shared" ca="1" si="108"/>
        <v>39.427269043300072</v>
      </c>
    </row>
    <row r="982" spans="1:10">
      <c r="A982" s="185">
        <v>803</v>
      </c>
      <c r="B982" s="190">
        <f t="shared" ca="1" si="109"/>
        <v>7.3266027780227699E-2</v>
      </c>
      <c r="C982" s="190">
        <f t="shared" ca="1" si="110"/>
        <v>5.6922360448767723E-2</v>
      </c>
      <c r="D982" s="190">
        <f t="shared" ca="1" si="111"/>
        <v>2.2124567775223147E-2</v>
      </c>
      <c r="E982" s="190">
        <f t="shared" ca="1" si="112"/>
        <v>9.0922995568105593E-3</v>
      </c>
      <c r="F982" s="189" t="b">
        <f t="shared" ca="1" si="113"/>
        <v>1</v>
      </c>
      <c r="G982" s="188">
        <f ca="1">IF(F982,IFERROR(((('Data Schema'!$C$3*(1+B982)^1)*((1-$I$4-$I$5+E982)*(1-$I$10)+$I$6-$I$11)-('Data Schema'!$C$3*(1+B982)^1-'Data Schema'!$C$3)*$I$12)/(1+C982)^1+(('Data Schema'!$C$3*(1+B982)^2)*((1-$I$4-$I$5+E982)*(1-$I$10)+$I$6-$I$11)-('Data Schema'!$C$3*(1+B982)^2-'Data Schema'!$C$3*(1+B982)^1)*$I$12)/(1+C982)^2+(('Data Schema'!$C$3*(1+B982)^3)*((1-$I$4-$I$5+E982)*(1-$I$10)+$I$6-$I$11)-('Data Schema'!$C$3*(1+B982)^3-'Data Schema'!$C$3*(1+B982)^2)*$I$12)/(1+C982)^3+(('Data Schema'!$C$3*(1+B982)^4)*((1-$I$4-$I$5+E982)*(1-$I$10)+$I$6-$I$11)-('Data Schema'!$C$3*(1+B982)^4-'Data Schema'!$C$3*(1+B982)^3)*$I$12)/(1+C982)^4+(('Data Schema'!$C$3*(1+B982)^5)*((1-$I$4-$I$5+E982)*(1-$I$10)+$I$6-$I$11)-('Data Schema'!$C$3*(1+B982)^5-'Data Schema'!$C$3*(1+B982)^4)*$I$12)/(1+C982)^5+((('Data Schema'!$C$3*(1+B982)^5)*((1-$I$4-$I$5+E982)*(1-$I$10)+$I$6-$I$11)-('Data Schema'!$C$3*(1+B982)^5-'Data Schema'!$C$3*(1+B982)^4)*$I$12)*(1+D982)/(C982-D982))/(1+C982)^5-'Data Schema'!$C$31+'Data Schema'!$C$21)/'Data Schema'!$B$17,0),"INVALID")</f>
        <v>100.40918119281385</v>
      </c>
      <c r="H982" s="189" t="b">
        <f t="shared" ca="1" si="114"/>
        <v>1</v>
      </c>
      <c r="I982" s="188">
        <f t="shared" ca="1" si="115"/>
        <v>100.40918119281385</v>
      </c>
      <c r="J982" s="349">
        <f t="shared" ca="1" si="108"/>
        <v>100.40918119281385</v>
      </c>
    </row>
    <row r="983" spans="1:10">
      <c r="A983" s="184">
        <v>804</v>
      </c>
      <c r="B983" s="190">
        <f t="shared" ca="1" si="109"/>
        <v>0.11496883925997092</v>
      </c>
      <c r="C983" s="190">
        <f t="shared" ca="1" si="110"/>
        <v>6.5825007154377224E-2</v>
      </c>
      <c r="D983" s="190">
        <f t="shared" ca="1" si="111"/>
        <v>3.0041260372701873E-2</v>
      </c>
      <c r="E983" s="190">
        <f t="shared" ca="1" si="112"/>
        <v>1.7566769216636406E-2</v>
      </c>
      <c r="F983" s="189" t="b">
        <f t="shared" ca="1" si="113"/>
        <v>1</v>
      </c>
      <c r="G983" s="188">
        <f ca="1">IF(F983,IFERROR(((('Data Schema'!$C$3*(1+B983)^1)*((1-$I$4-$I$5+E983)*(1-$I$10)+$I$6-$I$11)-('Data Schema'!$C$3*(1+B983)^1-'Data Schema'!$C$3)*$I$12)/(1+C983)^1+(('Data Schema'!$C$3*(1+B983)^2)*((1-$I$4-$I$5+E983)*(1-$I$10)+$I$6-$I$11)-('Data Schema'!$C$3*(1+B983)^2-'Data Schema'!$C$3*(1+B983)^1)*$I$12)/(1+C983)^2+(('Data Schema'!$C$3*(1+B983)^3)*((1-$I$4-$I$5+E983)*(1-$I$10)+$I$6-$I$11)-('Data Schema'!$C$3*(1+B983)^3-'Data Schema'!$C$3*(1+B983)^2)*$I$12)/(1+C983)^3+(('Data Schema'!$C$3*(1+B983)^4)*((1-$I$4-$I$5+E983)*(1-$I$10)+$I$6-$I$11)-('Data Schema'!$C$3*(1+B983)^4-'Data Schema'!$C$3*(1+B983)^3)*$I$12)/(1+C983)^4+(('Data Schema'!$C$3*(1+B983)^5)*((1-$I$4-$I$5+E983)*(1-$I$10)+$I$6-$I$11)-('Data Schema'!$C$3*(1+B983)^5-'Data Schema'!$C$3*(1+B983)^4)*$I$12)/(1+C983)^5+((('Data Schema'!$C$3*(1+B983)^5)*((1-$I$4-$I$5+E983)*(1-$I$10)+$I$6-$I$11)-('Data Schema'!$C$3*(1+B983)^5-'Data Schema'!$C$3*(1+B983)^4)*$I$12)*(1+D983)/(C983-D983))/(1+C983)^5-'Data Schema'!$C$31+'Data Schema'!$C$21)/'Data Schema'!$B$17,0),"INVALID")</f>
        <v>135.52455282472721</v>
      </c>
      <c r="H983" s="189" t="b">
        <f t="shared" ca="1" si="114"/>
        <v>1</v>
      </c>
      <c r="I983" s="188">
        <f t="shared" ca="1" si="115"/>
        <v>135.52455282472721</v>
      </c>
      <c r="J983" s="349">
        <f t="shared" ca="1" si="108"/>
        <v>135.52455282472721</v>
      </c>
    </row>
    <row r="984" spans="1:10">
      <c r="A984" s="185">
        <v>805</v>
      </c>
      <c r="B984" s="190">
        <f t="shared" ca="1" si="109"/>
        <v>0.14395530623353081</v>
      </c>
      <c r="C984" s="190">
        <f t="shared" ca="1" si="110"/>
        <v>5.8291345032624238E-2</v>
      </c>
      <c r="D984" s="190">
        <f t="shared" ca="1" si="111"/>
        <v>2.5117395341365978E-2</v>
      </c>
      <c r="E984" s="190">
        <f t="shared" ca="1" si="112"/>
        <v>-9.3309194720732867E-3</v>
      </c>
      <c r="F984" s="189" t="b">
        <f t="shared" ca="1" si="113"/>
        <v>1</v>
      </c>
      <c r="G984" s="188">
        <f ca="1">IF(F984,IFERROR(((('Data Schema'!$C$3*(1+B984)^1)*((1-$I$4-$I$5+E984)*(1-$I$10)+$I$6-$I$11)-('Data Schema'!$C$3*(1+B984)^1-'Data Schema'!$C$3)*$I$12)/(1+C984)^1+(('Data Schema'!$C$3*(1+B984)^2)*((1-$I$4-$I$5+E984)*(1-$I$10)+$I$6-$I$11)-('Data Schema'!$C$3*(1+B984)^2-'Data Schema'!$C$3*(1+B984)^1)*$I$12)/(1+C984)^2+(('Data Schema'!$C$3*(1+B984)^3)*((1-$I$4-$I$5+E984)*(1-$I$10)+$I$6-$I$11)-('Data Schema'!$C$3*(1+B984)^3-'Data Schema'!$C$3*(1+B984)^2)*$I$12)/(1+C984)^3+(('Data Schema'!$C$3*(1+B984)^4)*((1-$I$4-$I$5+E984)*(1-$I$10)+$I$6-$I$11)-('Data Schema'!$C$3*(1+B984)^4-'Data Schema'!$C$3*(1+B984)^3)*$I$12)/(1+C984)^4+(('Data Schema'!$C$3*(1+B984)^5)*((1-$I$4-$I$5+E984)*(1-$I$10)+$I$6-$I$11)-('Data Schema'!$C$3*(1+B984)^5-'Data Schema'!$C$3*(1+B984)^4)*$I$12)/(1+C984)^5+((('Data Schema'!$C$3*(1+B984)^5)*((1-$I$4-$I$5+E984)*(1-$I$10)+$I$6-$I$11)-('Data Schema'!$C$3*(1+B984)^5-'Data Schema'!$C$3*(1+B984)^4)*$I$12)*(1+D984)/(C984-D984))/(1+C984)^5-'Data Schema'!$C$31+'Data Schema'!$C$21)/'Data Schema'!$B$17,0),"INVALID")</f>
        <v>74.891228373056208</v>
      </c>
      <c r="H984" s="189" t="b">
        <f t="shared" ca="1" si="114"/>
        <v>1</v>
      </c>
      <c r="I984" s="188">
        <f t="shared" ca="1" si="115"/>
        <v>74.891228373056208</v>
      </c>
      <c r="J984" s="349">
        <f t="shared" ca="1" si="108"/>
        <v>74.891228373056208</v>
      </c>
    </row>
    <row r="985" spans="1:10">
      <c r="A985" s="184">
        <v>806</v>
      </c>
      <c r="B985" s="190">
        <f t="shared" ca="1" si="109"/>
        <v>0.12405254042279341</v>
      </c>
      <c r="C985" s="190">
        <f t="shared" ca="1" si="110"/>
        <v>6.0031897793990305E-2</v>
      </c>
      <c r="D985" s="190">
        <f t="shared" ca="1" si="111"/>
        <v>1.8111586459472473E-2</v>
      </c>
      <c r="E985" s="190">
        <f t="shared" ca="1" si="112"/>
        <v>-1.4860020352705752E-2</v>
      </c>
      <c r="F985" s="189" t="b">
        <f t="shared" ca="1" si="113"/>
        <v>1</v>
      </c>
      <c r="G985" s="188">
        <f ca="1">IF(F985,IFERROR(((('Data Schema'!$C$3*(1+B985)^1)*((1-$I$4-$I$5+E985)*(1-$I$10)+$I$6-$I$11)-('Data Schema'!$C$3*(1+B985)^1-'Data Schema'!$C$3)*$I$12)/(1+C985)^1+(('Data Schema'!$C$3*(1+B985)^2)*((1-$I$4-$I$5+E985)*(1-$I$10)+$I$6-$I$11)-('Data Schema'!$C$3*(1+B985)^2-'Data Schema'!$C$3*(1+B985)^1)*$I$12)/(1+C985)^2+(('Data Schema'!$C$3*(1+B985)^3)*((1-$I$4-$I$5+E985)*(1-$I$10)+$I$6-$I$11)-('Data Schema'!$C$3*(1+B985)^3-'Data Schema'!$C$3*(1+B985)^2)*$I$12)/(1+C985)^3+(('Data Schema'!$C$3*(1+B985)^4)*((1-$I$4-$I$5+E985)*(1-$I$10)+$I$6-$I$11)-('Data Schema'!$C$3*(1+B985)^4-'Data Schema'!$C$3*(1+B985)^3)*$I$12)/(1+C985)^4+(('Data Schema'!$C$3*(1+B985)^5)*((1-$I$4-$I$5+E985)*(1-$I$10)+$I$6-$I$11)-('Data Schema'!$C$3*(1+B985)^5-'Data Schema'!$C$3*(1+B985)^4)*$I$12)/(1+C985)^5+((('Data Schema'!$C$3*(1+B985)^5)*((1-$I$4-$I$5+E985)*(1-$I$10)+$I$6-$I$11)-('Data Schema'!$C$3*(1+B985)^5-'Data Schema'!$C$3*(1+B985)^4)*$I$12)*(1+D985)/(C985-D985))/(1+C985)^5-'Data Schema'!$C$31+'Data Schema'!$C$21)/'Data Schema'!$B$17,0),"INVALID")</f>
        <v>40.595447386716081</v>
      </c>
      <c r="H985" s="189" t="b">
        <f t="shared" ca="1" si="114"/>
        <v>1</v>
      </c>
      <c r="I985" s="188">
        <f t="shared" ca="1" si="115"/>
        <v>40.595447386716081</v>
      </c>
      <c r="J985" s="349">
        <f t="shared" ca="1" si="108"/>
        <v>40.595447386716081</v>
      </c>
    </row>
    <row r="986" spans="1:10">
      <c r="A986" s="185">
        <v>807</v>
      </c>
      <c r="B986" s="190">
        <f t="shared" ca="1" si="109"/>
        <v>0.13160565365610122</v>
      </c>
      <c r="C986" s="190">
        <f t="shared" ca="1" si="110"/>
        <v>5.8880239916651464E-2</v>
      </c>
      <c r="D986" s="190">
        <f t="shared" ca="1" si="111"/>
        <v>3.1810261796286744E-2</v>
      </c>
      <c r="E986" s="190">
        <f t="shared" ca="1" si="112"/>
        <v>-4.7801877675491114E-2</v>
      </c>
      <c r="F986" s="189" t="b">
        <f t="shared" ca="1" si="113"/>
        <v>1</v>
      </c>
      <c r="G986" s="188">
        <f ca="1">IF(F986,IFERROR(((('Data Schema'!$C$3*(1+B986)^1)*((1-$I$4-$I$5+E986)*(1-$I$10)+$I$6-$I$11)-('Data Schema'!$C$3*(1+B986)^1-'Data Schema'!$C$3)*$I$12)/(1+C986)^1+(('Data Schema'!$C$3*(1+B986)^2)*((1-$I$4-$I$5+E986)*(1-$I$10)+$I$6-$I$11)-('Data Schema'!$C$3*(1+B986)^2-'Data Schema'!$C$3*(1+B986)^1)*$I$12)/(1+C986)^2+(('Data Schema'!$C$3*(1+B986)^3)*((1-$I$4-$I$5+E986)*(1-$I$10)+$I$6-$I$11)-('Data Schema'!$C$3*(1+B986)^3-'Data Schema'!$C$3*(1+B986)^2)*$I$12)/(1+C986)^3+(('Data Schema'!$C$3*(1+B986)^4)*((1-$I$4-$I$5+E986)*(1-$I$10)+$I$6-$I$11)-('Data Schema'!$C$3*(1+B986)^4-'Data Schema'!$C$3*(1+B986)^3)*$I$12)/(1+C986)^4+(('Data Schema'!$C$3*(1+B986)^5)*((1-$I$4-$I$5+E986)*(1-$I$10)+$I$6-$I$11)-('Data Schema'!$C$3*(1+B986)^5-'Data Schema'!$C$3*(1+B986)^4)*$I$12)/(1+C986)^5+((('Data Schema'!$C$3*(1+B986)^5)*((1-$I$4-$I$5+E986)*(1-$I$10)+$I$6-$I$11)-('Data Schema'!$C$3*(1+B986)^5-'Data Schema'!$C$3*(1+B986)^4)*$I$12)*(1+D986)/(C986-D986))/(1+C986)^5-'Data Schema'!$C$31+'Data Schema'!$C$21)/'Data Schema'!$B$17,0),"INVALID")</f>
        <v>-64.596344789798508</v>
      </c>
      <c r="H986" s="189" t="b">
        <f t="shared" ca="1" si="114"/>
        <v>0</v>
      </c>
      <c r="I986" s="188" t="str">
        <f t="shared" ca="1" si="115"/>
        <v/>
      </c>
      <c r="J986" s="349" t="str">
        <f t="shared" ca="1" si="108"/>
        <v/>
      </c>
    </row>
    <row r="987" spans="1:10">
      <c r="A987" s="184">
        <v>808</v>
      </c>
      <c r="B987" s="190">
        <f t="shared" ca="1" si="109"/>
        <v>0.1020579545005967</v>
      </c>
      <c r="C987" s="190">
        <f t="shared" ca="1" si="110"/>
        <v>5.8479828292805881E-2</v>
      </c>
      <c r="D987" s="190">
        <f t="shared" ca="1" si="111"/>
        <v>1.9105658383074105E-2</v>
      </c>
      <c r="E987" s="190">
        <f t="shared" ca="1" si="112"/>
        <v>8.5576458164628236E-3</v>
      </c>
      <c r="F987" s="189" t="b">
        <f t="shared" ca="1" si="113"/>
        <v>1</v>
      </c>
      <c r="G987" s="188">
        <f ca="1">IF(F987,IFERROR(((('Data Schema'!$C$3*(1+B987)^1)*((1-$I$4-$I$5+E987)*(1-$I$10)+$I$6-$I$11)-('Data Schema'!$C$3*(1+B987)^1-'Data Schema'!$C$3)*$I$12)/(1+C987)^1+(('Data Schema'!$C$3*(1+B987)^2)*((1-$I$4-$I$5+E987)*(1-$I$10)+$I$6-$I$11)-('Data Schema'!$C$3*(1+B987)^2-'Data Schema'!$C$3*(1+B987)^1)*$I$12)/(1+C987)^2+(('Data Schema'!$C$3*(1+B987)^3)*((1-$I$4-$I$5+E987)*(1-$I$10)+$I$6-$I$11)-('Data Schema'!$C$3*(1+B987)^3-'Data Schema'!$C$3*(1+B987)^2)*$I$12)/(1+C987)^3+(('Data Schema'!$C$3*(1+B987)^4)*((1-$I$4-$I$5+E987)*(1-$I$10)+$I$6-$I$11)-('Data Schema'!$C$3*(1+B987)^4-'Data Schema'!$C$3*(1+B987)^3)*$I$12)/(1+C987)^4+(('Data Schema'!$C$3*(1+B987)^5)*((1-$I$4-$I$5+E987)*(1-$I$10)+$I$6-$I$11)-('Data Schema'!$C$3*(1+B987)^5-'Data Schema'!$C$3*(1+B987)^4)*$I$12)/(1+C987)^5+((('Data Schema'!$C$3*(1+B987)^5)*((1-$I$4-$I$5+E987)*(1-$I$10)+$I$6-$I$11)-('Data Schema'!$C$3*(1+B987)^5-'Data Schema'!$C$3*(1+B987)^4)*$I$12)*(1+D987)/(C987-D987))/(1+C987)^5-'Data Schema'!$C$31+'Data Schema'!$C$21)/'Data Schema'!$B$17,0),"INVALID")</f>
        <v>98.532925615303157</v>
      </c>
      <c r="H987" s="189" t="b">
        <f t="shared" ca="1" si="114"/>
        <v>1</v>
      </c>
      <c r="I987" s="188">
        <f t="shared" ca="1" si="115"/>
        <v>98.532925615303157</v>
      </c>
      <c r="J987" s="349">
        <f t="shared" ca="1" si="108"/>
        <v>98.532925615303157</v>
      </c>
    </row>
    <row r="988" spans="1:10">
      <c r="A988" s="185">
        <v>809</v>
      </c>
      <c r="B988" s="190">
        <f t="shared" ca="1" si="109"/>
        <v>0.11761049450442909</v>
      </c>
      <c r="C988" s="190">
        <f t="shared" ca="1" si="110"/>
        <v>5.9850606120831089E-2</v>
      </c>
      <c r="D988" s="190">
        <f t="shared" ca="1" si="111"/>
        <v>2.6613426925879022E-2</v>
      </c>
      <c r="E988" s="190">
        <f t="shared" ca="1" si="112"/>
        <v>1.0611324838828182E-2</v>
      </c>
      <c r="F988" s="189" t="b">
        <f t="shared" ca="1" si="113"/>
        <v>1</v>
      </c>
      <c r="G988" s="188">
        <f ca="1">IF(F988,IFERROR(((('Data Schema'!$C$3*(1+B988)^1)*((1-$I$4-$I$5+E988)*(1-$I$10)+$I$6-$I$11)-('Data Schema'!$C$3*(1+B988)^1-'Data Schema'!$C$3)*$I$12)/(1+C988)^1+(('Data Schema'!$C$3*(1+B988)^2)*((1-$I$4-$I$5+E988)*(1-$I$10)+$I$6-$I$11)-('Data Schema'!$C$3*(1+B988)^2-'Data Schema'!$C$3*(1+B988)^1)*$I$12)/(1+C988)^2+(('Data Schema'!$C$3*(1+B988)^3)*((1-$I$4-$I$5+E988)*(1-$I$10)+$I$6-$I$11)-('Data Schema'!$C$3*(1+B988)^3-'Data Schema'!$C$3*(1+B988)^2)*$I$12)/(1+C988)^3+(('Data Schema'!$C$3*(1+B988)^4)*((1-$I$4-$I$5+E988)*(1-$I$10)+$I$6-$I$11)-('Data Schema'!$C$3*(1+B988)^4-'Data Schema'!$C$3*(1+B988)^3)*$I$12)/(1+C988)^4+(('Data Schema'!$C$3*(1+B988)^5)*((1-$I$4-$I$5+E988)*(1-$I$10)+$I$6-$I$11)-('Data Schema'!$C$3*(1+B988)^5-'Data Schema'!$C$3*(1+B988)^4)*$I$12)/(1+C988)^5+((('Data Schema'!$C$3*(1+B988)^5)*((1-$I$4-$I$5+E988)*(1-$I$10)+$I$6-$I$11)-('Data Schema'!$C$3*(1+B988)^5-'Data Schema'!$C$3*(1+B988)^4)*$I$12)*(1+D988)/(C988-D988))/(1+C988)^5-'Data Schema'!$C$31+'Data Schema'!$C$21)/'Data Schema'!$B$17,0),"INVALID")</f>
        <v>128.7972326561073</v>
      </c>
      <c r="H988" s="189" t="b">
        <f t="shared" ca="1" si="114"/>
        <v>1</v>
      </c>
      <c r="I988" s="188">
        <f t="shared" ca="1" si="115"/>
        <v>128.7972326561073</v>
      </c>
      <c r="J988" s="349">
        <f t="shared" ca="1" si="108"/>
        <v>128.7972326561073</v>
      </c>
    </row>
    <row r="989" spans="1:10">
      <c r="A989" s="184">
        <v>810</v>
      </c>
      <c r="B989" s="190">
        <f t="shared" ca="1" si="109"/>
        <v>9.9497111522360238E-2</v>
      </c>
      <c r="C989" s="190">
        <f t="shared" ca="1" si="110"/>
        <v>4.8018287116379579E-2</v>
      </c>
      <c r="D989" s="190">
        <f t="shared" ca="1" si="111"/>
        <v>2.7034630816325352E-2</v>
      </c>
      <c r="E989" s="190">
        <f t="shared" ca="1" si="112"/>
        <v>3.3768644718652582E-2</v>
      </c>
      <c r="F989" s="189" t="b">
        <f t="shared" ca="1" si="113"/>
        <v>1</v>
      </c>
      <c r="G989" s="188">
        <f ca="1">IF(F989,IFERROR(((('Data Schema'!$C$3*(1+B989)^1)*((1-$I$4-$I$5+E989)*(1-$I$10)+$I$6-$I$11)-('Data Schema'!$C$3*(1+B989)^1-'Data Schema'!$C$3)*$I$12)/(1+C989)^1+(('Data Schema'!$C$3*(1+B989)^2)*((1-$I$4-$I$5+E989)*(1-$I$10)+$I$6-$I$11)-('Data Schema'!$C$3*(1+B989)^2-'Data Schema'!$C$3*(1+B989)^1)*$I$12)/(1+C989)^2+(('Data Schema'!$C$3*(1+B989)^3)*((1-$I$4-$I$5+E989)*(1-$I$10)+$I$6-$I$11)-('Data Schema'!$C$3*(1+B989)^3-'Data Schema'!$C$3*(1+B989)^2)*$I$12)/(1+C989)^3+(('Data Schema'!$C$3*(1+B989)^4)*((1-$I$4-$I$5+E989)*(1-$I$10)+$I$6-$I$11)-('Data Schema'!$C$3*(1+B989)^4-'Data Schema'!$C$3*(1+B989)^3)*$I$12)/(1+C989)^4+(('Data Schema'!$C$3*(1+B989)^5)*((1-$I$4-$I$5+E989)*(1-$I$10)+$I$6-$I$11)-('Data Schema'!$C$3*(1+B989)^5-'Data Schema'!$C$3*(1+B989)^4)*$I$12)/(1+C989)^5+((('Data Schema'!$C$3*(1+B989)^5)*((1-$I$4-$I$5+E989)*(1-$I$10)+$I$6-$I$11)-('Data Schema'!$C$3*(1+B989)^5-'Data Schema'!$C$3*(1+B989)^4)*$I$12)*(1+D989)/(C989-D989))/(1+C989)^5-'Data Schema'!$C$31+'Data Schema'!$C$21)/'Data Schema'!$B$17,0),"INVALID")</f>
        <v>299.83718796137555</v>
      </c>
      <c r="H989" s="189" t="b">
        <f t="shared" ca="1" si="114"/>
        <v>1</v>
      </c>
      <c r="I989" s="188">
        <f t="shared" ca="1" si="115"/>
        <v>299.83718796137555</v>
      </c>
      <c r="J989" s="349" t="str">
        <f t="shared" ca="1" si="108"/>
        <v/>
      </c>
    </row>
    <row r="990" spans="1:10">
      <c r="A990" s="185">
        <v>811</v>
      </c>
      <c r="B990" s="190">
        <f t="shared" ca="1" si="109"/>
        <v>0.10560745481662141</v>
      </c>
      <c r="C990" s="190">
        <f t="shared" ca="1" si="110"/>
        <v>4.5807298035364735E-2</v>
      </c>
      <c r="D990" s="190">
        <f t="shared" ca="1" si="111"/>
        <v>2.8597270475475667E-2</v>
      </c>
      <c r="E990" s="190">
        <f t="shared" ca="1" si="112"/>
        <v>-1.2122626070283532E-2</v>
      </c>
      <c r="F990" s="189" t="b">
        <f t="shared" ca="1" si="113"/>
        <v>1</v>
      </c>
      <c r="G990" s="188">
        <f ca="1">IF(F990,IFERROR(((('Data Schema'!$C$3*(1+B990)^1)*((1-$I$4-$I$5+E990)*(1-$I$10)+$I$6-$I$11)-('Data Schema'!$C$3*(1+B990)^1-'Data Schema'!$C$3)*$I$12)/(1+C990)^1+(('Data Schema'!$C$3*(1+B990)^2)*((1-$I$4-$I$5+E990)*(1-$I$10)+$I$6-$I$11)-('Data Schema'!$C$3*(1+B990)^2-'Data Schema'!$C$3*(1+B990)^1)*$I$12)/(1+C990)^2+(('Data Schema'!$C$3*(1+B990)^3)*((1-$I$4-$I$5+E990)*(1-$I$10)+$I$6-$I$11)-('Data Schema'!$C$3*(1+B990)^3-'Data Schema'!$C$3*(1+B990)^2)*$I$12)/(1+C990)^3+(('Data Schema'!$C$3*(1+B990)^4)*((1-$I$4-$I$5+E990)*(1-$I$10)+$I$6-$I$11)-('Data Schema'!$C$3*(1+B990)^4-'Data Schema'!$C$3*(1+B990)^3)*$I$12)/(1+C990)^4+(('Data Schema'!$C$3*(1+B990)^5)*((1-$I$4-$I$5+E990)*(1-$I$10)+$I$6-$I$11)-('Data Schema'!$C$3*(1+B990)^5-'Data Schema'!$C$3*(1+B990)^4)*$I$12)/(1+C990)^5+((('Data Schema'!$C$3*(1+B990)^5)*((1-$I$4-$I$5+E990)*(1-$I$10)+$I$6-$I$11)-('Data Schema'!$C$3*(1+B990)^5-'Data Schema'!$C$3*(1+B990)^4)*$I$12)*(1+D990)/(C990-D990))/(1+C990)^5-'Data Schema'!$C$31+'Data Schema'!$C$21)/'Data Schema'!$B$17,0),"INVALID")</f>
        <v>115.53341081282439</v>
      </c>
      <c r="H990" s="189" t="b">
        <f t="shared" ca="1" si="114"/>
        <v>1</v>
      </c>
      <c r="I990" s="188">
        <f t="shared" ca="1" si="115"/>
        <v>115.53341081282439</v>
      </c>
      <c r="J990" s="349">
        <f t="shared" ca="1" si="108"/>
        <v>115.53341081282439</v>
      </c>
    </row>
    <row r="991" spans="1:10">
      <c r="A991" s="184">
        <v>812</v>
      </c>
      <c r="B991" s="190">
        <f t="shared" ca="1" si="109"/>
        <v>0.12018731886389508</v>
      </c>
      <c r="C991" s="190">
        <f t="shared" ca="1" si="110"/>
        <v>5.049668801201182E-2</v>
      </c>
      <c r="D991" s="190">
        <f t="shared" ca="1" si="111"/>
        <v>2.1354581154741328E-2</v>
      </c>
      <c r="E991" s="190">
        <f t="shared" ca="1" si="112"/>
        <v>1.5624952342710946E-2</v>
      </c>
      <c r="F991" s="189" t="b">
        <f t="shared" ca="1" si="113"/>
        <v>1</v>
      </c>
      <c r="G991" s="188">
        <f ca="1">IF(F991,IFERROR(((('Data Schema'!$C$3*(1+B991)^1)*((1-$I$4-$I$5+E991)*(1-$I$10)+$I$6-$I$11)-('Data Schema'!$C$3*(1+B991)^1-'Data Schema'!$C$3)*$I$12)/(1+C991)^1+(('Data Schema'!$C$3*(1+B991)^2)*((1-$I$4-$I$5+E991)*(1-$I$10)+$I$6-$I$11)-('Data Schema'!$C$3*(1+B991)^2-'Data Schema'!$C$3*(1+B991)^1)*$I$12)/(1+C991)^2+(('Data Schema'!$C$3*(1+B991)^3)*((1-$I$4-$I$5+E991)*(1-$I$10)+$I$6-$I$11)-('Data Schema'!$C$3*(1+B991)^3-'Data Schema'!$C$3*(1+B991)^2)*$I$12)/(1+C991)^3+(('Data Schema'!$C$3*(1+B991)^4)*((1-$I$4-$I$5+E991)*(1-$I$10)+$I$6-$I$11)-('Data Schema'!$C$3*(1+B991)^4-'Data Schema'!$C$3*(1+B991)^3)*$I$12)/(1+C991)^4+(('Data Schema'!$C$3*(1+B991)^5)*((1-$I$4-$I$5+E991)*(1-$I$10)+$I$6-$I$11)-('Data Schema'!$C$3*(1+B991)^5-'Data Schema'!$C$3*(1+B991)^4)*$I$12)/(1+C991)^5+((('Data Schema'!$C$3*(1+B991)^5)*((1-$I$4-$I$5+E991)*(1-$I$10)+$I$6-$I$11)-('Data Schema'!$C$3*(1+B991)^5-'Data Schema'!$C$3*(1+B991)^4)*$I$12)*(1+D991)/(C991-D991))/(1+C991)^5-'Data Schema'!$C$31+'Data Schema'!$C$21)/'Data Schema'!$B$17,0),"INVALID")</f>
        <v>171.08448220141622</v>
      </c>
      <c r="H991" s="189" t="b">
        <f t="shared" ca="1" si="114"/>
        <v>1</v>
      </c>
      <c r="I991" s="188">
        <f t="shared" ca="1" si="115"/>
        <v>171.08448220141622</v>
      </c>
      <c r="J991" s="349">
        <f t="shared" ca="1" si="108"/>
        <v>171.08448220141622</v>
      </c>
    </row>
    <row r="992" spans="1:10">
      <c r="A992" s="185">
        <v>813</v>
      </c>
      <c r="B992" s="190">
        <f t="shared" ca="1" si="109"/>
        <v>8.3607383162440152E-2</v>
      </c>
      <c r="C992" s="190">
        <f t="shared" ca="1" si="110"/>
        <v>5.9533406272539925E-2</v>
      </c>
      <c r="D992" s="190">
        <f t="shared" ca="1" si="111"/>
        <v>2.4641833626969128E-2</v>
      </c>
      <c r="E992" s="190">
        <f t="shared" ca="1" si="112"/>
        <v>1.2730614279826755E-2</v>
      </c>
      <c r="F992" s="189" t="b">
        <f t="shared" ca="1" si="113"/>
        <v>1</v>
      </c>
      <c r="G992" s="188">
        <f ca="1">IF(F992,IFERROR(((('Data Schema'!$C$3*(1+B992)^1)*((1-$I$4-$I$5+E992)*(1-$I$10)+$I$6-$I$11)-('Data Schema'!$C$3*(1+B992)^1-'Data Schema'!$C$3)*$I$12)/(1+C992)^1+(('Data Schema'!$C$3*(1+B992)^2)*((1-$I$4-$I$5+E992)*(1-$I$10)+$I$6-$I$11)-('Data Schema'!$C$3*(1+B992)^2-'Data Schema'!$C$3*(1+B992)^1)*$I$12)/(1+C992)^2+(('Data Schema'!$C$3*(1+B992)^3)*((1-$I$4-$I$5+E992)*(1-$I$10)+$I$6-$I$11)-('Data Schema'!$C$3*(1+B992)^3-'Data Schema'!$C$3*(1+B992)^2)*$I$12)/(1+C992)^3+(('Data Schema'!$C$3*(1+B992)^4)*((1-$I$4-$I$5+E992)*(1-$I$10)+$I$6-$I$11)-('Data Schema'!$C$3*(1+B992)^4-'Data Schema'!$C$3*(1+B992)^3)*$I$12)/(1+C992)^4+(('Data Schema'!$C$3*(1+B992)^5)*((1-$I$4-$I$5+E992)*(1-$I$10)+$I$6-$I$11)-('Data Schema'!$C$3*(1+B992)^5-'Data Schema'!$C$3*(1+B992)^4)*$I$12)/(1+C992)^5+((('Data Schema'!$C$3*(1+B992)^5)*((1-$I$4-$I$5+E992)*(1-$I$10)+$I$6-$I$11)-('Data Schema'!$C$3*(1+B992)^5-'Data Schema'!$C$3*(1+B992)^4)*$I$12)*(1+D992)/(C992-D992))/(1+C992)^5-'Data Schema'!$C$31+'Data Schema'!$C$21)/'Data Schema'!$B$17,0),"INVALID")</f>
        <v>112.72771723109372</v>
      </c>
      <c r="H992" s="189" t="b">
        <f t="shared" ca="1" si="114"/>
        <v>1</v>
      </c>
      <c r="I992" s="188">
        <f t="shared" ca="1" si="115"/>
        <v>112.72771723109372</v>
      </c>
      <c r="J992" s="349">
        <f t="shared" ca="1" si="108"/>
        <v>112.72771723109372</v>
      </c>
    </row>
    <row r="993" spans="1:10">
      <c r="A993" s="184">
        <v>814</v>
      </c>
      <c r="B993" s="190">
        <f t="shared" ca="1" si="109"/>
        <v>0.10036494019347154</v>
      </c>
      <c r="C993" s="190">
        <f t="shared" ca="1" si="110"/>
        <v>5.0775684995259758E-2</v>
      </c>
      <c r="D993" s="190">
        <f t="shared" ca="1" si="111"/>
        <v>2.8432042467625492E-2</v>
      </c>
      <c r="E993" s="190">
        <f t="shared" ca="1" si="112"/>
        <v>4.670387465907506E-3</v>
      </c>
      <c r="F993" s="189" t="b">
        <f t="shared" ca="1" si="113"/>
        <v>1</v>
      </c>
      <c r="G993" s="188">
        <f ca="1">IF(F993,IFERROR(((('Data Schema'!$C$3*(1+B993)^1)*((1-$I$4-$I$5+E993)*(1-$I$10)+$I$6-$I$11)-('Data Schema'!$C$3*(1+B993)^1-'Data Schema'!$C$3)*$I$12)/(1+C993)^1+(('Data Schema'!$C$3*(1+B993)^2)*((1-$I$4-$I$5+E993)*(1-$I$10)+$I$6-$I$11)-('Data Schema'!$C$3*(1+B993)^2-'Data Schema'!$C$3*(1+B993)^1)*$I$12)/(1+C993)^2+(('Data Schema'!$C$3*(1+B993)^3)*((1-$I$4-$I$5+E993)*(1-$I$10)+$I$6-$I$11)-('Data Schema'!$C$3*(1+B993)^3-'Data Schema'!$C$3*(1+B993)^2)*$I$12)/(1+C993)^3+(('Data Schema'!$C$3*(1+B993)^4)*((1-$I$4-$I$5+E993)*(1-$I$10)+$I$6-$I$11)-('Data Schema'!$C$3*(1+B993)^4-'Data Schema'!$C$3*(1+B993)^3)*$I$12)/(1+C993)^4+(('Data Schema'!$C$3*(1+B993)^5)*((1-$I$4-$I$5+E993)*(1-$I$10)+$I$6-$I$11)-('Data Schema'!$C$3*(1+B993)^5-'Data Schema'!$C$3*(1+B993)^4)*$I$12)/(1+C993)^5+((('Data Schema'!$C$3*(1+B993)^5)*((1-$I$4-$I$5+E993)*(1-$I$10)+$I$6-$I$11)-('Data Schema'!$C$3*(1+B993)^5-'Data Schema'!$C$3*(1+B993)^4)*$I$12)*(1+D993)/(C993-D993))/(1+C993)^5-'Data Schema'!$C$31+'Data Schema'!$C$21)/'Data Schema'!$B$17,0),"INVALID")</f>
        <v>156.84084656684496</v>
      </c>
      <c r="H993" s="189" t="b">
        <f t="shared" ca="1" si="114"/>
        <v>1</v>
      </c>
      <c r="I993" s="188">
        <f t="shared" ca="1" si="115"/>
        <v>156.84084656684496</v>
      </c>
      <c r="J993" s="349">
        <f t="shared" ca="1" si="108"/>
        <v>156.84084656684496</v>
      </c>
    </row>
    <row r="994" spans="1:10">
      <c r="A994" s="185">
        <v>815</v>
      </c>
      <c r="B994" s="190">
        <f t="shared" ca="1" si="109"/>
        <v>9.0959886714234411E-2</v>
      </c>
      <c r="C994" s="190">
        <f t="shared" ca="1" si="110"/>
        <v>5.5185061495185643E-2</v>
      </c>
      <c r="D994" s="190">
        <f t="shared" ca="1" si="111"/>
        <v>1.6131444883717462E-2</v>
      </c>
      <c r="E994" s="190">
        <f t="shared" ca="1" si="112"/>
        <v>8.4602644470276739E-3</v>
      </c>
      <c r="F994" s="189" t="b">
        <f t="shared" ca="1" si="113"/>
        <v>1</v>
      </c>
      <c r="G994" s="188">
        <f ca="1">IF(F994,IFERROR(((('Data Schema'!$C$3*(1+B994)^1)*((1-$I$4-$I$5+E994)*(1-$I$10)+$I$6-$I$11)-('Data Schema'!$C$3*(1+B994)^1-'Data Schema'!$C$3)*$I$12)/(1+C994)^1+(('Data Schema'!$C$3*(1+B994)^2)*((1-$I$4-$I$5+E994)*(1-$I$10)+$I$6-$I$11)-('Data Schema'!$C$3*(1+B994)^2-'Data Schema'!$C$3*(1+B994)^1)*$I$12)/(1+C994)^2+(('Data Schema'!$C$3*(1+B994)^3)*((1-$I$4-$I$5+E994)*(1-$I$10)+$I$6-$I$11)-('Data Schema'!$C$3*(1+B994)^3-'Data Schema'!$C$3*(1+B994)^2)*$I$12)/(1+C994)^3+(('Data Schema'!$C$3*(1+B994)^4)*((1-$I$4-$I$5+E994)*(1-$I$10)+$I$6-$I$11)-('Data Schema'!$C$3*(1+B994)^4-'Data Schema'!$C$3*(1+B994)^3)*$I$12)/(1+C994)^4+(('Data Schema'!$C$3*(1+B994)^5)*((1-$I$4-$I$5+E994)*(1-$I$10)+$I$6-$I$11)-('Data Schema'!$C$3*(1+B994)^5-'Data Schema'!$C$3*(1+B994)^4)*$I$12)/(1+C994)^5+((('Data Schema'!$C$3*(1+B994)^5)*((1-$I$4-$I$5+E994)*(1-$I$10)+$I$6-$I$11)-('Data Schema'!$C$3*(1+B994)^5-'Data Schema'!$C$3*(1+B994)^4)*$I$12)*(1+D994)/(C994-D994))/(1+C994)^5-'Data Schema'!$C$31+'Data Schema'!$C$21)/'Data Schema'!$B$17,0),"INVALID")</f>
        <v>95.925225552028806</v>
      </c>
      <c r="H994" s="189" t="b">
        <f t="shared" ca="1" si="114"/>
        <v>1</v>
      </c>
      <c r="I994" s="188">
        <f t="shared" ca="1" si="115"/>
        <v>95.925225552028806</v>
      </c>
      <c r="J994" s="349">
        <f t="shared" ca="1" si="108"/>
        <v>95.925225552028806</v>
      </c>
    </row>
    <row r="995" spans="1:10">
      <c r="A995" s="184">
        <v>816</v>
      </c>
      <c r="B995" s="190">
        <f t="shared" ca="1" si="109"/>
        <v>8.898385958079448E-2</v>
      </c>
      <c r="C995" s="190">
        <f t="shared" ca="1" si="110"/>
        <v>5.7111090126246544E-2</v>
      </c>
      <c r="D995" s="190">
        <f t="shared" ca="1" si="111"/>
        <v>3.5447562615789838E-2</v>
      </c>
      <c r="E995" s="190">
        <f t="shared" ca="1" si="112"/>
        <v>-1.3629359995820821E-2</v>
      </c>
      <c r="F995" s="189" t="b">
        <f t="shared" ca="1" si="113"/>
        <v>1</v>
      </c>
      <c r="G995" s="188">
        <f ca="1">IF(F995,IFERROR(((('Data Schema'!$C$3*(1+B995)^1)*((1-$I$4-$I$5+E995)*(1-$I$10)+$I$6-$I$11)-('Data Schema'!$C$3*(1+B995)^1-'Data Schema'!$C$3)*$I$12)/(1+C995)^1+(('Data Schema'!$C$3*(1+B995)^2)*((1-$I$4-$I$5+E995)*(1-$I$10)+$I$6-$I$11)-('Data Schema'!$C$3*(1+B995)^2-'Data Schema'!$C$3*(1+B995)^1)*$I$12)/(1+C995)^2+(('Data Schema'!$C$3*(1+B995)^3)*((1-$I$4-$I$5+E995)*(1-$I$10)+$I$6-$I$11)-('Data Schema'!$C$3*(1+B995)^3-'Data Schema'!$C$3*(1+B995)^2)*$I$12)/(1+C995)^3+(('Data Schema'!$C$3*(1+B995)^4)*((1-$I$4-$I$5+E995)*(1-$I$10)+$I$6-$I$11)-('Data Schema'!$C$3*(1+B995)^4-'Data Schema'!$C$3*(1+B995)^3)*$I$12)/(1+C995)^4+(('Data Schema'!$C$3*(1+B995)^5)*((1-$I$4-$I$5+E995)*(1-$I$10)+$I$6-$I$11)-('Data Schema'!$C$3*(1+B995)^5-'Data Schema'!$C$3*(1+B995)^4)*$I$12)/(1+C995)^5+((('Data Schema'!$C$3*(1+B995)^5)*((1-$I$4-$I$5+E995)*(1-$I$10)+$I$6-$I$11)-('Data Schema'!$C$3*(1+B995)^5-'Data Schema'!$C$3*(1+B995)^4)*$I$12)*(1+D995)/(C995-D995))/(1+C995)^5-'Data Schema'!$C$31+'Data Schema'!$C$21)/'Data Schema'!$B$17,0),"INVALID")</f>
        <v>76.344747686928898</v>
      </c>
      <c r="H995" s="189" t="b">
        <f t="shared" ca="1" si="114"/>
        <v>1</v>
      </c>
      <c r="I995" s="188">
        <f t="shared" ca="1" si="115"/>
        <v>76.344747686928898</v>
      </c>
      <c r="J995" s="349">
        <f t="shared" ca="1" si="108"/>
        <v>76.344747686928898</v>
      </c>
    </row>
    <row r="996" spans="1:10">
      <c r="A996" s="185">
        <v>817</v>
      </c>
      <c r="B996" s="190">
        <f t="shared" ca="1" si="109"/>
        <v>0.11206325177867064</v>
      </c>
      <c r="C996" s="190">
        <f t="shared" ca="1" si="110"/>
        <v>4.7062664268348431E-2</v>
      </c>
      <c r="D996" s="190">
        <f t="shared" ca="1" si="111"/>
        <v>1.3001217721213073E-2</v>
      </c>
      <c r="E996" s="190">
        <f t="shared" ca="1" si="112"/>
        <v>-2.9185829654776164E-2</v>
      </c>
      <c r="F996" s="189" t="b">
        <f t="shared" ca="1" si="113"/>
        <v>1</v>
      </c>
      <c r="G996" s="188">
        <f ca="1">IF(F996,IFERROR(((('Data Schema'!$C$3*(1+B996)^1)*((1-$I$4-$I$5+E996)*(1-$I$10)+$I$6-$I$11)-('Data Schema'!$C$3*(1+B996)^1-'Data Schema'!$C$3)*$I$12)/(1+C996)^1+(('Data Schema'!$C$3*(1+B996)^2)*((1-$I$4-$I$5+E996)*(1-$I$10)+$I$6-$I$11)-('Data Schema'!$C$3*(1+B996)^2-'Data Schema'!$C$3*(1+B996)^1)*$I$12)/(1+C996)^2+(('Data Schema'!$C$3*(1+B996)^3)*((1-$I$4-$I$5+E996)*(1-$I$10)+$I$6-$I$11)-('Data Schema'!$C$3*(1+B996)^3-'Data Schema'!$C$3*(1+B996)^2)*$I$12)/(1+C996)^3+(('Data Schema'!$C$3*(1+B996)^4)*((1-$I$4-$I$5+E996)*(1-$I$10)+$I$6-$I$11)-('Data Schema'!$C$3*(1+B996)^4-'Data Schema'!$C$3*(1+B996)^3)*$I$12)/(1+C996)^4+(('Data Schema'!$C$3*(1+B996)^5)*((1-$I$4-$I$5+E996)*(1-$I$10)+$I$6-$I$11)-('Data Schema'!$C$3*(1+B996)^5-'Data Schema'!$C$3*(1+B996)^4)*$I$12)/(1+C996)^5+((('Data Schema'!$C$3*(1+B996)^5)*((1-$I$4-$I$5+E996)*(1-$I$10)+$I$6-$I$11)-('Data Schema'!$C$3*(1+B996)^5-'Data Schema'!$C$3*(1+B996)^4)*$I$12)*(1+D996)/(C996-D996))/(1+C996)^5-'Data Schema'!$C$31+'Data Schema'!$C$21)/'Data Schema'!$B$17,0),"INVALID")</f>
        <v>6.7138007229839873</v>
      </c>
      <c r="H996" s="189" t="b">
        <f t="shared" ca="1" si="114"/>
        <v>0</v>
      </c>
      <c r="I996" s="188" t="str">
        <f t="shared" ca="1" si="115"/>
        <v/>
      </c>
      <c r="J996" s="349" t="str">
        <f t="shared" ca="1" si="108"/>
        <v/>
      </c>
    </row>
    <row r="997" spans="1:10">
      <c r="A997" s="184">
        <v>818</v>
      </c>
      <c r="B997" s="190">
        <f t="shared" ca="1" si="109"/>
        <v>0.10142211322991176</v>
      </c>
      <c r="C997" s="190">
        <f t="shared" ca="1" si="110"/>
        <v>6.6635714937260171E-2</v>
      </c>
      <c r="D997" s="190">
        <f t="shared" ca="1" si="111"/>
        <v>1.5804955167096128E-2</v>
      </c>
      <c r="E997" s="190">
        <f t="shared" ca="1" si="112"/>
        <v>-1.5757986295783739E-2</v>
      </c>
      <c r="F997" s="189" t="b">
        <f t="shared" ca="1" si="113"/>
        <v>1</v>
      </c>
      <c r="G997" s="188">
        <f ca="1">IF(F997,IFERROR(((('Data Schema'!$C$3*(1+B997)^1)*((1-$I$4-$I$5+E997)*(1-$I$10)+$I$6-$I$11)-('Data Schema'!$C$3*(1+B997)^1-'Data Schema'!$C$3)*$I$12)/(1+C997)^1+(('Data Schema'!$C$3*(1+B997)^2)*((1-$I$4-$I$5+E997)*(1-$I$10)+$I$6-$I$11)-('Data Schema'!$C$3*(1+B997)^2-'Data Schema'!$C$3*(1+B997)^1)*$I$12)/(1+C997)^2+(('Data Schema'!$C$3*(1+B997)^3)*((1-$I$4-$I$5+E997)*(1-$I$10)+$I$6-$I$11)-('Data Schema'!$C$3*(1+B997)^3-'Data Schema'!$C$3*(1+B997)^2)*$I$12)/(1+C997)^3+(('Data Schema'!$C$3*(1+B997)^4)*((1-$I$4-$I$5+E997)*(1-$I$10)+$I$6-$I$11)-('Data Schema'!$C$3*(1+B997)^4-'Data Schema'!$C$3*(1+B997)^3)*$I$12)/(1+C997)^4+(('Data Schema'!$C$3*(1+B997)^5)*((1-$I$4-$I$5+E997)*(1-$I$10)+$I$6-$I$11)-('Data Schema'!$C$3*(1+B997)^5-'Data Schema'!$C$3*(1+B997)^4)*$I$12)/(1+C997)^5+((('Data Schema'!$C$3*(1+B997)^5)*((1-$I$4-$I$5+E997)*(1-$I$10)+$I$6-$I$11)-('Data Schema'!$C$3*(1+B997)^5-'Data Schema'!$C$3*(1+B997)^4)*$I$12)*(1+D997)/(C997-D997))/(1+C997)^5-'Data Schema'!$C$31+'Data Schema'!$C$21)/'Data Schema'!$B$17,0),"INVALID")</f>
        <v>27.977513398666797</v>
      </c>
      <c r="H997" s="189" t="b">
        <f t="shared" ca="1" si="114"/>
        <v>1</v>
      </c>
      <c r="I997" s="188">
        <f t="shared" ca="1" si="115"/>
        <v>27.977513398666797</v>
      </c>
      <c r="J997" s="349">
        <f t="shared" ca="1" si="108"/>
        <v>27.977513398666797</v>
      </c>
    </row>
    <row r="998" spans="1:10">
      <c r="A998" s="185">
        <v>819</v>
      </c>
      <c r="B998" s="190">
        <f t="shared" ca="1" si="109"/>
        <v>7.2523710163312383E-2</v>
      </c>
      <c r="C998" s="190">
        <f t="shared" ca="1" si="110"/>
        <v>4.7419748049083443E-2</v>
      </c>
      <c r="D998" s="190">
        <f t="shared" ca="1" si="111"/>
        <v>1.6309138556238945E-2</v>
      </c>
      <c r="E998" s="190">
        <f t="shared" ca="1" si="112"/>
        <v>1.3530408669171335E-2</v>
      </c>
      <c r="F998" s="189" t="b">
        <f t="shared" ca="1" si="113"/>
        <v>1</v>
      </c>
      <c r="G998" s="188">
        <f ca="1">IF(F998,IFERROR(((('Data Schema'!$C$3*(1+B998)^1)*((1-$I$4-$I$5+E998)*(1-$I$10)+$I$6-$I$11)-('Data Schema'!$C$3*(1+B998)^1-'Data Schema'!$C$3)*$I$12)/(1+C998)^1+(('Data Schema'!$C$3*(1+B998)^2)*((1-$I$4-$I$5+E998)*(1-$I$10)+$I$6-$I$11)-('Data Schema'!$C$3*(1+B998)^2-'Data Schema'!$C$3*(1+B998)^1)*$I$12)/(1+C998)^2+(('Data Schema'!$C$3*(1+B998)^3)*((1-$I$4-$I$5+E998)*(1-$I$10)+$I$6-$I$11)-('Data Schema'!$C$3*(1+B998)^3-'Data Schema'!$C$3*(1+B998)^2)*$I$12)/(1+C998)^3+(('Data Schema'!$C$3*(1+B998)^4)*((1-$I$4-$I$5+E998)*(1-$I$10)+$I$6-$I$11)-('Data Schema'!$C$3*(1+B998)^4-'Data Schema'!$C$3*(1+B998)^3)*$I$12)/(1+C998)^4+(('Data Schema'!$C$3*(1+B998)^5)*((1-$I$4-$I$5+E998)*(1-$I$10)+$I$6-$I$11)-('Data Schema'!$C$3*(1+B998)^5-'Data Schema'!$C$3*(1+B998)^4)*$I$12)/(1+C998)^5+((('Data Schema'!$C$3*(1+B998)^5)*((1-$I$4-$I$5+E998)*(1-$I$10)+$I$6-$I$11)-('Data Schema'!$C$3*(1+B998)^5-'Data Schema'!$C$3*(1+B998)^4)*$I$12)*(1+D998)/(C998-D998))/(1+C998)^5-'Data Schema'!$C$31+'Data Schema'!$C$21)/'Data Schema'!$B$17,0),"INVALID")</f>
        <v>128.02830455009595</v>
      </c>
      <c r="H998" s="189" t="b">
        <f t="shared" ca="1" si="114"/>
        <v>1</v>
      </c>
      <c r="I998" s="188">
        <f t="shared" ca="1" si="115"/>
        <v>128.02830455009595</v>
      </c>
      <c r="J998" s="349">
        <f t="shared" ca="1" si="108"/>
        <v>128.02830455009595</v>
      </c>
    </row>
    <row r="999" spans="1:10">
      <c r="A999" s="184">
        <v>820</v>
      </c>
      <c r="B999" s="190">
        <f t="shared" ca="1" si="109"/>
        <v>0.10625488176878595</v>
      </c>
      <c r="C999" s="190">
        <f t="shared" ca="1" si="110"/>
        <v>5.3531050060178227E-2</v>
      </c>
      <c r="D999" s="190">
        <f t="shared" ca="1" si="111"/>
        <v>2.6797681242450744E-2</v>
      </c>
      <c r="E999" s="190">
        <f t="shared" ca="1" si="112"/>
        <v>2.5548307213416738E-2</v>
      </c>
      <c r="F999" s="189" t="b">
        <f t="shared" ca="1" si="113"/>
        <v>1</v>
      </c>
      <c r="G999" s="188">
        <f ca="1">IF(F999,IFERROR(((('Data Schema'!$C$3*(1+B999)^1)*((1-$I$4-$I$5+E999)*(1-$I$10)+$I$6-$I$11)-('Data Schema'!$C$3*(1+B999)^1-'Data Schema'!$C$3)*$I$12)/(1+C999)^1+(('Data Schema'!$C$3*(1+B999)^2)*((1-$I$4-$I$5+E999)*(1-$I$10)+$I$6-$I$11)-('Data Schema'!$C$3*(1+B999)^2-'Data Schema'!$C$3*(1+B999)^1)*$I$12)/(1+C999)^2+(('Data Schema'!$C$3*(1+B999)^3)*((1-$I$4-$I$5+E999)*(1-$I$10)+$I$6-$I$11)-('Data Schema'!$C$3*(1+B999)^3-'Data Schema'!$C$3*(1+B999)^2)*$I$12)/(1+C999)^3+(('Data Schema'!$C$3*(1+B999)^4)*((1-$I$4-$I$5+E999)*(1-$I$10)+$I$6-$I$11)-('Data Schema'!$C$3*(1+B999)^4-'Data Schema'!$C$3*(1+B999)^3)*$I$12)/(1+C999)^4+(('Data Schema'!$C$3*(1+B999)^5)*((1-$I$4-$I$5+E999)*(1-$I$10)+$I$6-$I$11)-('Data Schema'!$C$3*(1+B999)^5-'Data Schema'!$C$3*(1+B999)^4)*$I$12)/(1+C999)^5+((('Data Schema'!$C$3*(1+B999)^5)*((1-$I$4-$I$5+E999)*(1-$I$10)+$I$6-$I$11)-('Data Schema'!$C$3*(1+B999)^5-'Data Schema'!$C$3*(1+B999)^4)*$I$12)*(1+D999)/(C999-D999))/(1+C999)^5-'Data Schema'!$C$31+'Data Schema'!$C$21)/'Data Schema'!$B$17,0),"INVALID")</f>
        <v>209.85263579781599</v>
      </c>
      <c r="H999" s="189" t="b">
        <f t="shared" ca="1" si="114"/>
        <v>1</v>
      </c>
      <c r="I999" s="188">
        <f t="shared" ca="1" si="115"/>
        <v>209.85263579781599</v>
      </c>
      <c r="J999" s="349">
        <f t="shared" ca="1" si="108"/>
        <v>209.85263579781599</v>
      </c>
    </row>
    <row r="1000" spans="1:10">
      <c r="A1000" s="185">
        <v>821</v>
      </c>
      <c r="B1000" s="190">
        <f t="shared" ca="1" si="109"/>
        <v>0.12404000492970534</v>
      </c>
      <c r="C1000" s="190">
        <f t="shared" ca="1" si="110"/>
        <v>4.9928149651139855E-2</v>
      </c>
      <c r="D1000" s="190">
        <f t="shared" ca="1" si="111"/>
        <v>1.8902108727541854E-2</v>
      </c>
      <c r="E1000" s="190">
        <f t="shared" ca="1" si="112"/>
        <v>-8.1710933673448637E-3</v>
      </c>
      <c r="F1000" s="189" t="b">
        <f t="shared" ca="1" si="113"/>
        <v>1</v>
      </c>
      <c r="G1000" s="188">
        <f ca="1">IF(F1000,IFERROR(((('Data Schema'!$C$3*(1+B1000)^1)*((1-$I$4-$I$5+E1000)*(1-$I$10)+$I$6-$I$11)-('Data Schema'!$C$3*(1+B1000)^1-'Data Schema'!$C$3)*$I$12)/(1+C1000)^1+(('Data Schema'!$C$3*(1+B1000)^2)*((1-$I$4-$I$5+E1000)*(1-$I$10)+$I$6-$I$11)-('Data Schema'!$C$3*(1+B1000)^2-'Data Schema'!$C$3*(1+B1000)^1)*$I$12)/(1+C1000)^2+(('Data Schema'!$C$3*(1+B1000)^3)*((1-$I$4-$I$5+E1000)*(1-$I$10)+$I$6-$I$11)-('Data Schema'!$C$3*(1+B1000)^3-'Data Schema'!$C$3*(1+B1000)^2)*$I$12)/(1+C1000)^3+(('Data Schema'!$C$3*(1+B1000)^4)*((1-$I$4-$I$5+E1000)*(1-$I$10)+$I$6-$I$11)-('Data Schema'!$C$3*(1+B1000)^4-'Data Schema'!$C$3*(1+B1000)^3)*$I$12)/(1+C1000)^4+(('Data Schema'!$C$3*(1+B1000)^5)*((1-$I$4-$I$5+E1000)*(1-$I$10)+$I$6-$I$11)-('Data Schema'!$C$3*(1+B1000)^5-'Data Schema'!$C$3*(1+B1000)^4)*$I$12)/(1+C1000)^5+((('Data Schema'!$C$3*(1+B1000)^5)*((1-$I$4-$I$5+E1000)*(1-$I$10)+$I$6-$I$11)-('Data Schema'!$C$3*(1+B1000)^5-'Data Schema'!$C$3*(1+B1000)^4)*$I$12)*(1+D1000)/(C1000-D1000))/(1+C1000)^5-'Data Schema'!$C$31+'Data Schema'!$C$21)/'Data Schema'!$B$17,0),"INVALID")</f>
        <v>81.002357873644328</v>
      </c>
      <c r="H1000" s="189" t="b">
        <f t="shared" ca="1" si="114"/>
        <v>1</v>
      </c>
      <c r="I1000" s="188">
        <f t="shared" ca="1" si="115"/>
        <v>81.002357873644328</v>
      </c>
      <c r="J1000" s="349">
        <f t="shared" ca="1" si="108"/>
        <v>81.002357873644328</v>
      </c>
    </row>
    <row r="1001" spans="1:10">
      <c r="A1001" s="184">
        <v>822</v>
      </c>
      <c r="B1001" s="190">
        <f t="shared" ca="1" si="109"/>
        <v>0.12223471166478594</v>
      </c>
      <c r="C1001" s="190">
        <f t="shared" ca="1" si="110"/>
        <v>6.436489034871927E-2</v>
      </c>
      <c r="D1001" s="190">
        <f t="shared" ca="1" si="111"/>
        <v>2.6340651506705254E-2</v>
      </c>
      <c r="E1001" s="190">
        <f t="shared" ca="1" si="112"/>
        <v>-2.1554990643390566E-2</v>
      </c>
      <c r="F1001" s="189" t="b">
        <f t="shared" ca="1" si="113"/>
        <v>1</v>
      </c>
      <c r="G1001" s="188">
        <f ca="1">IF(F1001,IFERROR(((('Data Schema'!$C$3*(1+B1001)^1)*((1-$I$4-$I$5+E1001)*(1-$I$10)+$I$6-$I$11)-('Data Schema'!$C$3*(1+B1001)^1-'Data Schema'!$C$3)*$I$12)/(1+C1001)^1+(('Data Schema'!$C$3*(1+B1001)^2)*((1-$I$4-$I$5+E1001)*(1-$I$10)+$I$6-$I$11)-('Data Schema'!$C$3*(1+B1001)^2-'Data Schema'!$C$3*(1+B1001)^1)*$I$12)/(1+C1001)^2+(('Data Schema'!$C$3*(1+B1001)^3)*((1-$I$4-$I$5+E1001)*(1-$I$10)+$I$6-$I$11)-('Data Schema'!$C$3*(1+B1001)^3-'Data Schema'!$C$3*(1+B1001)^2)*$I$12)/(1+C1001)^3+(('Data Schema'!$C$3*(1+B1001)^4)*((1-$I$4-$I$5+E1001)*(1-$I$10)+$I$6-$I$11)-('Data Schema'!$C$3*(1+B1001)^4-'Data Schema'!$C$3*(1+B1001)^3)*$I$12)/(1+C1001)^4+(('Data Schema'!$C$3*(1+B1001)^5)*((1-$I$4-$I$5+E1001)*(1-$I$10)+$I$6-$I$11)-('Data Schema'!$C$3*(1+B1001)^5-'Data Schema'!$C$3*(1+B1001)^4)*$I$12)/(1+C1001)^5+((('Data Schema'!$C$3*(1+B1001)^5)*((1-$I$4-$I$5+E1001)*(1-$I$10)+$I$6-$I$11)-('Data Schema'!$C$3*(1+B1001)^5-'Data Schema'!$C$3*(1+B1001)^4)*$I$12)*(1+D1001)/(C1001-D1001))/(1+C1001)^5-'Data Schema'!$C$31+'Data Schema'!$C$21)/'Data Schema'!$B$17,0),"INVALID")</f>
        <v>25.47161452726429</v>
      </c>
      <c r="H1001" s="189" t="b">
        <f t="shared" ca="1" si="114"/>
        <v>1</v>
      </c>
      <c r="I1001" s="188">
        <f t="shared" ca="1" si="115"/>
        <v>25.47161452726429</v>
      </c>
      <c r="J1001" s="349">
        <f t="shared" ca="1" si="108"/>
        <v>25.47161452726429</v>
      </c>
    </row>
    <row r="1002" spans="1:10">
      <c r="A1002" s="185">
        <v>823</v>
      </c>
      <c r="B1002" s="190">
        <f t="shared" ca="1" si="109"/>
        <v>8.3033079024336154E-2</v>
      </c>
      <c r="C1002" s="190">
        <f t="shared" ca="1" si="110"/>
        <v>7.5934090198116408E-2</v>
      </c>
      <c r="D1002" s="190">
        <f t="shared" ca="1" si="111"/>
        <v>2.1821260061747703E-2</v>
      </c>
      <c r="E1002" s="190">
        <f t="shared" ca="1" si="112"/>
        <v>1.9506427904006382E-4</v>
      </c>
      <c r="F1002" s="189" t="b">
        <f t="shared" ca="1" si="113"/>
        <v>1</v>
      </c>
      <c r="G1002" s="188">
        <f ca="1">IF(F1002,IFERROR(((('Data Schema'!$C$3*(1+B1002)^1)*((1-$I$4-$I$5+E1002)*(1-$I$10)+$I$6-$I$11)-('Data Schema'!$C$3*(1+B1002)^1-'Data Schema'!$C$3)*$I$12)/(1+C1002)^1+(('Data Schema'!$C$3*(1+B1002)^2)*((1-$I$4-$I$5+E1002)*(1-$I$10)+$I$6-$I$11)-('Data Schema'!$C$3*(1+B1002)^2-'Data Schema'!$C$3*(1+B1002)^1)*$I$12)/(1+C1002)^2+(('Data Schema'!$C$3*(1+B1002)^3)*((1-$I$4-$I$5+E1002)*(1-$I$10)+$I$6-$I$11)-('Data Schema'!$C$3*(1+B1002)^3-'Data Schema'!$C$3*(1+B1002)^2)*$I$12)/(1+C1002)^3+(('Data Schema'!$C$3*(1+B1002)^4)*((1-$I$4-$I$5+E1002)*(1-$I$10)+$I$6-$I$11)-('Data Schema'!$C$3*(1+B1002)^4-'Data Schema'!$C$3*(1+B1002)^3)*$I$12)/(1+C1002)^4+(('Data Schema'!$C$3*(1+B1002)^5)*((1-$I$4-$I$5+E1002)*(1-$I$10)+$I$6-$I$11)-('Data Schema'!$C$3*(1+B1002)^5-'Data Schema'!$C$3*(1+B1002)^4)*$I$12)/(1+C1002)^5+((('Data Schema'!$C$3*(1+B1002)^5)*((1-$I$4-$I$5+E1002)*(1-$I$10)+$I$6-$I$11)-('Data Schema'!$C$3*(1+B1002)^5-'Data Schema'!$C$3*(1+B1002)^4)*$I$12)*(1+D1002)/(C1002-D1002))/(1+C1002)^5-'Data Schema'!$C$31+'Data Schema'!$C$21)/'Data Schema'!$B$17,0),"INVALID")</f>
        <v>49.567350939348472</v>
      </c>
      <c r="H1002" s="189" t="b">
        <f t="shared" ca="1" si="114"/>
        <v>1</v>
      </c>
      <c r="I1002" s="188">
        <f t="shared" ca="1" si="115"/>
        <v>49.567350939348472</v>
      </c>
      <c r="J1002" s="349">
        <f t="shared" ca="1" si="108"/>
        <v>49.567350939348472</v>
      </c>
    </row>
    <row r="1003" spans="1:10">
      <c r="A1003" s="184">
        <v>824</v>
      </c>
      <c r="B1003" s="190">
        <f t="shared" ca="1" si="109"/>
        <v>8.8397150318331688E-2</v>
      </c>
      <c r="C1003" s="190">
        <f t="shared" ca="1" si="110"/>
        <v>4.930622618235124E-2</v>
      </c>
      <c r="D1003" s="190">
        <f t="shared" ca="1" si="111"/>
        <v>2.300753996964091E-2</v>
      </c>
      <c r="E1003" s="190">
        <f t="shared" ca="1" si="112"/>
        <v>-2.4621604887961075E-2</v>
      </c>
      <c r="F1003" s="189" t="b">
        <f t="shared" ca="1" si="113"/>
        <v>1</v>
      </c>
      <c r="G1003" s="188">
        <f ca="1">IF(F1003,IFERROR(((('Data Schema'!$C$3*(1+B1003)^1)*((1-$I$4-$I$5+E1003)*(1-$I$10)+$I$6-$I$11)-('Data Schema'!$C$3*(1+B1003)^1-'Data Schema'!$C$3)*$I$12)/(1+C1003)^1+(('Data Schema'!$C$3*(1+B1003)^2)*((1-$I$4-$I$5+E1003)*(1-$I$10)+$I$6-$I$11)-('Data Schema'!$C$3*(1+B1003)^2-'Data Schema'!$C$3*(1+B1003)^1)*$I$12)/(1+C1003)^2+(('Data Schema'!$C$3*(1+B1003)^3)*((1-$I$4-$I$5+E1003)*(1-$I$10)+$I$6-$I$11)-('Data Schema'!$C$3*(1+B1003)^3-'Data Schema'!$C$3*(1+B1003)^2)*$I$12)/(1+C1003)^3+(('Data Schema'!$C$3*(1+B1003)^4)*((1-$I$4-$I$5+E1003)*(1-$I$10)+$I$6-$I$11)-('Data Schema'!$C$3*(1+B1003)^4-'Data Schema'!$C$3*(1+B1003)^3)*$I$12)/(1+C1003)^4+(('Data Schema'!$C$3*(1+B1003)^5)*((1-$I$4-$I$5+E1003)*(1-$I$10)+$I$6-$I$11)-('Data Schema'!$C$3*(1+B1003)^5-'Data Schema'!$C$3*(1+B1003)^4)*$I$12)/(1+C1003)^5+((('Data Schema'!$C$3*(1+B1003)^5)*((1-$I$4-$I$5+E1003)*(1-$I$10)+$I$6-$I$11)-('Data Schema'!$C$3*(1+B1003)^5-'Data Schema'!$C$3*(1+B1003)^4)*$I$12)*(1+D1003)/(C1003-D1003))/(1+C1003)^5-'Data Schema'!$C$31+'Data Schema'!$C$21)/'Data Schema'!$B$17,0),"INVALID")</f>
        <v>26.256891487480296</v>
      </c>
      <c r="H1003" s="189" t="b">
        <f t="shared" ca="1" si="114"/>
        <v>1</v>
      </c>
      <c r="I1003" s="188">
        <f t="shared" ca="1" si="115"/>
        <v>26.256891487480296</v>
      </c>
      <c r="J1003" s="349">
        <f t="shared" ca="1" si="108"/>
        <v>26.256891487480296</v>
      </c>
    </row>
    <row r="1004" spans="1:10">
      <c r="A1004" s="185">
        <v>825</v>
      </c>
      <c r="B1004" s="190">
        <f t="shared" ca="1" si="109"/>
        <v>0.11213576144271509</v>
      </c>
      <c r="C1004" s="190">
        <f t="shared" ca="1" si="110"/>
        <v>6.7371102062304553E-2</v>
      </c>
      <c r="D1004" s="190">
        <f t="shared" ca="1" si="111"/>
        <v>2.5254504642149213E-2</v>
      </c>
      <c r="E1004" s="190">
        <f t="shared" ca="1" si="112"/>
        <v>7.2584442135061288E-3</v>
      </c>
      <c r="F1004" s="189" t="b">
        <f t="shared" ca="1" si="113"/>
        <v>1</v>
      </c>
      <c r="G1004" s="188">
        <f ca="1">IF(F1004,IFERROR(((('Data Schema'!$C$3*(1+B1004)^1)*((1-$I$4-$I$5+E1004)*(1-$I$10)+$I$6-$I$11)-('Data Schema'!$C$3*(1+B1004)^1-'Data Schema'!$C$3)*$I$12)/(1+C1004)^1+(('Data Schema'!$C$3*(1+B1004)^2)*((1-$I$4-$I$5+E1004)*(1-$I$10)+$I$6-$I$11)-('Data Schema'!$C$3*(1+B1004)^2-'Data Schema'!$C$3*(1+B1004)^1)*$I$12)/(1+C1004)^2+(('Data Schema'!$C$3*(1+B1004)^3)*((1-$I$4-$I$5+E1004)*(1-$I$10)+$I$6-$I$11)-('Data Schema'!$C$3*(1+B1004)^3-'Data Schema'!$C$3*(1+B1004)^2)*$I$12)/(1+C1004)^3+(('Data Schema'!$C$3*(1+B1004)^4)*((1-$I$4-$I$5+E1004)*(1-$I$10)+$I$6-$I$11)-('Data Schema'!$C$3*(1+B1004)^4-'Data Schema'!$C$3*(1+B1004)^3)*$I$12)/(1+C1004)^4+(('Data Schema'!$C$3*(1+B1004)^5)*((1-$I$4-$I$5+E1004)*(1-$I$10)+$I$6-$I$11)-('Data Schema'!$C$3*(1+B1004)^5-'Data Schema'!$C$3*(1+B1004)^4)*$I$12)/(1+C1004)^5+((('Data Schema'!$C$3*(1+B1004)^5)*((1-$I$4-$I$5+E1004)*(1-$I$10)+$I$6-$I$11)-('Data Schema'!$C$3*(1+B1004)^5-'Data Schema'!$C$3*(1+B1004)^4)*$I$12)*(1+D1004)/(C1004-D1004))/(1+C1004)^5-'Data Schema'!$C$31+'Data Schema'!$C$21)/'Data Schema'!$B$17,0),"INVALID")</f>
        <v>89.953302348316598</v>
      </c>
      <c r="H1004" s="189" t="b">
        <f t="shared" ca="1" si="114"/>
        <v>1</v>
      </c>
      <c r="I1004" s="188">
        <f t="shared" ca="1" si="115"/>
        <v>89.953302348316598</v>
      </c>
      <c r="J1004" s="349">
        <f t="shared" ca="1" si="108"/>
        <v>89.953302348316598</v>
      </c>
    </row>
    <row r="1005" spans="1:10">
      <c r="A1005" s="184">
        <v>826</v>
      </c>
      <c r="B1005" s="190">
        <f t="shared" ca="1" si="109"/>
        <v>0.12612157162617507</v>
      </c>
      <c r="C1005" s="190">
        <f t="shared" ca="1" si="110"/>
        <v>5.0295330026659278E-2</v>
      </c>
      <c r="D1005" s="190">
        <f t="shared" ca="1" si="111"/>
        <v>1.9659966912069823E-2</v>
      </c>
      <c r="E1005" s="190">
        <f t="shared" ca="1" si="112"/>
        <v>-6.6754655376131053E-3</v>
      </c>
      <c r="F1005" s="189" t="b">
        <f t="shared" ca="1" si="113"/>
        <v>1</v>
      </c>
      <c r="G1005" s="188">
        <f ca="1">IF(F1005,IFERROR(((('Data Schema'!$C$3*(1+B1005)^1)*((1-$I$4-$I$5+E1005)*(1-$I$10)+$I$6-$I$11)-('Data Schema'!$C$3*(1+B1005)^1-'Data Schema'!$C$3)*$I$12)/(1+C1005)^1+(('Data Schema'!$C$3*(1+B1005)^2)*((1-$I$4-$I$5+E1005)*(1-$I$10)+$I$6-$I$11)-('Data Schema'!$C$3*(1+B1005)^2-'Data Schema'!$C$3*(1+B1005)^1)*$I$12)/(1+C1005)^2+(('Data Schema'!$C$3*(1+B1005)^3)*((1-$I$4-$I$5+E1005)*(1-$I$10)+$I$6-$I$11)-('Data Schema'!$C$3*(1+B1005)^3-'Data Schema'!$C$3*(1+B1005)^2)*$I$12)/(1+C1005)^3+(('Data Schema'!$C$3*(1+B1005)^4)*((1-$I$4-$I$5+E1005)*(1-$I$10)+$I$6-$I$11)-('Data Schema'!$C$3*(1+B1005)^4-'Data Schema'!$C$3*(1+B1005)^3)*$I$12)/(1+C1005)^4+(('Data Schema'!$C$3*(1+B1005)^5)*((1-$I$4-$I$5+E1005)*(1-$I$10)+$I$6-$I$11)-('Data Schema'!$C$3*(1+B1005)^5-'Data Schema'!$C$3*(1+B1005)^4)*$I$12)/(1+C1005)^5+((('Data Schema'!$C$3*(1+B1005)^5)*((1-$I$4-$I$5+E1005)*(1-$I$10)+$I$6-$I$11)-('Data Schema'!$C$3*(1+B1005)^5-'Data Schema'!$C$3*(1+B1005)^4)*$I$12)*(1+D1005)/(C1005-D1005))/(1+C1005)^5-'Data Schema'!$C$31+'Data Schema'!$C$21)/'Data Schema'!$B$17,0),"INVALID")</f>
        <v>87.857710309455328</v>
      </c>
      <c r="H1005" s="189" t="b">
        <f t="shared" ca="1" si="114"/>
        <v>1</v>
      </c>
      <c r="I1005" s="188">
        <f t="shared" ca="1" si="115"/>
        <v>87.857710309455328</v>
      </c>
      <c r="J1005" s="349">
        <f t="shared" ca="1" si="108"/>
        <v>87.857710309455328</v>
      </c>
    </row>
    <row r="1006" spans="1:10">
      <c r="A1006" s="185">
        <v>827</v>
      </c>
      <c r="B1006" s="190">
        <f t="shared" ca="1" si="109"/>
        <v>0.11928776199840382</v>
      </c>
      <c r="C1006" s="190">
        <f t="shared" ca="1" si="110"/>
        <v>5.6338326754405775E-2</v>
      </c>
      <c r="D1006" s="190">
        <f t="shared" ca="1" si="111"/>
        <v>2.8044706209735096E-2</v>
      </c>
      <c r="E1006" s="190">
        <f t="shared" ca="1" si="112"/>
        <v>-1.0242022908700004E-2</v>
      </c>
      <c r="F1006" s="189" t="b">
        <f t="shared" ca="1" si="113"/>
        <v>1</v>
      </c>
      <c r="G1006" s="188">
        <f ca="1">IF(F1006,IFERROR(((('Data Schema'!$C$3*(1+B1006)^1)*((1-$I$4-$I$5+E1006)*(1-$I$10)+$I$6-$I$11)-('Data Schema'!$C$3*(1+B1006)^1-'Data Schema'!$C$3)*$I$12)/(1+C1006)^1+(('Data Schema'!$C$3*(1+B1006)^2)*((1-$I$4-$I$5+E1006)*(1-$I$10)+$I$6-$I$11)-('Data Schema'!$C$3*(1+B1006)^2-'Data Schema'!$C$3*(1+B1006)^1)*$I$12)/(1+C1006)^2+(('Data Schema'!$C$3*(1+B1006)^3)*((1-$I$4-$I$5+E1006)*(1-$I$10)+$I$6-$I$11)-('Data Schema'!$C$3*(1+B1006)^3-'Data Schema'!$C$3*(1+B1006)^2)*$I$12)/(1+C1006)^3+(('Data Schema'!$C$3*(1+B1006)^4)*((1-$I$4-$I$5+E1006)*(1-$I$10)+$I$6-$I$11)-('Data Schema'!$C$3*(1+B1006)^4-'Data Schema'!$C$3*(1+B1006)^3)*$I$12)/(1+C1006)^4+(('Data Schema'!$C$3*(1+B1006)^5)*((1-$I$4-$I$5+E1006)*(1-$I$10)+$I$6-$I$11)-('Data Schema'!$C$3*(1+B1006)^5-'Data Schema'!$C$3*(1+B1006)^4)*$I$12)/(1+C1006)^5+((('Data Schema'!$C$3*(1+B1006)^5)*((1-$I$4-$I$5+E1006)*(1-$I$10)+$I$6-$I$11)-('Data Schema'!$C$3*(1+B1006)^5-'Data Schema'!$C$3*(1+B1006)^4)*$I$12)*(1+D1006)/(C1006-D1006))/(1+C1006)^5-'Data Schema'!$C$31+'Data Schema'!$C$21)/'Data Schema'!$B$17,0),"INVALID")</f>
        <v>77.455575002790269</v>
      </c>
      <c r="H1006" s="189" t="b">
        <f t="shared" ca="1" si="114"/>
        <v>1</v>
      </c>
      <c r="I1006" s="188">
        <f t="shared" ca="1" si="115"/>
        <v>77.455575002790269</v>
      </c>
      <c r="J1006" s="349">
        <f t="shared" ca="1" si="108"/>
        <v>77.455575002790269</v>
      </c>
    </row>
    <row r="1007" spans="1:10">
      <c r="A1007" s="184">
        <v>828</v>
      </c>
      <c r="B1007" s="190">
        <f t="shared" ca="1" si="109"/>
        <v>6.848563452586498E-2</v>
      </c>
      <c r="C1007" s="190">
        <f t="shared" ca="1" si="110"/>
        <v>5.9348182372276119E-2</v>
      </c>
      <c r="D1007" s="190">
        <f t="shared" ca="1" si="111"/>
        <v>2.852894227940574E-2</v>
      </c>
      <c r="E1007" s="190">
        <f t="shared" ca="1" si="112"/>
        <v>7.9892862151985794E-3</v>
      </c>
      <c r="F1007" s="189" t="b">
        <f t="shared" ca="1" si="113"/>
        <v>1</v>
      </c>
      <c r="G1007" s="188">
        <f ca="1">IF(F1007,IFERROR(((('Data Schema'!$C$3*(1+B1007)^1)*((1-$I$4-$I$5+E1007)*(1-$I$10)+$I$6-$I$11)-('Data Schema'!$C$3*(1+B1007)^1-'Data Schema'!$C$3)*$I$12)/(1+C1007)^1+(('Data Schema'!$C$3*(1+B1007)^2)*((1-$I$4-$I$5+E1007)*(1-$I$10)+$I$6-$I$11)-('Data Schema'!$C$3*(1+B1007)^2-'Data Schema'!$C$3*(1+B1007)^1)*$I$12)/(1+C1007)^2+(('Data Schema'!$C$3*(1+B1007)^3)*((1-$I$4-$I$5+E1007)*(1-$I$10)+$I$6-$I$11)-('Data Schema'!$C$3*(1+B1007)^3-'Data Schema'!$C$3*(1+B1007)^2)*$I$12)/(1+C1007)^3+(('Data Schema'!$C$3*(1+B1007)^4)*((1-$I$4-$I$5+E1007)*(1-$I$10)+$I$6-$I$11)-('Data Schema'!$C$3*(1+B1007)^4-'Data Schema'!$C$3*(1+B1007)^3)*$I$12)/(1+C1007)^4+(('Data Schema'!$C$3*(1+B1007)^5)*((1-$I$4-$I$5+E1007)*(1-$I$10)+$I$6-$I$11)-('Data Schema'!$C$3*(1+B1007)^5-'Data Schema'!$C$3*(1+B1007)^4)*$I$12)/(1+C1007)^5+((('Data Schema'!$C$3*(1+B1007)^5)*((1-$I$4-$I$5+E1007)*(1-$I$10)+$I$6-$I$11)-('Data Schema'!$C$3*(1+B1007)^5-'Data Schema'!$C$3*(1+B1007)^4)*$I$12)*(1+D1007)/(C1007-D1007))/(1+C1007)^5-'Data Schema'!$C$31+'Data Schema'!$C$21)/'Data Schema'!$B$17,0),"INVALID")</f>
        <v>106.53396360132038</v>
      </c>
      <c r="H1007" s="189" t="b">
        <f t="shared" ca="1" si="114"/>
        <v>1</v>
      </c>
      <c r="I1007" s="188">
        <f t="shared" ca="1" si="115"/>
        <v>106.53396360132038</v>
      </c>
      <c r="J1007" s="349">
        <f t="shared" ca="1" si="108"/>
        <v>106.53396360132038</v>
      </c>
    </row>
    <row r="1008" spans="1:10">
      <c r="A1008" s="185">
        <v>829</v>
      </c>
      <c r="B1008" s="190">
        <f t="shared" ca="1" si="109"/>
        <v>0.11104500206979415</v>
      </c>
      <c r="C1008" s="190">
        <f t="shared" ca="1" si="110"/>
        <v>6.7661227036674154E-2</v>
      </c>
      <c r="D1008" s="190">
        <f t="shared" ca="1" si="111"/>
        <v>2.1365197101257713E-2</v>
      </c>
      <c r="E1008" s="190">
        <f t="shared" ca="1" si="112"/>
        <v>2.1969680611702055E-2</v>
      </c>
      <c r="F1008" s="189" t="b">
        <f t="shared" ca="1" si="113"/>
        <v>1</v>
      </c>
      <c r="G1008" s="188">
        <f ca="1">IF(F1008,IFERROR(((('Data Schema'!$C$3*(1+B1008)^1)*((1-$I$4-$I$5+E1008)*(1-$I$10)+$I$6-$I$11)-('Data Schema'!$C$3*(1+B1008)^1-'Data Schema'!$C$3)*$I$12)/(1+C1008)^1+(('Data Schema'!$C$3*(1+B1008)^2)*((1-$I$4-$I$5+E1008)*(1-$I$10)+$I$6-$I$11)-('Data Schema'!$C$3*(1+B1008)^2-'Data Schema'!$C$3*(1+B1008)^1)*$I$12)/(1+C1008)^2+(('Data Schema'!$C$3*(1+B1008)^3)*((1-$I$4-$I$5+E1008)*(1-$I$10)+$I$6-$I$11)-('Data Schema'!$C$3*(1+B1008)^3-'Data Schema'!$C$3*(1+B1008)^2)*$I$12)/(1+C1008)^3+(('Data Schema'!$C$3*(1+B1008)^4)*((1-$I$4-$I$5+E1008)*(1-$I$10)+$I$6-$I$11)-('Data Schema'!$C$3*(1+B1008)^4-'Data Schema'!$C$3*(1+B1008)^3)*$I$12)/(1+C1008)^4+(('Data Schema'!$C$3*(1+B1008)^5)*((1-$I$4-$I$5+E1008)*(1-$I$10)+$I$6-$I$11)-('Data Schema'!$C$3*(1+B1008)^5-'Data Schema'!$C$3*(1+B1008)^4)*$I$12)/(1+C1008)^5+((('Data Schema'!$C$3*(1+B1008)^5)*((1-$I$4-$I$5+E1008)*(1-$I$10)+$I$6-$I$11)-('Data Schema'!$C$3*(1+B1008)^5-'Data Schema'!$C$3*(1+B1008)^4)*$I$12)*(1+D1008)/(C1008-D1008))/(1+C1008)^5-'Data Schema'!$C$31+'Data Schema'!$C$21)/'Data Schema'!$B$17,0),"INVALID")</f>
        <v>113.78613831412561</v>
      </c>
      <c r="H1008" s="189" t="b">
        <f t="shared" ca="1" si="114"/>
        <v>1</v>
      </c>
      <c r="I1008" s="188">
        <f t="shared" ca="1" si="115"/>
        <v>113.78613831412561</v>
      </c>
      <c r="J1008" s="349">
        <f t="shared" ca="1" si="108"/>
        <v>113.78613831412561</v>
      </c>
    </row>
    <row r="1009" spans="1:10">
      <c r="A1009" s="184">
        <v>830</v>
      </c>
      <c r="B1009" s="190">
        <f t="shared" ca="1" si="109"/>
        <v>0.11174646596214964</v>
      </c>
      <c r="C1009" s="190">
        <f t="shared" ca="1" si="110"/>
        <v>7.2141054877584543E-2</v>
      </c>
      <c r="D1009" s="190">
        <f t="shared" ca="1" si="111"/>
        <v>2.7649375914568397E-2</v>
      </c>
      <c r="E1009" s="190">
        <f t="shared" ca="1" si="112"/>
        <v>-7.3401090228735815E-3</v>
      </c>
      <c r="F1009" s="189" t="b">
        <f t="shared" ca="1" si="113"/>
        <v>1</v>
      </c>
      <c r="G1009" s="188">
        <f ca="1">IF(F1009,IFERROR(((('Data Schema'!$C$3*(1+B1009)^1)*((1-$I$4-$I$5+E1009)*(1-$I$10)+$I$6-$I$11)-('Data Schema'!$C$3*(1+B1009)^1-'Data Schema'!$C$3)*$I$12)/(1+C1009)^1+(('Data Schema'!$C$3*(1+B1009)^2)*((1-$I$4-$I$5+E1009)*(1-$I$10)+$I$6-$I$11)-('Data Schema'!$C$3*(1+B1009)^2-'Data Schema'!$C$3*(1+B1009)^1)*$I$12)/(1+C1009)^2+(('Data Schema'!$C$3*(1+B1009)^3)*((1-$I$4-$I$5+E1009)*(1-$I$10)+$I$6-$I$11)-('Data Schema'!$C$3*(1+B1009)^3-'Data Schema'!$C$3*(1+B1009)^2)*$I$12)/(1+C1009)^3+(('Data Schema'!$C$3*(1+B1009)^4)*((1-$I$4-$I$5+E1009)*(1-$I$10)+$I$6-$I$11)-('Data Schema'!$C$3*(1+B1009)^4-'Data Schema'!$C$3*(1+B1009)^3)*$I$12)/(1+C1009)^4+(('Data Schema'!$C$3*(1+B1009)^5)*((1-$I$4-$I$5+E1009)*(1-$I$10)+$I$6-$I$11)-('Data Schema'!$C$3*(1+B1009)^5-'Data Schema'!$C$3*(1+B1009)^4)*$I$12)/(1+C1009)^5+((('Data Schema'!$C$3*(1+B1009)^5)*((1-$I$4-$I$5+E1009)*(1-$I$10)+$I$6-$I$11)-('Data Schema'!$C$3*(1+B1009)^5-'Data Schema'!$C$3*(1+B1009)^4)*$I$12)*(1+D1009)/(C1009-D1009))/(1+C1009)^5-'Data Schema'!$C$31+'Data Schema'!$C$21)/'Data Schema'!$B$17,0),"INVALID")</f>
        <v>51.348275726848918</v>
      </c>
      <c r="H1009" s="189" t="b">
        <f t="shared" ca="1" si="114"/>
        <v>1</v>
      </c>
      <c r="I1009" s="188">
        <f t="shared" ca="1" si="115"/>
        <v>51.348275726848918</v>
      </c>
      <c r="J1009" s="349">
        <f t="shared" ca="1" si="108"/>
        <v>51.348275726848918</v>
      </c>
    </row>
    <row r="1010" spans="1:10">
      <c r="A1010" s="185">
        <v>831</v>
      </c>
      <c r="B1010" s="190">
        <f t="shared" ca="1" si="109"/>
        <v>9.5167309890622373E-2</v>
      </c>
      <c r="C1010" s="190">
        <f t="shared" ca="1" si="110"/>
        <v>5.706995696362404E-2</v>
      </c>
      <c r="D1010" s="190">
        <f t="shared" ca="1" si="111"/>
        <v>2.7994169938289688E-2</v>
      </c>
      <c r="E1010" s="190">
        <f t="shared" ca="1" si="112"/>
        <v>1.3594313120009478E-2</v>
      </c>
      <c r="F1010" s="189" t="b">
        <f t="shared" ca="1" si="113"/>
        <v>1</v>
      </c>
      <c r="G1010" s="188">
        <f ca="1">IF(F1010,IFERROR(((('Data Schema'!$C$3*(1+B1010)^1)*((1-$I$4-$I$5+E1010)*(1-$I$10)+$I$6-$I$11)-('Data Schema'!$C$3*(1+B1010)^1-'Data Schema'!$C$3)*$I$12)/(1+C1010)^1+(('Data Schema'!$C$3*(1+B1010)^2)*((1-$I$4-$I$5+E1010)*(1-$I$10)+$I$6-$I$11)-('Data Schema'!$C$3*(1+B1010)^2-'Data Schema'!$C$3*(1+B1010)^1)*$I$12)/(1+C1010)^2+(('Data Schema'!$C$3*(1+B1010)^3)*((1-$I$4-$I$5+E1010)*(1-$I$10)+$I$6-$I$11)-('Data Schema'!$C$3*(1+B1010)^3-'Data Schema'!$C$3*(1+B1010)^2)*$I$12)/(1+C1010)^3+(('Data Schema'!$C$3*(1+B1010)^4)*((1-$I$4-$I$5+E1010)*(1-$I$10)+$I$6-$I$11)-('Data Schema'!$C$3*(1+B1010)^4-'Data Schema'!$C$3*(1+B1010)^3)*$I$12)/(1+C1010)^4+(('Data Schema'!$C$3*(1+B1010)^5)*((1-$I$4-$I$5+E1010)*(1-$I$10)+$I$6-$I$11)-('Data Schema'!$C$3*(1+B1010)^5-'Data Schema'!$C$3*(1+B1010)^4)*$I$12)/(1+C1010)^5+((('Data Schema'!$C$3*(1+B1010)^5)*((1-$I$4-$I$5+E1010)*(1-$I$10)+$I$6-$I$11)-('Data Schema'!$C$3*(1+B1010)^5-'Data Schema'!$C$3*(1+B1010)^4)*$I$12)*(1+D1010)/(C1010-D1010))/(1+C1010)^5-'Data Schema'!$C$31+'Data Schema'!$C$21)/'Data Schema'!$B$17,0),"INVALID")</f>
        <v>144.61780780500789</v>
      </c>
      <c r="H1010" s="189" t="b">
        <f t="shared" ca="1" si="114"/>
        <v>1</v>
      </c>
      <c r="I1010" s="188">
        <f t="shared" ca="1" si="115"/>
        <v>144.61780780500789</v>
      </c>
      <c r="J1010" s="349">
        <f t="shared" ca="1" si="108"/>
        <v>144.61780780500789</v>
      </c>
    </row>
    <row r="1011" spans="1:10">
      <c r="A1011" s="184">
        <v>832</v>
      </c>
      <c r="B1011" s="190">
        <f t="shared" ca="1" si="109"/>
        <v>9.7188263261866387E-2</v>
      </c>
      <c r="C1011" s="190">
        <f t="shared" ca="1" si="110"/>
        <v>5.6915761983125E-2</v>
      </c>
      <c r="D1011" s="190">
        <f t="shared" ca="1" si="111"/>
        <v>2.2355198411677473E-2</v>
      </c>
      <c r="E1011" s="190">
        <f t="shared" ca="1" si="112"/>
        <v>-2.0112247719092688E-2</v>
      </c>
      <c r="F1011" s="189" t="b">
        <f t="shared" ca="1" si="113"/>
        <v>1</v>
      </c>
      <c r="G1011" s="188">
        <f ca="1">IF(F1011,IFERROR(((('Data Schema'!$C$3*(1+B1011)^1)*((1-$I$4-$I$5+E1011)*(1-$I$10)+$I$6-$I$11)-('Data Schema'!$C$3*(1+B1011)^1-'Data Schema'!$C$3)*$I$12)/(1+C1011)^1+(('Data Schema'!$C$3*(1+B1011)^2)*((1-$I$4-$I$5+E1011)*(1-$I$10)+$I$6-$I$11)-('Data Schema'!$C$3*(1+B1011)^2-'Data Schema'!$C$3*(1+B1011)^1)*$I$12)/(1+C1011)^2+(('Data Schema'!$C$3*(1+B1011)^3)*((1-$I$4-$I$5+E1011)*(1-$I$10)+$I$6-$I$11)-('Data Schema'!$C$3*(1+B1011)^3-'Data Schema'!$C$3*(1+B1011)^2)*$I$12)/(1+C1011)^3+(('Data Schema'!$C$3*(1+B1011)^4)*((1-$I$4-$I$5+E1011)*(1-$I$10)+$I$6-$I$11)-('Data Schema'!$C$3*(1+B1011)^4-'Data Schema'!$C$3*(1+B1011)^3)*$I$12)/(1+C1011)^4+(('Data Schema'!$C$3*(1+B1011)^5)*((1-$I$4-$I$5+E1011)*(1-$I$10)+$I$6-$I$11)-('Data Schema'!$C$3*(1+B1011)^5-'Data Schema'!$C$3*(1+B1011)^4)*$I$12)/(1+C1011)^5+((('Data Schema'!$C$3*(1+B1011)^5)*((1-$I$4-$I$5+E1011)*(1-$I$10)+$I$6-$I$11)-('Data Schema'!$C$3*(1+B1011)^5-'Data Schema'!$C$3*(1+B1011)^4)*$I$12)*(1+D1011)/(C1011-D1011))/(1+C1011)^5-'Data Schema'!$C$31+'Data Schema'!$C$21)/'Data Schema'!$B$17,0),"INVALID")</f>
        <v>31.104509179805696</v>
      </c>
      <c r="H1011" s="189" t="b">
        <f t="shared" ca="1" si="114"/>
        <v>1</v>
      </c>
      <c r="I1011" s="188">
        <f t="shared" ca="1" si="115"/>
        <v>31.104509179805696</v>
      </c>
      <c r="J1011" s="349">
        <f t="shared" ca="1" si="108"/>
        <v>31.104509179805696</v>
      </c>
    </row>
    <row r="1012" spans="1:10">
      <c r="A1012" s="185">
        <v>833</v>
      </c>
      <c r="B1012" s="190">
        <f t="shared" ca="1" si="109"/>
        <v>0.13727274054725203</v>
      </c>
      <c r="C1012" s="190">
        <f t="shared" ca="1" si="110"/>
        <v>4.8063308803259402E-2</v>
      </c>
      <c r="D1012" s="190">
        <f t="shared" ca="1" si="111"/>
        <v>2.8425884326072414E-2</v>
      </c>
      <c r="E1012" s="190">
        <f t="shared" ca="1" si="112"/>
        <v>-1.1992517753231995E-2</v>
      </c>
      <c r="F1012" s="189" t="b">
        <f t="shared" ca="1" si="113"/>
        <v>1</v>
      </c>
      <c r="G1012" s="188">
        <f ca="1">IF(F1012,IFERROR(((('Data Schema'!$C$3*(1+B1012)^1)*((1-$I$4-$I$5+E1012)*(1-$I$10)+$I$6-$I$11)-('Data Schema'!$C$3*(1+B1012)^1-'Data Schema'!$C$3)*$I$12)/(1+C1012)^1+(('Data Schema'!$C$3*(1+B1012)^2)*((1-$I$4-$I$5+E1012)*(1-$I$10)+$I$6-$I$11)-('Data Schema'!$C$3*(1+B1012)^2-'Data Schema'!$C$3*(1+B1012)^1)*$I$12)/(1+C1012)^2+(('Data Schema'!$C$3*(1+B1012)^3)*((1-$I$4-$I$5+E1012)*(1-$I$10)+$I$6-$I$11)-('Data Schema'!$C$3*(1+B1012)^3-'Data Schema'!$C$3*(1+B1012)^2)*$I$12)/(1+C1012)^3+(('Data Schema'!$C$3*(1+B1012)^4)*((1-$I$4-$I$5+E1012)*(1-$I$10)+$I$6-$I$11)-('Data Schema'!$C$3*(1+B1012)^4-'Data Schema'!$C$3*(1+B1012)^3)*$I$12)/(1+C1012)^4+(('Data Schema'!$C$3*(1+B1012)^5)*((1-$I$4-$I$5+E1012)*(1-$I$10)+$I$6-$I$11)-('Data Schema'!$C$3*(1+B1012)^5-'Data Schema'!$C$3*(1+B1012)^4)*$I$12)/(1+C1012)^5+((('Data Schema'!$C$3*(1+B1012)^5)*((1-$I$4-$I$5+E1012)*(1-$I$10)+$I$6-$I$11)-('Data Schema'!$C$3*(1+B1012)^5-'Data Schema'!$C$3*(1+B1012)^4)*$I$12)*(1+D1012)/(C1012-D1012))/(1+C1012)^5-'Data Schema'!$C$31+'Data Schema'!$C$21)/'Data Schema'!$B$17,0),"INVALID")</f>
        <v>112.99348839367279</v>
      </c>
      <c r="H1012" s="189" t="b">
        <f t="shared" ca="1" si="114"/>
        <v>1</v>
      </c>
      <c r="I1012" s="188">
        <f t="shared" ca="1" si="115"/>
        <v>112.99348839367279</v>
      </c>
      <c r="J1012" s="349">
        <f t="shared" ref="J1012:J1075" ca="1" si="116">IF(AND(F1012=TRUE,H1012=TRUE,ISNUMBER(G1012),G1012&gt;=$B$153,G1012&lt;=$B$154),G1012,"")</f>
        <v>112.99348839367279</v>
      </c>
    </row>
    <row r="1013" spans="1:10">
      <c r="A1013" s="184">
        <v>834</v>
      </c>
      <c r="B1013" s="190">
        <f t="shared" ref="B1013:B1076" ca="1" si="117">MAX($D$139,MIN($E$139,NORMINV(RAND(),$B$139,$C$139)))</f>
        <v>0.14590314711128799</v>
      </c>
      <c r="C1013" s="190">
        <f t="shared" ref="C1013:C1076" ca="1" si="118">MAX($D$140,MIN($E$140,NORMINV(RAND(),$B$140,$C$140)))</f>
        <v>7.9880911665715315E-2</v>
      </c>
      <c r="D1013" s="190">
        <f t="shared" ref="D1013:D1076" ca="1" si="119">MAX($D$141,MIN($E$141,NORMINV(RAND(),$B$141,$C$141)))</f>
        <v>2.3565871447054246E-2</v>
      </c>
      <c r="E1013" s="190">
        <f t="shared" ref="E1013:E1076" ca="1" si="120">MAX($D$142,MIN($E$142,NORMINV(RAND(),$B$142,$C$142)))</f>
        <v>2.1710665748692213E-2</v>
      </c>
      <c r="F1013" s="189" t="b">
        <f t="shared" ref="F1013:F1076" ca="1" si="121">C1013&gt;D1013+$B$144</f>
        <v>1</v>
      </c>
      <c r="G1013" s="188">
        <f ca="1">IF(F1013,IFERROR(((('Data Schema'!$C$3*(1+B1013)^1)*((1-$I$4-$I$5+E1013)*(1-$I$10)+$I$6-$I$11)-('Data Schema'!$C$3*(1+B1013)^1-'Data Schema'!$C$3)*$I$12)/(1+C1013)^1+(('Data Schema'!$C$3*(1+B1013)^2)*((1-$I$4-$I$5+E1013)*(1-$I$10)+$I$6-$I$11)-('Data Schema'!$C$3*(1+B1013)^2-'Data Schema'!$C$3*(1+B1013)^1)*$I$12)/(1+C1013)^2+(('Data Schema'!$C$3*(1+B1013)^3)*((1-$I$4-$I$5+E1013)*(1-$I$10)+$I$6-$I$11)-('Data Schema'!$C$3*(1+B1013)^3-'Data Schema'!$C$3*(1+B1013)^2)*$I$12)/(1+C1013)^3+(('Data Schema'!$C$3*(1+B1013)^4)*((1-$I$4-$I$5+E1013)*(1-$I$10)+$I$6-$I$11)-('Data Schema'!$C$3*(1+B1013)^4-'Data Schema'!$C$3*(1+B1013)^3)*$I$12)/(1+C1013)^4+(('Data Schema'!$C$3*(1+B1013)^5)*((1-$I$4-$I$5+E1013)*(1-$I$10)+$I$6-$I$11)-('Data Schema'!$C$3*(1+B1013)^5-'Data Schema'!$C$3*(1+B1013)^4)*$I$12)/(1+C1013)^5+((('Data Schema'!$C$3*(1+B1013)^5)*((1-$I$4-$I$5+E1013)*(1-$I$10)+$I$6-$I$11)-('Data Schema'!$C$3*(1+B1013)^5-'Data Schema'!$C$3*(1+B1013)^4)*$I$12)*(1+D1013)/(C1013-D1013))/(1+C1013)^5-'Data Schema'!$C$31+'Data Schema'!$C$21)/'Data Schema'!$B$17,0),"INVALID")</f>
        <v>103.92303036019825</v>
      </c>
      <c r="H1013" s="189" t="b">
        <f t="shared" ref="H1013:H1076" ca="1" si="122">AND(ISNUMBER(G1013),G1013&gt;$F$29*$B$145,G1013&lt;$F$29*$B$146)</f>
        <v>1</v>
      </c>
      <c r="I1013" s="188">
        <f t="shared" ref="I1013:I1076" ca="1" si="123">IF(AND(F1013=TRUE,H1013=TRUE),G1013,"")</f>
        <v>103.92303036019825</v>
      </c>
      <c r="J1013" s="349">
        <f t="shared" ca="1" si="116"/>
        <v>103.92303036019825</v>
      </c>
    </row>
    <row r="1014" spans="1:10">
      <c r="A1014" s="185">
        <v>835</v>
      </c>
      <c r="B1014" s="190">
        <f t="shared" ca="1" si="117"/>
        <v>0.11161761492488755</v>
      </c>
      <c r="C1014" s="190">
        <f t="shared" ca="1" si="118"/>
        <v>5.4568274738202242E-2</v>
      </c>
      <c r="D1014" s="190">
        <f t="shared" ca="1" si="119"/>
        <v>2.7608658151531427E-2</v>
      </c>
      <c r="E1014" s="190">
        <f t="shared" ca="1" si="120"/>
        <v>5.0661926488529772E-3</v>
      </c>
      <c r="F1014" s="189" t="b">
        <f t="shared" ca="1" si="121"/>
        <v>1</v>
      </c>
      <c r="G1014" s="188">
        <f ca="1">IF(F1014,IFERROR(((('Data Schema'!$C$3*(1+B1014)^1)*((1-$I$4-$I$5+E1014)*(1-$I$10)+$I$6-$I$11)-('Data Schema'!$C$3*(1+B1014)^1-'Data Schema'!$C$3)*$I$12)/(1+C1014)^1+(('Data Schema'!$C$3*(1+B1014)^2)*((1-$I$4-$I$5+E1014)*(1-$I$10)+$I$6-$I$11)-('Data Schema'!$C$3*(1+B1014)^2-'Data Schema'!$C$3*(1+B1014)^1)*$I$12)/(1+C1014)^2+(('Data Schema'!$C$3*(1+B1014)^3)*((1-$I$4-$I$5+E1014)*(1-$I$10)+$I$6-$I$11)-('Data Schema'!$C$3*(1+B1014)^3-'Data Schema'!$C$3*(1+B1014)^2)*$I$12)/(1+C1014)^3+(('Data Schema'!$C$3*(1+B1014)^4)*((1-$I$4-$I$5+E1014)*(1-$I$10)+$I$6-$I$11)-('Data Schema'!$C$3*(1+B1014)^4-'Data Schema'!$C$3*(1+B1014)^3)*$I$12)/(1+C1014)^4+(('Data Schema'!$C$3*(1+B1014)^5)*((1-$I$4-$I$5+E1014)*(1-$I$10)+$I$6-$I$11)-('Data Schema'!$C$3*(1+B1014)^5-'Data Schema'!$C$3*(1+B1014)^4)*$I$12)/(1+C1014)^5+((('Data Schema'!$C$3*(1+B1014)^5)*((1-$I$4-$I$5+E1014)*(1-$I$10)+$I$6-$I$11)-('Data Schema'!$C$3*(1+B1014)^5-'Data Schema'!$C$3*(1+B1014)^4)*$I$12)*(1+D1014)/(C1014-D1014))/(1+C1014)^5-'Data Schema'!$C$31+'Data Schema'!$C$21)/'Data Schema'!$B$17,0),"INVALID")</f>
        <v>136.20318628661437</v>
      </c>
      <c r="H1014" s="189" t="b">
        <f t="shared" ca="1" si="122"/>
        <v>1</v>
      </c>
      <c r="I1014" s="188">
        <f t="shared" ca="1" si="123"/>
        <v>136.20318628661437</v>
      </c>
      <c r="J1014" s="349">
        <f t="shared" ca="1" si="116"/>
        <v>136.20318628661437</v>
      </c>
    </row>
    <row r="1015" spans="1:10">
      <c r="A1015" s="184">
        <v>836</v>
      </c>
      <c r="B1015" s="190">
        <f t="shared" ca="1" si="117"/>
        <v>9.0928478984228137E-2</v>
      </c>
      <c r="C1015" s="190">
        <f t="shared" ca="1" si="118"/>
        <v>5.9098880654362931E-2</v>
      </c>
      <c r="D1015" s="190">
        <f t="shared" ca="1" si="119"/>
        <v>2.3314731312420227E-2</v>
      </c>
      <c r="E1015" s="190">
        <f t="shared" ca="1" si="120"/>
        <v>-2.3421078104094564E-2</v>
      </c>
      <c r="F1015" s="189" t="b">
        <f t="shared" ca="1" si="121"/>
        <v>1</v>
      </c>
      <c r="G1015" s="188">
        <f ca="1">IF(F1015,IFERROR(((('Data Schema'!$C$3*(1+B1015)^1)*((1-$I$4-$I$5+E1015)*(1-$I$10)+$I$6-$I$11)-('Data Schema'!$C$3*(1+B1015)^1-'Data Schema'!$C$3)*$I$12)/(1+C1015)^1+(('Data Schema'!$C$3*(1+B1015)^2)*((1-$I$4-$I$5+E1015)*(1-$I$10)+$I$6-$I$11)-('Data Schema'!$C$3*(1+B1015)^2-'Data Schema'!$C$3*(1+B1015)^1)*$I$12)/(1+C1015)^2+(('Data Schema'!$C$3*(1+B1015)^3)*((1-$I$4-$I$5+E1015)*(1-$I$10)+$I$6-$I$11)-('Data Schema'!$C$3*(1+B1015)^3-'Data Schema'!$C$3*(1+B1015)^2)*$I$12)/(1+C1015)^3+(('Data Schema'!$C$3*(1+B1015)^4)*((1-$I$4-$I$5+E1015)*(1-$I$10)+$I$6-$I$11)-('Data Schema'!$C$3*(1+B1015)^4-'Data Schema'!$C$3*(1+B1015)^3)*$I$12)/(1+C1015)^4+(('Data Schema'!$C$3*(1+B1015)^5)*((1-$I$4-$I$5+E1015)*(1-$I$10)+$I$6-$I$11)-('Data Schema'!$C$3*(1+B1015)^5-'Data Schema'!$C$3*(1+B1015)^4)*$I$12)/(1+C1015)^5+((('Data Schema'!$C$3*(1+B1015)^5)*((1-$I$4-$I$5+E1015)*(1-$I$10)+$I$6-$I$11)-('Data Schema'!$C$3*(1+B1015)^5-'Data Schema'!$C$3*(1+B1015)^4)*$I$12)*(1+D1015)/(C1015-D1015))/(1+C1015)^5-'Data Schema'!$C$31+'Data Schema'!$C$21)/'Data Schema'!$B$17,0),"INVALID")</f>
        <v>20.505963232217027</v>
      </c>
      <c r="H1015" s="189" t="b">
        <f t="shared" ca="1" si="122"/>
        <v>1</v>
      </c>
      <c r="I1015" s="188">
        <f t="shared" ca="1" si="123"/>
        <v>20.505963232217027</v>
      </c>
      <c r="J1015" s="349" t="str">
        <f t="shared" ca="1" si="116"/>
        <v/>
      </c>
    </row>
    <row r="1016" spans="1:10">
      <c r="A1016" s="185">
        <v>837</v>
      </c>
      <c r="B1016" s="190">
        <f t="shared" ca="1" si="117"/>
        <v>7.8695367415027501E-2</v>
      </c>
      <c r="C1016" s="190">
        <f t="shared" ca="1" si="118"/>
        <v>5.6939834422370002E-2</v>
      </c>
      <c r="D1016" s="190">
        <f t="shared" ca="1" si="119"/>
        <v>2.7291485978220856E-2</v>
      </c>
      <c r="E1016" s="190">
        <f t="shared" ca="1" si="120"/>
        <v>2.4971892415316797E-2</v>
      </c>
      <c r="F1016" s="189" t="b">
        <f t="shared" ca="1" si="121"/>
        <v>1</v>
      </c>
      <c r="G1016" s="188">
        <f ca="1">IF(F1016,IFERROR(((('Data Schema'!$C$3*(1+B1016)^1)*((1-$I$4-$I$5+E1016)*(1-$I$10)+$I$6-$I$11)-('Data Schema'!$C$3*(1+B1016)^1-'Data Schema'!$C$3)*$I$12)/(1+C1016)^1+(('Data Schema'!$C$3*(1+B1016)^2)*((1-$I$4-$I$5+E1016)*(1-$I$10)+$I$6-$I$11)-('Data Schema'!$C$3*(1+B1016)^2-'Data Schema'!$C$3*(1+B1016)^1)*$I$12)/(1+C1016)^2+(('Data Schema'!$C$3*(1+B1016)^3)*((1-$I$4-$I$5+E1016)*(1-$I$10)+$I$6-$I$11)-('Data Schema'!$C$3*(1+B1016)^3-'Data Schema'!$C$3*(1+B1016)^2)*$I$12)/(1+C1016)^3+(('Data Schema'!$C$3*(1+B1016)^4)*((1-$I$4-$I$5+E1016)*(1-$I$10)+$I$6-$I$11)-('Data Schema'!$C$3*(1+B1016)^4-'Data Schema'!$C$3*(1+B1016)^3)*$I$12)/(1+C1016)^4+(('Data Schema'!$C$3*(1+B1016)^5)*((1-$I$4-$I$5+E1016)*(1-$I$10)+$I$6-$I$11)-('Data Schema'!$C$3*(1+B1016)^5-'Data Schema'!$C$3*(1+B1016)^4)*$I$12)/(1+C1016)^5+((('Data Schema'!$C$3*(1+B1016)^5)*((1-$I$4-$I$5+E1016)*(1-$I$10)+$I$6-$I$11)-('Data Schema'!$C$3*(1+B1016)^5-'Data Schema'!$C$3*(1+B1016)^4)*$I$12)*(1+D1016)/(C1016-D1016))/(1+C1016)^5-'Data Schema'!$C$31+'Data Schema'!$C$21)/'Data Schema'!$B$17,0),"INVALID")</f>
        <v>165.86193981760366</v>
      </c>
      <c r="H1016" s="189" t="b">
        <f t="shared" ca="1" si="122"/>
        <v>1</v>
      </c>
      <c r="I1016" s="188">
        <f t="shared" ca="1" si="123"/>
        <v>165.86193981760366</v>
      </c>
      <c r="J1016" s="349">
        <f t="shared" ca="1" si="116"/>
        <v>165.86193981760366</v>
      </c>
    </row>
    <row r="1017" spans="1:10">
      <c r="A1017" s="184">
        <v>838</v>
      </c>
      <c r="B1017" s="190">
        <f t="shared" ca="1" si="117"/>
        <v>8.4375554495207089E-2</v>
      </c>
      <c r="C1017" s="190">
        <f t="shared" ca="1" si="118"/>
        <v>5.994218481795173E-2</v>
      </c>
      <c r="D1017" s="190">
        <f t="shared" ca="1" si="119"/>
        <v>2.7717248877348291E-2</v>
      </c>
      <c r="E1017" s="190">
        <f t="shared" ca="1" si="120"/>
        <v>-6.723092753137587E-3</v>
      </c>
      <c r="F1017" s="189" t="b">
        <f t="shared" ca="1" si="121"/>
        <v>1</v>
      </c>
      <c r="G1017" s="188">
        <f ca="1">IF(F1017,IFERROR(((('Data Schema'!$C$3*(1+B1017)^1)*((1-$I$4-$I$5+E1017)*(1-$I$10)+$I$6-$I$11)-('Data Schema'!$C$3*(1+B1017)^1-'Data Schema'!$C$3)*$I$12)/(1+C1017)^1+(('Data Schema'!$C$3*(1+B1017)^2)*((1-$I$4-$I$5+E1017)*(1-$I$10)+$I$6-$I$11)-('Data Schema'!$C$3*(1+B1017)^2-'Data Schema'!$C$3*(1+B1017)^1)*$I$12)/(1+C1017)^2+(('Data Schema'!$C$3*(1+B1017)^3)*((1-$I$4-$I$5+E1017)*(1-$I$10)+$I$6-$I$11)-('Data Schema'!$C$3*(1+B1017)^3-'Data Schema'!$C$3*(1+B1017)^2)*$I$12)/(1+C1017)^3+(('Data Schema'!$C$3*(1+B1017)^4)*((1-$I$4-$I$5+E1017)*(1-$I$10)+$I$6-$I$11)-('Data Schema'!$C$3*(1+B1017)^4-'Data Schema'!$C$3*(1+B1017)^3)*$I$12)/(1+C1017)^4+(('Data Schema'!$C$3*(1+B1017)^5)*((1-$I$4-$I$5+E1017)*(1-$I$10)+$I$6-$I$11)-('Data Schema'!$C$3*(1+B1017)^5-'Data Schema'!$C$3*(1+B1017)^4)*$I$12)/(1+C1017)^5+((('Data Schema'!$C$3*(1+B1017)^5)*((1-$I$4-$I$5+E1017)*(1-$I$10)+$I$6-$I$11)-('Data Schema'!$C$3*(1+B1017)^5-'Data Schema'!$C$3*(1+B1017)^4)*$I$12)*(1+D1017)/(C1017-D1017))/(1+C1017)^5-'Data Schema'!$C$31+'Data Schema'!$C$21)/'Data Schema'!$B$17,0),"INVALID")</f>
        <v>68.426199605530215</v>
      </c>
      <c r="H1017" s="189" t="b">
        <f t="shared" ca="1" si="122"/>
        <v>1</v>
      </c>
      <c r="I1017" s="188">
        <f t="shared" ca="1" si="123"/>
        <v>68.426199605530215</v>
      </c>
      <c r="J1017" s="349">
        <f t="shared" ca="1" si="116"/>
        <v>68.426199605530215</v>
      </c>
    </row>
    <row r="1018" spans="1:10">
      <c r="A1018" s="185">
        <v>839</v>
      </c>
      <c r="B1018" s="190">
        <f t="shared" ca="1" si="117"/>
        <v>6.5027482467256675E-2</v>
      </c>
      <c r="C1018" s="190">
        <f t="shared" ca="1" si="118"/>
        <v>4.5337250972782718E-2</v>
      </c>
      <c r="D1018" s="190">
        <f t="shared" ca="1" si="119"/>
        <v>1.9428943838578953E-2</v>
      </c>
      <c r="E1018" s="190">
        <f t="shared" ca="1" si="120"/>
        <v>1.8284491792462318E-2</v>
      </c>
      <c r="F1018" s="189" t="b">
        <f t="shared" ca="1" si="121"/>
        <v>1</v>
      </c>
      <c r="G1018" s="188">
        <f ca="1">IF(F1018,IFERROR(((('Data Schema'!$C$3*(1+B1018)^1)*((1-$I$4-$I$5+E1018)*(1-$I$10)+$I$6-$I$11)-('Data Schema'!$C$3*(1+B1018)^1-'Data Schema'!$C$3)*$I$12)/(1+C1018)^1+(('Data Schema'!$C$3*(1+B1018)^2)*((1-$I$4-$I$5+E1018)*(1-$I$10)+$I$6-$I$11)-('Data Schema'!$C$3*(1+B1018)^2-'Data Schema'!$C$3*(1+B1018)^1)*$I$12)/(1+C1018)^2+(('Data Schema'!$C$3*(1+B1018)^3)*((1-$I$4-$I$5+E1018)*(1-$I$10)+$I$6-$I$11)-('Data Schema'!$C$3*(1+B1018)^3-'Data Schema'!$C$3*(1+B1018)^2)*$I$12)/(1+C1018)^3+(('Data Schema'!$C$3*(1+B1018)^4)*((1-$I$4-$I$5+E1018)*(1-$I$10)+$I$6-$I$11)-('Data Schema'!$C$3*(1+B1018)^4-'Data Schema'!$C$3*(1+B1018)^3)*$I$12)/(1+C1018)^4+(('Data Schema'!$C$3*(1+B1018)^5)*((1-$I$4-$I$5+E1018)*(1-$I$10)+$I$6-$I$11)-('Data Schema'!$C$3*(1+B1018)^5-'Data Schema'!$C$3*(1+B1018)^4)*$I$12)/(1+C1018)^5+((('Data Schema'!$C$3*(1+B1018)^5)*((1-$I$4-$I$5+E1018)*(1-$I$10)+$I$6-$I$11)-('Data Schema'!$C$3*(1+B1018)^5-'Data Schema'!$C$3*(1+B1018)^4)*$I$12)*(1+D1018)/(C1018-D1018))/(1+C1018)^5-'Data Schema'!$C$31+'Data Schema'!$C$21)/'Data Schema'!$B$17,0),"INVALID")</f>
        <v>164.27795696896501</v>
      </c>
      <c r="H1018" s="189" t="b">
        <f t="shared" ca="1" si="122"/>
        <v>1</v>
      </c>
      <c r="I1018" s="188">
        <f t="shared" ca="1" si="123"/>
        <v>164.27795696896501</v>
      </c>
      <c r="J1018" s="349">
        <f t="shared" ca="1" si="116"/>
        <v>164.27795696896501</v>
      </c>
    </row>
    <row r="1019" spans="1:10">
      <c r="A1019" s="184">
        <v>840</v>
      </c>
      <c r="B1019" s="190">
        <f t="shared" ca="1" si="117"/>
        <v>0.11048093711846414</v>
      </c>
      <c r="C1019" s="190">
        <f t="shared" ca="1" si="118"/>
        <v>4.6551758732839468E-2</v>
      </c>
      <c r="D1019" s="190">
        <f t="shared" ca="1" si="119"/>
        <v>2.5056622278357022E-2</v>
      </c>
      <c r="E1019" s="190">
        <f t="shared" ca="1" si="120"/>
        <v>-1.2125239204756002E-2</v>
      </c>
      <c r="F1019" s="189" t="b">
        <f t="shared" ca="1" si="121"/>
        <v>1</v>
      </c>
      <c r="G1019" s="188">
        <f ca="1">IF(F1019,IFERROR(((('Data Schema'!$C$3*(1+B1019)^1)*((1-$I$4-$I$5+E1019)*(1-$I$10)+$I$6-$I$11)-('Data Schema'!$C$3*(1+B1019)^1-'Data Schema'!$C$3)*$I$12)/(1+C1019)^1+(('Data Schema'!$C$3*(1+B1019)^2)*((1-$I$4-$I$5+E1019)*(1-$I$10)+$I$6-$I$11)-('Data Schema'!$C$3*(1+B1019)^2-'Data Schema'!$C$3*(1+B1019)^1)*$I$12)/(1+C1019)^2+(('Data Schema'!$C$3*(1+B1019)^3)*((1-$I$4-$I$5+E1019)*(1-$I$10)+$I$6-$I$11)-('Data Schema'!$C$3*(1+B1019)^3-'Data Schema'!$C$3*(1+B1019)^2)*$I$12)/(1+C1019)^3+(('Data Schema'!$C$3*(1+B1019)^4)*((1-$I$4-$I$5+E1019)*(1-$I$10)+$I$6-$I$11)-('Data Schema'!$C$3*(1+B1019)^4-'Data Schema'!$C$3*(1+B1019)^3)*$I$12)/(1+C1019)^4+(('Data Schema'!$C$3*(1+B1019)^5)*((1-$I$4-$I$5+E1019)*(1-$I$10)+$I$6-$I$11)-('Data Schema'!$C$3*(1+B1019)^5-'Data Schema'!$C$3*(1+B1019)^4)*$I$12)/(1+C1019)^5+((('Data Schema'!$C$3*(1+B1019)^5)*((1-$I$4-$I$5+E1019)*(1-$I$10)+$I$6-$I$11)-('Data Schema'!$C$3*(1+B1019)^5-'Data Schema'!$C$3*(1+B1019)^4)*$I$12)*(1+D1019)/(C1019-D1019))/(1+C1019)^5-'Data Schema'!$C$31+'Data Schema'!$C$21)/'Data Schema'!$B$17,0),"INVALID")</f>
        <v>93.776824084556154</v>
      </c>
      <c r="H1019" s="189" t="b">
        <f t="shared" ca="1" si="122"/>
        <v>1</v>
      </c>
      <c r="I1019" s="188">
        <f t="shared" ca="1" si="123"/>
        <v>93.776824084556154</v>
      </c>
      <c r="J1019" s="349">
        <f t="shared" ca="1" si="116"/>
        <v>93.776824084556154</v>
      </c>
    </row>
    <row r="1020" spans="1:10">
      <c r="A1020" s="185">
        <v>841</v>
      </c>
      <c r="B1020" s="190">
        <f t="shared" ca="1" si="117"/>
        <v>0.10103145612808927</v>
      </c>
      <c r="C1020" s="190">
        <f t="shared" ca="1" si="118"/>
        <v>5.9382425410019472E-2</v>
      </c>
      <c r="D1020" s="190">
        <f t="shared" ca="1" si="119"/>
        <v>3.6314779887627942E-2</v>
      </c>
      <c r="E1020" s="190">
        <f t="shared" ca="1" si="120"/>
        <v>-1.1980797995315692E-2</v>
      </c>
      <c r="F1020" s="189" t="b">
        <f t="shared" ca="1" si="121"/>
        <v>1</v>
      </c>
      <c r="G1020" s="188">
        <f ca="1">IF(F1020,IFERROR(((('Data Schema'!$C$3*(1+B1020)^1)*((1-$I$4-$I$5+E1020)*(1-$I$10)+$I$6-$I$11)-('Data Schema'!$C$3*(1+B1020)^1-'Data Schema'!$C$3)*$I$12)/(1+C1020)^1+(('Data Schema'!$C$3*(1+B1020)^2)*((1-$I$4-$I$5+E1020)*(1-$I$10)+$I$6-$I$11)-('Data Schema'!$C$3*(1+B1020)^2-'Data Schema'!$C$3*(1+B1020)^1)*$I$12)/(1+C1020)^2+(('Data Schema'!$C$3*(1+B1020)^3)*((1-$I$4-$I$5+E1020)*(1-$I$10)+$I$6-$I$11)-('Data Schema'!$C$3*(1+B1020)^3-'Data Schema'!$C$3*(1+B1020)^2)*$I$12)/(1+C1020)^3+(('Data Schema'!$C$3*(1+B1020)^4)*((1-$I$4-$I$5+E1020)*(1-$I$10)+$I$6-$I$11)-('Data Schema'!$C$3*(1+B1020)^4-'Data Schema'!$C$3*(1+B1020)^3)*$I$12)/(1+C1020)^4+(('Data Schema'!$C$3*(1+B1020)^5)*((1-$I$4-$I$5+E1020)*(1-$I$10)+$I$6-$I$11)-('Data Schema'!$C$3*(1+B1020)^5-'Data Schema'!$C$3*(1+B1020)^4)*$I$12)/(1+C1020)^5+((('Data Schema'!$C$3*(1+B1020)^5)*((1-$I$4-$I$5+E1020)*(1-$I$10)+$I$6-$I$11)-('Data Schema'!$C$3*(1+B1020)^5-'Data Schema'!$C$3*(1+B1020)^4)*$I$12)*(1+D1020)/(C1020-D1020))/(1+C1020)^5-'Data Schema'!$C$31+'Data Schema'!$C$21)/'Data Schema'!$B$17,0),"INVALID")</f>
        <v>80.753279024910228</v>
      </c>
      <c r="H1020" s="189" t="b">
        <f t="shared" ca="1" si="122"/>
        <v>1</v>
      </c>
      <c r="I1020" s="188">
        <f t="shared" ca="1" si="123"/>
        <v>80.753279024910228</v>
      </c>
      <c r="J1020" s="349">
        <f t="shared" ca="1" si="116"/>
        <v>80.753279024910228</v>
      </c>
    </row>
    <row r="1021" spans="1:10">
      <c r="A1021" s="184">
        <v>842</v>
      </c>
      <c r="B1021" s="190">
        <f t="shared" ca="1" si="117"/>
        <v>0.12230939765205641</v>
      </c>
      <c r="C1021" s="190">
        <f t="shared" ca="1" si="118"/>
        <v>5.4967146656366983E-2</v>
      </c>
      <c r="D1021" s="190">
        <f t="shared" ca="1" si="119"/>
        <v>1.9877499444609027E-2</v>
      </c>
      <c r="E1021" s="190">
        <f t="shared" ca="1" si="120"/>
        <v>2.0139480581660426E-2</v>
      </c>
      <c r="F1021" s="189" t="b">
        <f t="shared" ca="1" si="121"/>
        <v>1</v>
      </c>
      <c r="G1021" s="188">
        <f ca="1">IF(F1021,IFERROR(((('Data Schema'!$C$3*(1+B1021)^1)*((1-$I$4-$I$5+E1021)*(1-$I$10)+$I$6-$I$11)-('Data Schema'!$C$3*(1+B1021)^1-'Data Schema'!$C$3)*$I$12)/(1+C1021)^1+(('Data Schema'!$C$3*(1+B1021)^2)*((1-$I$4-$I$5+E1021)*(1-$I$10)+$I$6-$I$11)-('Data Schema'!$C$3*(1+B1021)^2-'Data Schema'!$C$3*(1+B1021)^1)*$I$12)/(1+C1021)^2+(('Data Schema'!$C$3*(1+B1021)^3)*((1-$I$4-$I$5+E1021)*(1-$I$10)+$I$6-$I$11)-('Data Schema'!$C$3*(1+B1021)^3-'Data Schema'!$C$3*(1+B1021)^2)*$I$12)/(1+C1021)^3+(('Data Schema'!$C$3*(1+B1021)^4)*((1-$I$4-$I$5+E1021)*(1-$I$10)+$I$6-$I$11)-('Data Schema'!$C$3*(1+B1021)^4-'Data Schema'!$C$3*(1+B1021)^3)*$I$12)/(1+C1021)^4+(('Data Schema'!$C$3*(1+B1021)^5)*((1-$I$4-$I$5+E1021)*(1-$I$10)+$I$6-$I$11)-('Data Schema'!$C$3*(1+B1021)^5-'Data Schema'!$C$3*(1+B1021)^4)*$I$12)/(1+C1021)^5+((('Data Schema'!$C$3*(1+B1021)^5)*((1-$I$4-$I$5+E1021)*(1-$I$10)+$I$6-$I$11)-('Data Schema'!$C$3*(1+B1021)^5-'Data Schema'!$C$3*(1+B1021)^4)*$I$12)*(1+D1021)/(C1021-D1021))/(1+C1021)^5-'Data Schema'!$C$31+'Data Schema'!$C$21)/'Data Schema'!$B$17,0),"INVALID")</f>
        <v>156.00532433300026</v>
      </c>
      <c r="H1021" s="189" t="b">
        <f t="shared" ca="1" si="122"/>
        <v>1</v>
      </c>
      <c r="I1021" s="188">
        <f t="shared" ca="1" si="123"/>
        <v>156.00532433300026</v>
      </c>
      <c r="J1021" s="349">
        <f t="shared" ca="1" si="116"/>
        <v>156.00532433300026</v>
      </c>
    </row>
    <row r="1022" spans="1:10">
      <c r="A1022" s="185">
        <v>843</v>
      </c>
      <c r="B1022" s="190">
        <f t="shared" ca="1" si="117"/>
        <v>0.11891620875470102</v>
      </c>
      <c r="C1022" s="190">
        <f t="shared" ca="1" si="118"/>
        <v>5.5297217090704953E-2</v>
      </c>
      <c r="D1022" s="190">
        <f t="shared" ca="1" si="119"/>
        <v>2.8256418643516037E-2</v>
      </c>
      <c r="E1022" s="190">
        <f t="shared" ca="1" si="120"/>
        <v>3.4015798337452808E-3</v>
      </c>
      <c r="F1022" s="189" t="b">
        <f t="shared" ca="1" si="121"/>
        <v>1</v>
      </c>
      <c r="G1022" s="188">
        <f ca="1">IF(F1022,IFERROR(((('Data Schema'!$C$3*(1+B1022)^1)*((1-$I$4-$I$5+E1022)*(1-$I$10)+$I$6-$I$11)-('Data Schema'!$C$3*(1+B1022)^1-'Data Schema'!$C$3)*$I$12)/(1+C1022)^1+(('Data Schema'!$C$3*(1+B1022)^2)*((1-$I$4-$I$5+E1022)*(1-$I$10)+$I$6-$I$11)-('Data Schema'!$C$3*(1+B1022)^2-'Data Schema'!$C$3*(1+B1022)^1)*$I$12)/(1+C1022)^2+(('Data Schema'!$C$3*(1+B1022)^3)*((1-$I$4-$I$5+E1022)*(1-$I$10)+$I$6-$I$11)-('Data Schema'!$C$3*(1+B1022)^3-'Data Schema'!$C$3*(1+B1022)^2)*$I$12)/(1+C1022)^3+(('Data Schema'!$C$3*(1+B1022)^4)*((1-$I$4-$I$5+E1022)*(1-$I$10)+$I$6-$I$11)-('Data Schema'!$C$3*(1+B1022)^4-'Data Schema'!$C$3*(1+B1022)^3)*$I$12)/(1+C1022)^4+(('Data Schema'!$C$3*(1+B1022)^5)*((1-$I$4-$I$5+E1022)*(1-$I$10)+$I$6-$I$11)-('Data Schema'!$C$3*(1+B1022)^5-'Data Schema'!$C$3*(1+B1022)^4)*$I$12)/(1+C1022)^5+((('Data Schema'!$C$3*(1+B1022)^5)*((1-$I$4-$I$5+E1022)*(1-$I$10)+$I$6-$I$11)-('Data Schema'!$C$3*(1+B1022)^5-'Data Schema'!$C$3*(1+B1022)^4)*$I$12)*(1+D1022)/(C1022-D1022))/(1+C1022)^5-'Data Schema'!$C$31+'Data Schema'!$C$21)/'Data Schema'!$B$17,0),"INVALID")</f>
        <v>133.05891652797433</v>
      </c>
      <c r="H1022" s="189" t="b">
        <f t="shared" ca="1" si="122"/>
        <v>1</v>
      </c>
      <c r="I1022" s="188">
        <f t="shared" ca="1" si="123"/>
        <v>133.05891652797433</v>
      </c>
      <c r="J1022" s="349">
        <f t="shared" ca="1" si="116"/>
        <v>133.05891652797433</v>
      </c>
    </row>
    <row r="1023" spans="1:10">
      <c r="A1023" s="184">
        <v>844</v>
      </c>
      <c r="B1023" s="190">
        <f t="shared" ca="1" si="117"/>
        <v>8.9634890233318901E-2</v>
      </c>
      <c r="C1023" s="190">
        <f t="shared" ca="1" si="118"/>
        <v>7.65557305215262E-2</v>
      </c>
      <c r="D1023" s="190">
        <f t="shared" ca="1" si="119"/>
        <v>2.7888522523388925E-2</v>
      </c>
      <c r="E1023" s="190">
        <f t="shared" ca="1" si="120"/>
        <v>-1.891047182905574E-3</v>
      </c>
      <c r="F1023" s="189" t="b">
        <f t="shared" ca="1" si="121"/>
        <v>1</v>
      </c>
      <c r="G1023" s="188">
        <f ca="1">IF(F1023,IFERROR(((('Data Schema'!$C$3*(1+B1023)^1)*((1-$I$4-$I$5+E1023)*(1-$I$10)+$I$6-$I$11)-('Data Schema'!$C$3*(1+B1023)^1-'Data Schema'!$C$3)*$I$12)/(1+C1023)^1+(('Data Schema'!$C$3*(1+B1023)^2)*((1-$I$4-$I$5+E1023)*(1-$I$10)+$I$6-$I$11)-('Data Schema'!$C$3*(1+B1023)^2-'Data Schema'!$C$3*(1+B1023)^1)*$I$12)/(1+C1023)^2+(('Data Schema'!$C$3*(1+B1023)^3)*((1-$I$4-$I$5+E1023)*(1-$I$10)+$I$6-$I$11)-('Data Schema'!$C$3*(1+B1023)^3-'Data Schema'!$C$3*(1+B1023)^2)*$I$12)/(1+C1023)^3+(('Data Schema'!$C$3*(1+B1023)^4)*((1-$I$4-$I$5+E1023)*(1-$I$10)+$I$6-$I$11)-('Data Schema'!$C$3*(1+B1023)^4-'Data Schema'!$C$3*(1+B1023)^3)*$I$12)/(1+C1023)^4+(('Data Schema'!$C$3*(1+B1023)^5)*((1-$I$4-$I$5+E1023)*(1-$I$10)+$I$6-$I$11)-('Data Schema'!$C$3*(1+B1023)^5-'Data Schema'!$C$3*(1+B1023)^4)*$I$12)/(1+C1023)^5+((('Data Schema'!$C$3*(1+B1023)^5)*((1-$I$4-$I$5+E1023)*(1-$I$10)+$I$6-$I$11)-('Data Schema'!$C$3*(1+B1023)^5-'Data Schema'!$C$3*(1+B1023)^4)*$I$12)*(1+D1023)/(C1023-D1023))/(1+C1023)^5-'Data Schema'!$C$31+'Data Schema'!$C$21)/'Data Schema'!$B$17,0),"INVALID")</f>
        <v>52.362979062912885</v>
      </c>
      <c r="H1023" s="189" t="b">
        <f t="shared" ca="1" si="122"/>
        <v>1</v>
      </c>
      <c r="I1023" s="188">
        <f t="shared" ca="1" si="123"/>
        <v>52.362979062912885</v>
      </c>
      <c r="J1023" s="349">
        <f t="shared" ca="1" si="116"/>
        <v>52.362979062912885</v>
      </c>
    </row>
    <row r="1024" spans="1:10">
      <c r="A1024" s="185">
        <v>845</v>
      </c>
      <c r="B1024" s="190">
        <f t="shared" ca="1" si="117"/>
        <v>0.1208071354627205</v>
      </c>
      <c r="C1024" s="190">
        <f t="shared" ca="1" si="118"/>
        <v>6.6287229582770724E-2</v>
      </c>
      <c r="D1024" s="190">
        <f t="shared" ca="1" si="119"/>
        <v>2.1812795449169482E-2</v>
      </c>
      <c r="E1024" s="190">
        <f t="shared" ca="1" si="120"/>
        <v>-6.9424978310090582E-3</v>
      </c>
      <c r="F1024" s="189" t="b">
        <f t="shared" ca="1" si="121"/>
        <v>1</v>
      </c>
      <c r="G1024" s="188">
        <f ca="1">IF(F1024,IFERROR(((('Data Schema'!$C$3*(1+B1024)^1)*((1-$I$4-$I$5+E1024)*(1-$I$10)+$I$6-$I$11)-('Data Schema'!$C$3*(1+B1024)^1-'Data Schema'!$C$3)*$I$12)/(1+C1024)^1+(('Data Schema'!$C$3*(1+B1024)^2)*((1-$I$4-$I$5+E1024)*(1-$I$10)+$I$6-$I$11)-('Data Schema'!$C$3*(1+B1024)^2-'Data Schema'!$C$3*(1+B1024)^1)*$I$12)/(1+C1024)^2+(('Data Schema'!$C$3*(1+B1024)^3)*((1-$I$4-$I$5+E1024)*(1-$I$10)+$I$6-$I$11)-('Data Schema'!$C$3*(1+B1024)^3-'Data Schema'!$C$3*(1+B1024)^2)*$I$12)/(1+C1024)^3+(('Data Schema'!$C$3*(1+B1024)^4)*((1-$I$4-$I$5+E1024)*(1-$I$10)+$I$6-$I$11)-('Data Schema'!$C$3*(1+B1024)^4-'Data Schema'!$C$3*(1+B1024)^3)*$I$12)/(1+C1024)^4+(('Data Schema'!$C$3*(1+B1024)^5)*((1-$I$4-$I$5+E1024)*(1-$I$10)+$I$6-$I$11)-('Data Schema'!$C$3*(1+B1024)^5-'Data Schema'!$C$3*(1+B1024)^4)*$I$12)/(1+C1024)^5+((('Data Schema'!$C$3*(1+B1024)^5)*((1-$I$4-$I$5+E1024)*(1-$I$10)+$I$6-$I$11)-('Data Schema'!$C$3*(1+B1024)^5-'Data Schema'!$C$3*(1+B1024)^4)*$I$12)*(1+D1024)/(C1024-D1024))/(1+C1024)^5-'Data Schema'!$C$31+'Data Schema'!$C$21)/'Data Schema'!$B$17,0),"INVALID")</f>
        <v>55.388330156450806</v>
      </c>
      <c r="H1024" s="189" t="b">
        <f t="shared" ca="1" si="122"/>
        <v>1</v>
      </c>
      <c r="I1024" s="188">
        <f t="shared" ca="1" si="123"/>
        <v>55.388330156450806</v>
      </c>
      <c r="J1024" s="349">
        <f t="shared" ca="1" si="116"/>
        <v>55.388330156450806</v>
      </c>
    </row>
    <row r="1025" spans="1:10">
      <c r="A1025" s="184">
        <v>846</v>
      </c>
      <c r="B1025" s="190">
        <f t="shared" ca="1" si="117"/>
        <v>0.11049600424895113</v>
      </c>
      <c r="C1025" s="190">
        <f t="shared" ca="1" si="118"/>
        <v>5.3565838568357567E-2</v>
      </c>
      <c r="D1025" s="190">
        <f t="shared" ca="1" si="119"/>
        <v>2.6826589094535877E-2</v>
      </c>
      <c r="E1025" s="190">
        <f t="shared" ca="1" si="120"/>
        <v>1.6782737034399187E-2</v>
      </c>
      <c r="F1025" s="189" t="b">
        <f t="shared" ca="1" si="121"/>
        <v>1</v>
      </c>
      <c r="G1025" s="188">
        <f ca="1">IF(F1025,IFERROR(((('Data Schema'!$C$3*(1+B1025)^1)*((1-$I$4-$I$5+E1025)*(1-$I$10)+$I$6-$I$11)-('Data Schema'!$C$3*(1+B1025)^1-'Data Schema'!$C$3)*$I$12)/(1+C1025)^1+(('Data Schema'!$C$3*(1+B1025)^2)*((1-$I$4-$I$5+E1025)*(1-$I$10)+$I$6-$I$11)-('Data Schema'!$C$3*(1+B1025)^2-'Data Schema'!$C$3*(1+B1025)^1)*$I$12)/(1+C1025)^2+(('Data Schema'!$C$3*(1+B1025)^3)*((1-$I$4-$I$5+E1025)*(1-$I$10)+$I$6-$I$11)-('Data Schema'!$C$3*(1+B1025)^3-'Data Schema'!$C$3*(1+B1025)^2)*$I$12)/(1+C1025)^3+(('Data Schema'!$C$3*(1+B1025)^4)*((1-$I$4-$I$5+E1025)*(1-$I$10)+$I$6-$I$11)-('Data Schema'!$C$3*(1+B1025)^4-'Data Schema'!$C$3*(1+B1025)^3)*$I$12)/(1+C1025)^4+(('Data Schema'!$C$3*(1+B1025)^5)*((1-$I$4-$I$5+E1025)*(1-$I$10)+$I$6-$I$11)-('Data Schema'!$C$3*(1+B1025)^5-'Data Schema'!$C$3*(1+B1025)^4)*$I$12)/(1+C1025)^5+((('Data Schema'!$C$3*(1+B1025)^5)*((1-$I$4-$I$5+E1025)*(1-$I$10)+$I$6-$I$11)-('Data Schema'!$C$3*(1+B1025)^5-'Data Schema'!$C$3*(1+B1025)^4)*$I$12)*(1+D1025)/(C1025-D1025))/(1+C1025)^5-'Data Schema'!$C$31+'Data Schema'!$C$21)/'Data Schema'!$B$17,0),"INVALID")</f>
        <v>180.82620065505913</v>
      </c>
      <c r="H1025" s="189" t="b">
        <f t="shared" ca="1" si="122"/>
        <v>1</v>
      </c>
      <c r="I1025" s="188">
        <f t="shared" ca="1" si="123"/>
        <v>180.82620065505913</v>
      </c>
      <c r="J1025" s="349">
        <f t="shared" ca="1" si="116"/>
        <v>180.82620065505913</v>
      </c>
    </row>
    <row r="1026" spans="1:10">
      <c r="A1026" s="185">
        <v>847</v>
      </c>
      <c r="B1026" s="190">
        <f t="shared" ca="1" si="117"/>
        <v>9.5567838521213602E-2</v>
      </c>
      <c r="C1026" s="190">
        <f t="shared" ca="1" si="118"/>
        <v>4.9620149102974409E-2</v>
      </c>
      <c r="D1026" s="190">
        <f t="shared" ca="1" si="119"/>
        <v>2.659122335178362E-2</v>
      </c>
      <c r="E1026" s="190">
        <f t="shared" ca="1" si="120"/>
        <v>-2.3327577746852426E-2</v>
      </c>
      <c r="F1026" s="189" t="b">
        <f t="shared" ca="1" si="121"/>
        <v>1</v>
      </c>
      <c r="G1026" s="188">
        <f ca="1">IF(F1026,IFERROR(((('Data Schema'!$C$3*(1+B1026)^1)*((1-$I$4-$I$5+E1026)*(1-$I$10)+$I$6-$I$11)-('Data Schema'!$C$3*(1+B1026)^1-'Data Schema'!$C$3)*$I$12)/(1+C1026)^1+(('Data Schema'!$C$3*(1+B1026)^2)*((1-$I$4-$I$5+E1026)*(1-$I$10)+$I$6-$I$11)-('Data Schema'!$C$3*(1+B1026)^2-'Data Schema'!$C$3*(1+B1026)^1)*$I$12)/(1+C1026)^2+(('Data Schema'!$C$3*(1+B1026)^3)*((1-$I$4-$I$5+E1026)*(1-$I$10)+$I$6-$I$11)-('Data Schema'!$C$3*(1+B1026)^3-'Data Schema'!$C$3*(1+B1026)^2)*$I$12)/(1+C1026)^3+(('Data Schema'!$C$3*(1+B1026)^4)*((1-$I$4-$I$5+E1026)*(1-$I$10)+$I$6-$I$11)-('Data Schema'!$C$3*(1+B1026)^4-'Data Schema'!$C$3*(1+B1026)^3)*$I$12)/(1+C1026)^4+(('Data Schema'!$C$3*(1+B1026)^5)*((1-$I$4-$I$5+E1026)*(1-$I$10)+$I$6-$I$11)-('Data Schema'!$C$3*(1+B1026)^5-'Data Schema'!$C$3*(1+B1026)^4)*$I$12)/(1+C1026)^5+((('Data Schema'!$C$3*(1+B1026)^5)*((1-$I$4-$I$5+E1026)*(1-$I$10)+$I$6-$I$11)-('Data Schema'!$C$3*(1+B1026)^5-'Data Schema'!$C$3*(1+B1026)^4)*$I$12)*(1+D1026)/(C1026-D1026))/(1+C1026)^5-'Data Schema'!$C$31+'Data Schema'!$C$21)/'Data Schema'!$B$17,0),"INVALID")</f>
        <v>36.35557544352011</v>
      </c>
      <c r="H1026" s="189" t="b">
        <f t="shared" ca="1" si="122"/>
        <v>1</v>
      </c>
      <c r="I1026" s="188">
        <f t="shared" ca="1" si="123"/>
        <v>36.35557544352011</v>
      </c>
      <c r="J1026" s="349">
        <f t="shared" ca="1" si="116"/>
        <v>36.35557544352011</v>
      </c>
    </row>
    <row r="1027" spans="1:10">
      <c r="A1027" s="184">
        <v>848</v>
      </c>
      <c r="B1027" s="190">
        <f t="shared" ca="1" si="117"/>
        <v>7.8313750083328637E-2</v>
      </c>
      <c r="C1027" s="190">
        <f t="shared" ca="1" si="118"/>
        <v>5.2865057059671476E-2</v>
      </c>
      <c r="D1027" s="190">
        <f t="shared" ca="1" si="119"/>
        <v>2.3268531206709967E-2</v>
      </c>
      <c r="E1027" s="190">
        <f t="shared" ca="1" si="120"/>
        <v>3.9264724645136771E-2</v>
      </c>
      <c r="F1027" s="189" t="b">
        <f t="shared" ca="1" si="121"/>
        <v>1</v>
      </c>
      <c r="G1027" s="188">
        <f ca="1">IF(F1027,IFERROR(((('Data Schema'!$C$3*(1+B1027)^1)*((1-$I$4-$I$5+E1027)*(1-$I$10)+$I$6-$I$11)-('Data Schema'!$C$3*(1+B1027)^1-'Data Schema'!$C$3)*$I$12)/(1+C1027)^1+(('Data Schema'!$C$3*(1+B1027)^2)*((1-$I$4-$I$5+E1027)*(1-$I$10)+$I$6-$I$11)-('Data Schema'!$C$3*(1+B1027)^2-'Data Schema'!$C$3*(1+B1027)^1)*$I$12)/(1+C1027)^2+(('Data Schema'!$C$3*(1+B1027)^3)*((1-$I$4-$I$5+E1027)*(1-$I$10)+$I$6-$I$11)-('Data Schema'!$C$3*(1+B1027)^3-'Data Schema'!$C$3*(1+B1027)^2)*$I$12)/(1+C1027)^3+(('Data Schema'!$C$3*(1+B1027)^4)*((1-$I$4-$I$5+E1027)*(1-$I$10)+$I$6-$I$11)-('Data Schema'!$C$3*(1+B1027)^4-'Data Schema'!$C$3*(1+B1027)^3)*$I$12)/(1+C1027)^4+(('Data Schema'!$C$3*(1+B1027)^5)*((1-$I$4-$I$5+E1027)*(1-$I$10)+$I$6-$I$11)-('Data Schema'!$C$3*(1+B1027)^5-'Data Schema'!$C$3*(1+B1027)^4)*$I$12)/(1+C1027)^5+((('Data Schema'!$C$3*(1+B1027)^5)*((1-$I$4-$I$5+E1027)*(1-$I$10)+$I$6-$I$11)-('Data Schema'!$C$3*(1+B1027)^5-'Data Schema'!$C$3*(1+B1027)^4)*$I$12)*(1+D1027)/(C1027-D1027))/(1+C1027)^5-'Data Schema'!$C$31+'Data Schema'!$C$21)/'Data Schema'!$B$17,0),"INVALID")</f>
        <v>210.71503873061437</v>
      </c>
      <c r="H1027" s="189" t="b">
        <f t="shared" ca="1" si="122"/>
        <v>1</v>
      </c>
      <c r="I1027" s="188">
        <f t="shared" ca="1" si="123"/>
        <v>210.71503873061437</v>
      </c>
      <c r="J1027" s="349">
        <f t="shared" ca="1" si="116"/>
        <v>210.71503873061437</v>
      </c>
    </row>
    <row r="1028" spans="1:10">
      <c r="A1028" s="185">
        <v>849</v>
      </c>
      <c r="B1028" s="190">
        <f t="shared" ca="1" si="117"/>
        <v>0.11752234603947734</v>
      </c>
      <c r="C1028" s="190">
        <f t="shared" ca="1" si="118"/>
        <v>7.2169124916999228E-2</v>
      </c>
      <c r="D1028" s="190">
        <f t="shared" ca="1" si="119"/>
        <v>1.7474778343109516E-2</v>
      </c>
      <c r="E1028" s="190">
        <f t="shared" ca="1" si="120"/>
        <v>8.3675926758564143E-3</v>
      </c>
      <c r="F1028" s="189" t="b">
        <f t="shared" ca="1" si="121"/>
        <v>1</v>
      </c>
      <c r="G1028" s="188">
        <f ca="1">IF(F1028,IFERROR(((('Data Schema'!$C$3*(1+B1028)^1)*((1-$I$4-$I$5+E1028)*(1-$I$10)+$I$6-$I$11)-('Data Schema'!$C$3*(1+B1028)^1-'Data Schema'!$C$3)*$I$12)/(1+C1028)^1+(('Data Schema'!$C$3*(1+B1028)^2)*((1-$I$4-$I$5+E1028)*(1-$I$10)+$I$6-$I$11)-('Data Schema'!$C$3*(1+B1028)^2-'Data Schema'!$C$3*(1+B1028)^1)*$I$12)/(1+C1028)^2+(('Data Schema'!$C$3*(1+B1028)^3)*((1-$I$4-$I$5+E1028)*(1-$I$10)+$I$6-$I$11)-('Data Schema'!$C$3*(1+B1028)^3-'Data Schema'!$C$3*(1+B1028)^2)*$I$12)/(1+C1028)^3+(('Data Schema'!$C$3*(1+B1028)^4)*((1-$I$4-$I$5+E1028)*(1-$I$10)+$I$6-$I$11)-('Data Schema'!$C$3*(1+B1028)^4-'Data Schema'!$C$3*(1+B1028)^3)*$I$12)/(1+C1028)^4+(('Data Schema'!$C$3*(1+B1028)^5)*((1-$I$4-$I$5+E1028)*(1-$I$10)+$I$6-$I$11)-('Data Schema'!$C$3*(1+B1028)^5-'Data Schema'!$C$3*(1+B1028)^4)*$I$12)/(1+C1028)^5+((('Data Schema'!$C$3*(1+B1028)^5)*((1-$I$4-$I$5+E1028)*(1-$I$10)+$I$6-$I$11)-('Data Schema'!$C$3*(1+B1028)^5-'Data Schema'!$C$3*(1+B1028)^4)*$I$12)*(1+D1028)/(C1028-D1028))/(1+C1028)^5-'Data Schema'!$C$31+'Data Schema'!$C$21)/'Data Schema'!$B$17,0),"INVALID")</f>
        <v>72.744496947480712</v>
      </c>
      <c r="H1028" s="189" t="b">
        <f t="shared" ca="1" si="122"/>
        <v>1</v>
      </c>
      <c r="I1028" s="188">
        <f t="shared" ca="1" si="123"/>
        <v>72.744496947480712</v>
      </c>
      <c r="J1028" s="349">
        <f t="shared" ca="1" si="116"/>
        <v>72.744496947480712</v>
      </c>
    </row>
    <row r="1029" spans="1:10">
      <c r="A1029" s="184">
        <v>850</v>
      </c>
      <c r="B1029" s="190">
        <f t="shared" ca="1" si="117"/>
        <v>0.11873192270544466</v>
      </c>
      <c r="C1029" s="190">
        <f t="shared" ca="1" si="118"/>
        <v>5.0256174566428939E-2</v>
      </c>
      <c r="D1029" s="190">
        <f t="shared" ca="1" si="119"/>
        <v>2.0930724738614404E-2</v>
      </c>
      <c r="E1029" s="190">
        <f t="shared" ca="1" si="120"/>
        <v>-4.669164321302809E-3</v>
      </c>
      <c r="F1029" s="189" t="b">
        <f t="shared" ca="1" si="121"/>
        <v>1</v>
      </c>
      <c r="G1029" s="188">
        <f ca="1">IF(F1029,IFERROR(((('Data Schema'!$C$3*(1+B1029)^1)*((1-$I$4-$I$5+E1029)*(1-$I$10)+$I$6-$I$11)-('Data Schema'!$C$3*(1+B1029)^1-'Data Schema'!$C$3)*$I$12)/(1+C1029)^1+(('Data Schema'!$C$3*(1+B1029)^2)*((1-$I$4-$I$5+E1029)*(1-$I$10)+$I$6-$I$11)-('Data Schema'!$C$3*(1+B1029)^2-'Data Schema'!$C$3*(1+B1029)^1)*$I$12)/(1+C1029)^2+(('Data Schema'!$C$3*(1+B1029)^3)*((1-$I$4-$I$5+E1029)*(1-$I$10)+$I$6-$I$11)-('Data Schema'!$C$3*(1+B1029)^3-'Data Schema'!$C$3*(1+B1029)^2)*$I$12)/(1+C1029)^3+(('Data Schema'!$C$3*(1+B1029)^4)*((1-$I$4-$I$5+E1029)*(1-$I$10)+$I$6-$I$11)-('Data Schema'!$C$3*(1+B1029)^4-'Data Schema'!$C$3*(1+B1029)^3)*$I$12)/(1+C1029)^4+(('Data Schema'!$C$3*(1+B1029)^5)*((1-$I$4-$I$5+E1029)*(1-$I$10)+$I$6-$I$11)-('Data Schema'!$C$3*(1+B1029)^5-'Data Schema'!$C$3*(1+B1029)^4)*$I$12)/(1+C1029)^5+((('Data Schema'!$C$3*(1+B1029)^5)*((1-$I$4-$I$5+E1029)*(1-$I$10)+$I$6-$I$11)-('Data Schema'!$C$3*(1+B1029)^5-'Data Schema'!$C$3*(1+B1029)^4)*$I$12)*(1+D1029)/(C1029-D1029))/(1+C1029)^5-'Data Schema'!$C$31+'Data Schema'!$C$21)/'Data Schema'!$B$17,0),"INVALID")</f>
        <v>96.424157056950591</v>
      </c>
      <c r="H1029" s="189" t="b">
        <f t="shared" ca="1" si="122"/>
        <v>1</v>
      </c>
      <c r="I1029" s="188">
        <f t="shared" ca="1" si="123"/>
        <v>96.424157056950591</v>
      </c>
      <c r="J1029" s="349">
        <f t="shared" ca="1" si="116"/>
        <v>96.424157056950591</v>
      </c>
    </row>
    <row r="1030" spans="1:10">
      <c r="A1030" s="185">
        <v>851</v>
      </c>
      <c r="B1030" s="190">
        <f t="shared" ca="1" si="117"/>
        <v>5.1340100581676783E-2</v>
      </c>
      <c r="C1030" s="190">
        <f t="shared" ca="1" si="118"/>
        <v>5.1724289490317703E-2</v>
      </c>
      <c r="D1030" s="190">
        <f t="shared" ca="1" si="119"/>
        <v>2.6108433059755284E-2</v>
      </c>
      <c r="E1030" s="190">
        <f t="shared" ca="1" si="120"/>
        <v>-5.7045628572567619E-3</v>
      </c>
      <c r="F1030" s="189" t="b">
        <f t="shared" ca="1" si="121"/>
        <v>1</v>
      </c>
      <c r="G1030" s="188">
        <f ca="1">IF(F1030,IFERROR(((('Data Schema'!$C$3*(1+B1030)^1)*((1-$I$4-$I$5+E1030)*(1-$I$10)+$I$6-$I$11)-('Data Schema'!$C$3*(1+B1030)^1-'Data Schema'!$C$3)*$I$12)/(1+C1030)^1+(('Data Schema'!$C$3*(1+B1030)^2)*((1-$I$4-$I$5+E1030)*(1-$I$10)+$I$6-$I$11)-('Data Schema'!$C$3*(1+B1030)^2-'Data Schema'!$C$3*(1+B1030)^1)*$I$12)/(1+C1030)^2+(('Data Schema'!$C$3*(1+B1030)^3)*((1-$I$4-$I$5+E1030)*(1-$I$10)+$I$6-$I$11)-('Data Schema'!$C$3*(1+B1030)^3-'Data Schema'!$C$3*(1+B1030)^2)*$I$12)/(1+C1030)^3+(('Data Schema'!$C$3*(1+B1030)^4)*((1-$I$4-$I$5+E1030)*(1-$I$10)+$I$6-$I$11)-('Data Schema'!$C$3*(1+B1030)^4-'Data Schema'!$C$3*(1+B1030)^3)*$I$12)/(1+C1030)^4+(('Data Schema'!$C$3*(1+B1030)^5)*((1-$I$4-$I$5+E1030)*(1-$I$10)+$I$6-$I$11)-('Data Schema'!$C$3*(1+B1030)^5-'Data Schema'!$C$3*(1+B1030)^4)*$I$12)/(1+C1030)^5+((('Data Schema'!$C$3*(1+B1030)^5)*((1-$I$4-$I$5+E1030)*(1-$I$10)+$I$6-$I$11)-('Data Schema'!$C$3*(1+B1030)^5-'Data Schema'!$C$3*(1+B1030)^4)*$I$12)*(1+D1030)/(C1030-D1030))/(1+C1030)^5-'Data Schema'!$C$31+'Data Schema'!$C$21)/'Data Schema'!$B$17,0),"INVALID")</f>
        <v>80.923742963819194</v>
      </c>
      <c r="H1030" s="189" t="b">
        <f t="shared" ca="1" si="122"/>
        <v>1</v>
      </c>
      <c r="I1030" s="188">
        <f t="shared" ca="1" si="123"/>
        <v>80.923742963819194</v>
      </c>
      <c r="J1030" s="349">
        <f t="shared" ca="1" si="116"/>
        <v>80.923742963819194</v>
      </c>
    </row>
    <row r="1031" spans="1:10">
      <c r="A1031" s="184">
        <v>852</v>
      </c>
      <c r="B1031" s="190">
        <f t="shared" ca="1" si="117"/>
        <v>8.804755112742936E-2</v>
      </c>
      <c r="C1031" s="190">
        <f t="shared" ca="1" si="118"/>
        <v>5.3972270800605737E-2</v>
      </c>
      <c r="D1031" s="190">
        <f t="shared" ca="1" si="119"/>
        <v>2.1854266844051784E-2</v>
      </c>
      <c r="E1031" s="190">
        <f t="shared" ca="1" si="120"/>
        <v>-1.8952420522488161E-2</v>
      </c>
      <c r="F1031" s="189" t="b">
        <f t="shared" ca="1" si="121"/>
        <v>1</v>
      </c>
      <c r="G1031" s="188">
        <f ca="1">IF(F1031,IFERROR(((('Data Schema'!$C$3*(1+B1031)^1)*((1-$I$4-$I$5+E1031)*(1-$I$10)+$I$6-$I$11)-('Data Schema'!$C$3*(1+B1031)^1-'Data Schema'!$C$3)*$I$12)/(1+C1031)^1+(('Data Schema'!$C$3*(1+B1031)^2)*((1-$I$4-$I$5+E1031)*(1-$I$10)+$I$6-$I$11)-('Data Schema'!$C$3*(1+B1031)^2-'Data Schema'!$C$3*(1+B1031)^1)*$I$12)/(1+C1031)^2+(('Data Schema'!$C$3*(1+B1031)^3)*((1-$I$4-$I$5+E1031)*(1-$I$10)+$I$6-$I$11)-('Data Schema'!$C$3*(1+B1031)^3-'Data Schema'!$C$3*(1+B1031)^2)*$I$12)/(1+C1031)^3+(('Data Schema'!$C$3*(1+B1031)^4)*((1-$I$4-$I$5+E1031)*(1-$I$10)+$I$6-$I$11)-('Data Schema'!$C$3*(1+B1031)^4-'Data Schema'!$C$3*(1+B1031)^3)*$I$12)/(1+C1031)^4+(('Data Schema'!$C$3*(1+B1031)^5)*((1-$I$4-$I$5+E1031)*(1-$I$10)+$I$6-$I$11)-('Data Schema'!$C$3*(1+B1031)^5-'Data Schema'!$C$3*(1+B1031)^4)*$I$12)/(1+C1031)^5+((('Data Schema'!$C$3*(1+B1031)^5)*((1-$I$4-$I$5+E1031)*(1-$I$10)+$I$6-$I$11)-('Data Schema'!$C$3*(1+B1031)^5-'Data Schema'!$C$3*(1+B1031)^4)*$I$12)*(1+D1031)/(C1031-D1031))/(1+C1031)^5-'Data Schema'!$C$31+'Data Schema'!$C$21)/'Data Schema'!$B$17,0),"INVALID")</f>
        <v>36.424076528698983</v>
      </c>
      <c r="H1031" s="189" t="b">
        <f t="shared" ca="1" si="122"/>
        <v>1</v>
      </c>
      <c r="I1031" s="188">
        <f t="shared" ca="1" si="123"/>
        <v>36.424076528698983</v>
      </c>
      <c r="J1031" s="349">
        <f t="shared" ca="1" si="116"/>
        <v>36.424076528698983</v>
      </c>
    </row>
    <row r="1032" spans="1:10">
      <c r="A1032" s="185">
        <v>853</v>
      </c>
      <c r="B1032" s="190">
        <f t="shared" ca="1" si="117"/>
        <v>7.8570827449588793E-2</v>
      </c>
      <c r="C1032" s="190">
        <f t="shared" ca="1" si="118"/>
        <v>5.4329759835370792E-2</v>
      </c>
      <c r="D1032" s="190">
        <f t="shared" ca="1" si="119"/>
        <v>2.9189502042891776E-2</v>
      </c>
      <c r="E1032" s="190">
        <f t="shared" ca="1" si="120"/>
        <v>-8.5381578918887532E-3</v>
      </c>
      <c r="F1032" s="189" t="b">
        <f t="shared" ca="1" si="121"/>
        <v>1</v>
      </c>
      <c r="G1032" s="188">
        <f ca="1">IF(F1032,IFERROR(((('Data Schema'!$C$3*(1+B1032)^1)*((1-$I$4-$I$5+E1032)*(1-$I$10)+$I$6-$I$11)-('Data Schema'!$C$3*(1+B1032)^1-'Data Schema'!$C$3)*$I$12)/(1+C1032)^1+(('Data Schema'!$C$3*(1+B1032)^2)*((1-$I$4-$I$5+E1032)*(1-$I$10)+$I$6-$I$11)-('Data Schema'!$C$3*(1+B1032)^2-'Data Schema'!$C$3*(1+B1032)^1)*$I$12)/(1+C1032)^2+(('Data Schema'!$C$3*(1+B1032)^3)*((1-$I$4-$I$5+E1032)*(1-$I$10)+$I$6-$I$11)-('Data Schema'!$C$3*(1+B1032)^3-'Data Schema'!$C$3*(1+B1032)^2)*$I$12)/(1+C1032)^3+(('Data Schema'!$C$3*(1+B1032)^4)*((1-$I$4-$I$5+E1032)*(1-$I$10)+$I$6-$I$11)-('Data Schema'!$C$3*(1+B1032)^4-'Data Schema'!$C$3*(1+B1032)^3)*$I$12)/(1+C1032)^4+(('Data Schema'!$C$3*(1+B1032)^5)*((1-$I$4-$I$5+E1032)*(1-$I$10)+$I$6-$I$11)-('Data Schema'!$C$3*(1+B1032)^5-'Data Schema'!$C$3*(1+B1032)^4)*$I$12)/(1+C1032)^5+((('Data Schema'!$C$3*(1+B1032)^5)*((1-$I$4-$I$5+E1032)*(1-$I$10)+$I$6-$I$11)-('Data Schema'!$C$3*(1+B1032)^5-'Data Schema'!$C$3*(1+B1032)^4)*$I$12)*(1+D1032)/(C1032-D1032))/(1+C1032)^5-'Data Schema'!$C$31+'Data Schema'!$C$21)/'Data Schema'!$B$17,0),"INVALID")</f>
        <v>81.265257584491067</v>
      </c>
      <c r="H1032" s="189" t="b">
        <f t="shared" ca="1" si="122"/>
        <v>1</v>
      </c>
      <c r="I1032" s="188">
        <f t="shared" ca="1" si="123"/>
        <v>81.265257584491067</v>
      </c>
      <c r="J1032" s="349">
        <f t="shared" ca="1" si="116"/>
        <v>81.265257584491067</v>
      </c>
    </row>
    <row r="1033" spans="1:10">
      <c r="A1033" s="184">
        <v>854</v>
      </c>
      <c r="B1033" s="190">
        <f t="shared" ca="1" si="117"/>
        <v>6.4947023539720442E-2</v>
      </c>
      <c r="C1033" s="190">
        <f t="shared" ca="1" si="118"/>
        <v>7.2666181308969888E-2</v>
      </c>
      <c r="D1033" s="190">
        <f t="shared" ca="1" si="119"/>
        <v>3.4235052024383102E-2</v>
      </c>
      <c r="E1033" s="190">
        <f t="shared" ca="1" si="120"/>
        <v>-1.3655043326375996E-3</v>
      </c>
      <c r="F1033" s="189" t="b">
        <f t="shared" ca="1" si="121"/>
        <v>1</v>
      </c>
      <c r="G1033" s="188">
        <f ca="1">IF(F1033,IFERROR(((('Data Schema'!$C$3*(1+B1033)^1)*((1-$I$4-$I$5+E1033)*(1-$I$10)+$I$6-$I$11)-('Data Schema'!$C$3*(1+B1033)^1-'Data Schema'!$C$3)*$I$12)/(1+C1033)^1+(('Data Schema'!$C$3*(1+B1033)^2)*((1-$I$4-$I$5+E1033)*(1-$I$10)+$I$6-$I$11)-('Data Schema'!$C$3*(1+B1033)^2-'Data Schema'!$C$3*(1+B1033)^1)*$I$12)/(1+C1033)^2+(('Data Schema'!$C$3*(1+B1033)^3)*((1-$I$4-$I$5+E1033)*(1-$I$10)+$I$6-$I$11)-('Data Schema'!$C$3*(1+B1033)^3-'Data Schema'!$C$3*(1+B1033)^2)*$I$12)/(1+C1033)^3+(('Data Schema'!$C$3*(1+B1033)^4)*((1-$I$4-$I$5+E1033)*(1-$I$10)+$I$6-$I$11)-('Data Schema'!$C$3*(1+B1033)^4-'Data Schema'!$C$3*(1+B1033)^3)*$I$12)/(1+C1033)^4+(('Data Schema'!$C$3*(1+B1033)^5)*((1-$I$4-$I$5+E1033)*(1-$I$10)+$I$6-$I$11)-('Data Schema'!$C$3*(1+B1033)^5-'Data Schema'!$C$3*(1+B1033)^4)*$I$12)/(1+C1033)^5+((('Data Schema'!$C$3*(1+B1033)^5)*((1-$I$4-$I$5+E1033)*(1-$I$10)+$I$6-$I$11)-('Data Schema'!$C$3*(1+B1033)^5-'Data Schema'!$C$3*(1+B1033)^4)*$I$12)*(1+D1033)/(C1033-D1033))/(1+C1033)^5-'Data Schema'!$C$31+'Data Schema'!$C$21)/'Data Schema'!$B$17,0),"INVALID")</f>
        <v>61.555021960303151</v>
      </c>
      <c r="H1033" s="189" t="b">
        <f t="shared" ca="1" si="122"/>
        <v>1</v>
      </c>
      <c r="I1033" s="188">
        <f t="shared" ca="1" si="123"/>
        <v>61.555021960303151</v>
      </c>
      <c r="J1033" s="349">
        <f t="shared" ca="1" si="116"/>
        <v>61.555021960303151</v>
      </c>
    </row>
    <row r="1034" spans="1:10">
      <c r="A1034" s="185">
        <v>855</v>
      </c>
      <c r="B1034" s="190">
        <f t="shared" ca="1" si="117"/>
        <v>9.0399157132935545E-2</v>
      </c>
      <c r="C1034" s="190">
        <f t="shared" ca="1" si="118"/>
        <v>7.4536860468375349E-2</v>
      </c>
      <c r="D1034" s="190">
        <f t="shared" ca="1" si="119"/>
        <v>1.7899696526248933E-2</v>
      </c>
      <c r="E1034" s="190">
        <f t="shared" ca="1" si="120"/>
        <v>-1.244865859981281E-2</v>
      </c>
      <c r="F1034" s="189" t="b">
        <f t="shared" ca="1" si="121"/>
        <v>1</v>
      </c>
      <c r="G1034" s="188">
        <f ca="1">IF(F1034,IFERROR(((('Data Schema'!$C$3*(1+B1034)^1)*((1-$I$4-$I$5+E1034)*(1-$I$10)+$I$6-$I$11)-('Data Schema'!$C$3*(1+B1034)^1-'Data Schema'!$C$3)*$I$12)/(1+C1034)^1+(('Data Schema'!$C$3*(1+B1034)^2)*((1-$I$4-$I$5+E1034)*(1-$I$10)+$I$6-$I$11)-('Data Schema'!$C$3*(1+B1034)^2-'Data Schema'!$C$3*(1+B1034)^1)*$I$12)/(1+C1034)^2+(('Data Schema'!$C$3*(1+B1034)^3)*((1-$I$4-$I$5+E1034)*(1-$I$10)+$I$6-$I$11)-('Data Schema'!$C$3*(1+B1034)^3-'Data Schema'!$C$3*(1+B1034)^2)*$I$12)/(1+C1034)^3+(('Data Schema'!$C$3*(1+B1034)^4)*((1-$I$4-$I$5+E1034)*(1-$I$10)+$I$6-$I$11)-('Data Schema'!$C$3*(1+B1034)^4-'Data Schema'!$C$3*(1+B1034)^3)*$I$12)/(1+C1034)^4+(('Data Schema'!$C$3*(1+B1034)^5)*((1-$I$4-$I$5+E1034)*(1-$I$10)+$I$6-$I$11)-('Data Schema'!$C$3*(1+B1034)^5-'Data Schema'!$C$3*(1+B1034)^4)*$I$12)/(1+C1034)^5+((('Data Schema'!$C$3*(1+B1034)^5)*((1-$I$4-$I$5+E1034)*(1-$I$10)+$I$6-$I$11)-('Data Schema'!$C$3*(1+B1034)^5-'Data Schema'!$C$3*(1+B1034)^4)*$I$12)*(1+D1034)/(C1034-D1034))/(1+C1034)^5-'Data Schema'!$C$31+'Data Schema'!$C$21)/'Data Schema'!$B$17,0),"INVALID")</f>
        <v>28.471863572222563</v>
      </c>
      <c r="H1034" s="189" t="b">
        <f t="shared" ca="1" si="122"/>
        <v>1</v>
      </c>
      <c r="I1034" s="188">
        <f t="shared" ca="1" si="123"/>
        <v>28.471863572222563</v>
      </c>
      <c r="J1034" s="349">
        <f t="shared" ca="1" si="116"/>
        <v>28.471863572222563</v>
      </c>
    </row>
    <row r="1035" spans="1:10">
      <c r="A1035" s="184">
        <v>856</v>
      </c>
      <c r="B1035" s="190">
        <f t="shared" ca="1" si="117"/>
        <v>7.9414841774264749E-2</v>
      </c>
      <c r="C1035" s="190">
        <f t="shared" ca="1" si="118"/>
        <v>5.9549474953363969E-2</v>
      </c>
      <c r="D1035" s="190">
        <f t="shared" ca="1" si="119"/>
        <v>3.2126397066077311E-2</v>
      </c>
      <c r="E1035" s="190">
        <f t="shared" ca="1" si="120"/>
        <v>-7.0085881694089682E-3</v>
      </c>
      <c r="F1035" s="189" t="b">
        <f t="shared" ca="1" si="121"/>
        <v>1</v>
      </c>
      <c r="G1035" s="188">
        <f ca="1">IF(F1035,IFERROR(((('Data Schema'!$C$3*(1+B1035)^1)*((1-$I$4-$I$5+E1035)*(1-$I$10)+$I$6-$I$11)-('Data Schema'!$C$3*(1+B1035)^1-'Data Schema'!$C$3)*$I$12)/(1+C1035)^1+(('Data Schema'!$C$3*(1+B1035)^2)*((1-$I$4-$I$5+E1035)*(1-$I$10)+$I$6-$I$11)-('Data Schema'!$C$3*(1+B1035)^2-'Data Schema'!$C$3*(1+B1035)^1)*$I$12)/(1+C1035)^2+(('Data Schema'!$C$3*(1+B1035)^3)*((1-$I$4-$I$5+E1035)*(1-$I$10)+$I$6-$I$11)-('Data Schema'!$C$3*(1+B1035)^3-'Data Schema'!$C$3*(1+B1035)^2)*$I$12)/(1+C1035)^3+(('Data Schema'!$C$3*(1+B1035)^4)*((1-$I$4-$I$5+E1035)*(1-$I$10)+$I$6-$I$11)-('Data Schema'!$C$3*(1+B1035)^4-'Data Schema'!$C$3*(1+B1035)^3)*$I$12)/(1+C1035)^4+(('Data Schema'!$C$3*(1+B1035)^5)*((1-$I$4-$I$5+E1035)*(1-$I$10)+$I$6-$I$11)-('Data Schema'!$C$3*(1+B1035)^5-'Data Schema'!$C$3*(1+B1035)^4)*$I$12)/(1+C1035)^5+((('Data Schema'!$C$3*(1+B1035)^5)*((1-$I$4-$I$5+E1035)*(1-$I$10)+$I$6-$I$11)-('Data Schema'!$C$3*(1+B1035)^5-'Data Schema'!$C$3*(1+B1035)^4)*$I$12)*(1+D1035)/(C1035-D1035))/(1+C1035)^5-'Data Schema'!$C$31+'Data Schema'!$C$21)/'Data Schema'!$B$17,0),"INVALID")</f>
        <v>77.971153119766598</v>
      </c>
      <c r="H1035" s="189" t="b">
        <f t="shared" ca="1" si="122"/>
        <v>1</v>
      </c>
      <c r="I1035" s="188">
        <f t="shared" ca="1" si="123"/>
        <v>77.971153119766598</v>
      </c>
      <c r="J1035" s="349">
        <f t="shared" ca="1" si="116"/>
        <v>77.971153119766598</v>
      </c>
    </row>
    <row r="1036" spans="1:10">
      <c r="A1036" s="185">
        <v>857</v>
      </c>
      <c r="B1036" s="190">
        <f t="shared" ca="1" si="117"/>
        <v>0.14961032977013144</v>
      </c>
      <c r="C1036" s="190">
        <f t="shared" ca="1" si="118"/>
        <v>5.1594713297099887E-2</v>
      </c>
      <c r="D1036" s="190">
        <f t="shared" ca="1" si="119"/>
        <v>2.5578296130262544E-2</v>
      </c>
      <c r="E1036" s="190">
        <f t="shared" ca="1" si="120"/>
        <v>1.0662173120000659E-2</v>
      </c>
      <c r="F1036" s="189" t="b">
        <f t="shared" ca="1" si="121"/>
        <v>1</v>
      </c>
      <c r="G1036" s="188">
        <f ca="1">IF(F1036,IFERROR(((('Data Schema'!$C$3*(1+B1036)^1)*((1-$I$4-$I$5+E1036)*(1-$I$10)+$I$6-$I$11)-('Data Schema'!$C$3*(1+B1036)^1-'Data Schema'!$C$3)*$I$12)/(1+C1036)^1+(('Data Schema'!$C$3*(1+B1036)^2)*((1-$I$4-$I$5+E1036)*(1-$I$10)+$I$6-$I$11)-('Data Schema'!$C$3*(1+B1036)^2-'Data Schema'!$C$3*(1+B1036)^1)*$I$12)/(1+C1036)^2+(('Data Schema'!$C$3*(1+B1036)^3)*((1-$I$4-$I$5+E1036)*(1-$I$10)+$I$6-$I$11)-('Data Schema'!$C$3*(1+B1036)^3-'Data Schema'!$C$3*(1+B1036)^2)*$I$12)/(1+C1036)^3+(('Data Schema'!$C$3*(1+B1036)^4)*((1-$I$4-$I$5+E1036)*(1-$I$10)+$I$6-$I$11)-('Data Schema'!$C$3*(1+B1036)^4-'Data Schema'!$C$3*(1+B1036)^3)*$I$12)/(1+C1036)^4+(('Data Schema'!$C$3*(1+B1036)^5)*((1-$I$4-$I$5+E1036)*(1-$I$10)+$I$6-$I$11)-('Data Schema'!$C$3*(1+B1036)^5-'Data Schema'!$C$3*(1+B1036)^4)*$I$12)/(1+C1036)^5+((('Data Schema'!$C$3*(1+B1036)^5)*((1-$I$4-$I$5+E1036)*(1-$I$10)+$I$6-$I$11)-('Data Schema'!$C$3*(1+B1036)^5-'Data Schema'!$C$3*(1+B1036)^4)*$I$12)*(1+D1036)/(C1036-D1036))/(1+C1036)^5-'Data Schema'!$C$31+'Data Schema'!$C$21)/'Data Schema'!$B$17,0),"INVALID")</f>
        <v>190.70587822115803</v>
      </c>
      <c r="H1036" s="189" t="b">
        <f t="shared" ca="1" si="122"/>
        <v>1</v>
      </c>
      <c r="I1036" s="188">
        <f t="shared" ca="1" si="123"/>
        <v>190.70587822115803</v>
      </c>
      <c r="J1036" s="349">
        <f t="shared" ca="1" si="116"/>
        <v>190.70587822115803</v>
      </c>
    </row>
    <row r="1037" spans="1:10">
      <c r="A1037" s="184">
        <v>858</v>
      </c>
      <c r="B1037" s="190">
        <f t="shared" ca="1" si="117"/>
        <v>9.4836495184005595E-2</v>
      </c>
      <c r="C1037" s="190">
        <f t="shared" ca="1" si="118"/>
        <v>4.6037938566917555E-2</v>
      </c>
      <c r="D1037" s="190">
        <f t="shared" ca="1" si="119"/>
        <v>3.167788330430274E-2</v>
      </c>
      <c r="E1037" s="190">
        <f t="shared" ca="1" si="120"/>
        <v>-2.3014572955859399E-2</v>
      </c>
      <c r="F1037" s="189" t="b">
        <f t="shared" ca="1" si="121"/>
        <v>0</v>
      </c>
      <c r="G1037" s="188" t="str">
        <f ca="1">IF(F1037,IFERROR(((('Data Schema'!$C$3*(1+B1037)^1)*((1-$I$4-$I$5+E1037)*(1-$I$10)+$I$6-$I$11)-('Data Schema'!$C$3*(1+B1037)^1-'Data Schema'!$C$3)*$I$12)/(1+C1037)^1+(('Data Schema'!$C$3*(1+B1037)^2)*((1-$I$4-$I$5+E1037)*(1-$I$10)+$I$6-$I$11)-('Data Schema'!$C$3*(1+B1037)^2-'Data Schema'!$C$3*(1+B1037)^1)*$I$12)/(1+C1037)^2+(('Data Schema'!$C$3*(1+B1037)^3)*((1-$I$4-$I$5+E1037)*(1-$I$10)+$I$6-$I$11)-('Data Schema'!$C$3*(1+B1037)^3-'Data Schema'!$C$3*(1+B1037)^2)*$I$12)/(1+C1037)^3+(('Data Schema'!$C$3*(1+B1037)^4)*((1-$I$4-$I$5+E1037)*(1-$I$10)+$I$6-$I$11)-('Data Schema'!$C$3*(1+B1037)^4-'Data Schema'!$C$3*(1+B1037)^3)*$I$12)/(1+C1037)^4+(('Data Schema'!$C$3*(1+B1037)^5)*((1-$I$4-$I$5+E1037)*(1-$I$10)+$I$6-$I$11)-('Data Schema'!$C$3*(1+B1037)^5-'Data Schema'!$C$3*(1+B1037)^4)*$I$12)/(1+C1037)^5+((('Data Schema'!$C$3*(1+B1037)^5)*((1-$I$4-$I$5+E1037)*(1-$I$10)+$I$6-$I$11)-('Data Schema'!$C$3*(1+B1037)^5-'Data Schema'!$C$3*(1+B1037)^4)*$I$12)*(1+D1037)/(C1037-D1037))/(1+C1037)^5-'Data Schema'!$C$31+'Data Schema'!$C$21)/'Data Schema'!$B$17,0),"INVALID")</f>
        <v>INVALID</v>
      </c>
      <c r="H1037" s="189" t="b">
        <f t="shared" ca="1" si="122"/>
        <v>0</v>
      </c>
      <c r="I1037" s="188" t="str">
        <f t="shared" ca="1" si="123"/>
        <v/>
      </c>
      <c r="J1037" s="349" t="str">
        <f t="shared" ca="1" si="116"/>
        <v/>
      </c>
    </row>
    <row r="1038" spans="1:10">
      <c r="A1038" s="185">
        <v>859</v>
      </c>
      <c r="B1038" s="190">
        <f t="shared" ca="1" si="117"/>
        <v>9.8957239359778432E-2</v>
      </c>
      <c r="C1038" s="190">
        <f t="shared" ca="1" si="118"/>
        <v>6.53469372950021E-2</v>
      </c>
      <c r="D1038" s="190">
        <f t="shared" ca="1" si="119"/>
        <v>3.1979118450694524E-2</v>
      </c>
      <c r="E1038" s="190">
        <f t="shared" ca="1" si="120"/>
        <v>7.9176533735193632E-3</v>
      </c>
      <c r="F1038" s="189" t="b">
        <f t="shared" ca="1" si="121"/>
        <v>1</v>
      </c>
      <c r="G1038" s="188">
        <f ca="1">IF(F1038,IFERROR(((('Data Schema'!$C$3*(1+B1038)^1)*((1-$I$4-$I$5+E1038)*(1-$I$10)+$I$6-$I$11)-('Data Schema'!$C$3*(1+B1038)^1-'Data Schema'!$C$3)*$I$12)/(1+C1038)^1+(('Data Schema'!$C$3*(1+B1038)^2)*((1-$I$4-$I$5+E1038)*(1-$I$10)+$I$6-$I$11)-('Data Schema'!$C$3*(1+B1038)^2-'Data Schema'!$C$3*(1+B1038)^1)*$I$12)/(1+C1038)^2+(('Data Schema'!$C$3*(1+B1038)^3)*((1-$I$4-$I$5+E1038)*(1-$I$10)+$I$6-$I$11)-('Data Schema'!$C$3*(1+B1038)^3-'Data Schema'!$C$3*(1+B1038)^2)*$I$12)/(1+C1038)^3+(('Data Schema'!$C$3*(1+B1038)^4)*((1-$I$4-$I$5+E1038)*(1-$I$10)+$I$6-$I$11)-('Data Schema'!$C$3*(1+B1038)^4-'Data Schema'!$C$3*(1+B1038)^3)*$I$12)/(1+C1038)^4+(('Data Schema'!$C$3*(1+B1038)^5)*((1-$I$4-$I$5+E1038)*(1-$I$10)+$I$6-$I$11)-('Data Schema'!$C$3*(1+B1038)^5-'Data Schema'!$C$3*(1+B1038)^4)*$I$12)/(1+C1038)^5+((('Data Schema'!$C$3*(1+B1038)^5)*((1-$I$4-$I$5+E1038)*(1-$I$10)+$I$6-$I$11)-('Data Schema'!$C$3*(1+B1038)^5-'Data Schema'!$C$3*(1+B1038)^4)*$I$12)*(1+D1038)/(C1038-D1038))/(1+C1038)^5-'Data Schema'!$C$31+'Data Schema'!$C$21)/'Data Schema'!$B$17,0),"INVALID")</f>
        <v>109.10050342133493</v>
      </c>
      <c r="H1038" s="189" t="b">
        <f t="shared" ca="1" si="122"/>
        <v>1</v>
      </c>
      <c r="I1038" s="188">
        <f t="shared" ca="1" si="123"/>
        <v>109.10050342133493</v>
      </c>
      <c r="J1038" s="349">
        <f t="shared" ca="1" si="116"/>
        <v>109.10050342133493</v>
      </c>
    </row>
    <row r="1039" spans="1:10">
      <c r="A1039" s="184">
        <v>860</v>
      </c>
      <c r="B1039" s="190">
        <f t="shared" ca="1" si="117"/>
        <v>0.13727339427599328</v>
      </c>
      <c r="C1039" s="190">
        <f t="shared" ca="1" si="118"/>
        <v>7.6776069548901621E-2</v>
      </c>
      <c r="D1039" s="190">
        <f t="shared" ca="1" si="119"/>
        <v>2.8859082391575905E-2</v>
      </c>
      <c r="E1039" s="190">
        <f t="shared" ca="1" si="120"/>
        <v>6.3729692076526139E-3</v>
      </c>
      <c r="F1039" s="189" t="b">
        <f t="shared" ca="1" si="121"/>
        <v>1</v>
      </c>
      <c r="G1039" s="188">
        <f ca="1">IF(F1039,IFERROR(((('Data Schema'!$C$3*(1+B1039)^1)*((1-$I$4-$I$5+E1039)*(1-$I$10)+$I$6-$I$11)-('Data Schema'!$C$3*(1+B1039)^1-'Data Schema'!$C$3)*$I$12)/(1+C1039)^1+(('Data Schema'!$C$3*(1+B1039)^2)*((1-$I$4-$I$5+E1039)*(1-$I$10)+$I$6-$I$11)-('Data Schema'!$C$3*(1+B1039)^2-'Data Schema'!$C$3*(1+B1039)^1)*$I$12)/(1+C1039)^2+(('Data Schema'!$C$3*(1+B1039)^3)*((1-$I$4-$I$5+E1039)*(1-$I$10)+$I$6-$I$11)-('Data Schema'!$C$3*(1+B1039)^3-'Data Schema'!$C$3*(1+B1039)^2)*$I$12)/(1+C1039)^3+(('Data Schema'!$C$3*(1+B1039)^4)*((1-$I$4-$I$5+E1039)*(1-$I$10)+$I$6-$I$11)-('Data Schema'!$C$3*(1+B1039)^4-'Data Schema'!$C$3*(1+B1039)^3)*$I$12)/(1+C1039)^4+(('Data Schema'!$C$3*(1+B1039)^5)*((1-$I$4-$I$5+E1039)*(1-$I$10)+$I$6-$I$11)-('Data Schema'!$C$3*(1+B1039)^5-'Data Schema'!$C$3*(1+B1039)^4)*$I$12)/(1+C1039)^5+((('Data Schema'!$C$3*(1+B1039)^5)*((1-$I$4-$I$5+E1039)*(1-$I$10)+$I$6-$I$11)-('Data Schema'!$C$3*(1+B1039)^5-'Data Schema'!$C$3*(1+B1039)^4)*$I$12)*(1+D1039)/(C1039-D1039))/(1+C1039)^5-'Data Schema'!$C$31+'Data Schema'!$C$21)/'Data Schema'!$B$17,0),"INVALID")</f>
        <v>82.830258057723583</v>
      </c>
      <c r="H1039" s="189" t="b">
        <f t="shared" ca="1" si="122"/>
        <v>1</v>
      </c>
      <c r="I1039" s="188">
        <f t="shared" ca="1" si="123"/>
        <v>82.830258057723583</v>
      </c>
      <c r="J1039" s="349">
        <f t="shared" ca="1" si="116"/>
        <v>82.830258057723583</v>
      </c>
    </row>
    <row r="1040" spans="1:10">
      <c r="A1040" s="185">
        <v>861</v>
      </c>
      <c r="B1040" s="190">
        <f t="shared" ca="1" si="117"/>
        <v>0.10191866201083369</v>
      </c>
      <c r="C1040" s="190">
        <f t="shared" ca="1" si="118"/>
        <v>5.5228681391633692E-2</v>
      </c>
      <c r="D1040" s="190">
        <f t="shared" ca="1" si="119"/>
        <v>1.7812510110168753E-2</v>
      </c>
      <c r="E1040" s="190">
        <f t="shared" ca="1" si="120"/>
        <v>-2.6445448493128288E-2</v>
      </c>
      <c r="F1040" s="189" t="b">
        <f t="shared" ca="1" si="121"/>
        <v>1</v>
      </c>
      <c r="G1040" s="188">
        <f ca="1">IF(F1040,IFERROR(((('Data Schema'!$C$3*(1+B1040)^1)*((1-$I$4-$I$5+E1040)*(1-$I$10)+$I$6-$I$11)-('Data Schema'!$C$3*(1+B1040)^1-'Data Schema'!$C$3)*$I$12)/(1+C1040)^1+(('Data Schema'!$C$3*(1+B1040)^2)*((1-$I$4-$I$5+E1040)*(1-$I$10)+$I$6-$I$11)-('Data Schema'!$C$3*(1+B1040)^2-'Data Schema'!$C$3*(1+B1040)^1)*$I$12)/(1+C1040)^2+(('Data Schema'!$C$3*(1+B1040)^3)*((1-$I$4-$I$5+E1040)*(1-$I$10)+$I$6-$I$11)-('Data Schema'!$C$3*(1+B1040)^3-'Data Schema'!$C$3*(1+B1040)^2)*$I$12)/(1+C1040)^3+(('Data Schema'!$C$3*(1+B1040)^4)*((1-$I$4-$I$5+E1040)*(1-$I$10)+$I$6-$I$11)-('Data Schema'!$C$3*(1+B1040)^4-'Data Schema'!$C$3*(1+B1040)^3)*$I$12)/(1+C1040)^4+(('Data Schema'!$C$3*(1+B1040)^5)*((1-$I$4-$I$5+E1040)*(1-$I$10)+$I$6-$I$11)-('Data Schema'!$C$3*(1+B1040)^5-'Data Schema'!$C$3*(1+B1040)^4)*$I$12)/(1+C1040)^5+((('Data Schema'!$C$3*(1+B1040)^5)*((1-$I$4-$I$5+E1040)*(1-$I$10)+$I$6-$I$11)-('Data Schema'!$C$3*(1+B1040)^5-'Data Schema'!$C$3*(1+B1040)^4)*$I$12)*(1+D1040)/(C1040-D1040))/(1+C1040)^5-'Data Schema'!$C$31+'Data Schema'!$C$21)/'Data Schema'!$B$17,0),"INVALID")</f>
        <v>12.509831503243232</v>
      </c>
      <c r="H1040" s="189" t="b">
        <f t="shared" ca="1" si="122"/>
        <v>1</v>
      </c>
      <c r="I1040" s="188">
        <f t="shared" ca="1" si="123"/>
        <v>12.509831503243232</v>
      </c>
      <c r="J1040" s="349" t="str">
        <f t="shared" ca="1" si="116"/>
        <v/>
      </c>
    </row>
    <row r="1041" spans="1:10">
      <c r="A1041" s="184">
        <v>862</v>
      </c>
      <c r="B1041" s="190">
        <f t="shared" ca="1" si="117"/>
        <v>8.0591072797947472E-2</v>
      </c>
      <c r="C1041" s="190">
        <f t="shared" ca="1" si="118"/>
        <v>4.5282350391105022E-2</v>
      </c>
      <c r="D1041" s="190">
        <f t="shared" ca="1" si="119"/>
        <v>2.0379257533455146E-2</v>
      </c>
      <c r="E1041" s="190">
        <f t="shared" ca="1" si="120"/>
        <v>-2.0280429542664357E-2</v>
      </c>
      <c r="F1041" s="189" t="b">
        <f t="shared" ca="1" si="121"/>
        <v>1</v>
      </c>
      <c r="G1041" s="188">
        <f ca="1">IF(F1041,IFERROR(((('Data Schema'!$C$3*(1+B1041)^1)*((1-$I$4-$I$5+E1041)*(1-$I$10)+$I$6-$I$11)-('Data Schema'!$C$3*(1+B1041)^1-'Data Schema'!$C$3)*$I$12)/(1+C1041)^1+(('Data Schema'!$C$3*(1+B1041)^2)*((1-$I$4-$I$5+E1041)*(1-$I$10)+$I$6-$I$11)-('Data Schema'!$C$3*(1+B1041)^2-'Data Schema'!$C$3*(1+B1041)^1)*$I$12)/(1+C1041)^2+(('Data Schema'!$C$3*(1+B1041)^3)*((1-$I$4-$I$5+E1041)*(1-$I$10)+$I$6-$I$11)-('Data Schema'!$C$3*(1+B1041)^3-'Data Schema'!$C$3*(1+B1041)^2)*$I$12)/(1+C1041)^3+(('Data Schema'!$C$3*(1+B1041)^4)*((1-$I$4-$I$5+E1041)*(1-$I$10)+$I$6-$I$11)-('Data Schema'!$C$3*(1+B1041)^4-'Data Schema'!$C$3*(1+B1041)^3)*$I$12)/(1+C1041)^4+(('Data Schema'!$C$3*(1+B1041)^5)*((1-$I$4-$I$5+E1041)*(1-$I$10)+$I$6-$I$11)-('Data Schema'!$C$3*(1+B1041)^5-'Data Schema'!$C$3*(1+B1041)^4)*$I$12)/(1+C1041)^5+((('Data Schema'!$C$3*(1+B1041)^5)*((1-$I$4-$I$5+E1041)*(1-$I$10)+$I$6-$I$11)-('Data Schema'!$C$3*(1+B1041)^5-'Data Schema'!$C$3*(1+B1041)^4)*$I$12)*(1+D1041)/(C1041-D1041))/(1+C1041)^5-'Data Schema'!$C$31+'Data Schema'!$C$21)/'Data Schema'!$B$17,0),"INVALID")</f>
        <v>43.524618650176791</v>
      </c>
      <c r="H1041" s="189" t="b">
        <f t="shared" ca="1" si="122"/>
        <v>1</v>
      </c>
      <c r="I1041" s="188">
        <f t="shared" ca="1" si="123"/>
        <v>43.524618650176791</v>
      </c>
      <c r="J1041" s="349">
        <f t="shared" ca="1" si="116"/>
        <v>43.524618650176791</v>
      </c>
    </row>
    <row r="1042" spans="1:10">
      <c r="A1042" s="185">
        <v>863</v>
      </c>
      <c r="B1042" s="190">
        <f t="shared" ca="1" si="117"/>
        <v>0.13411539541524833</v>
      </c>
      <c r="C1042" s="190">
        <f t="shared" ca="1" si="118"/>
        <v>7.3359993022600836E-2</v>
      </c>
      <c r="D1042" s="190">
        <f t="shared" ca="1" si="119"/>
        <v>2.193587480865029E-2</v>
      </c>
      <c r="E1042" s="190">
        <f t="shared" ca="1" si="120"/>
        <v>-2.8019924367310382E-2</v>
      </c>
      <c r="F1042" s="189" t="b">
        <f t="shared" ca="1" si="121"/>
        <v>1</v>
      </c>
      <c r="G1042" s="188">
        <f ca="1">IF(F1042,IFERROR(((('Data Schema'!$C$3*(1+B1042)^1)*((1-$I$4-$I$5+E1042)*(1-$I$10)+$I$6-$I$11)-('Data Schema'!$C$3*(1+B1042)^1-'Data Schema'!$C$3)*$I$12)/(1+C1042)^1+(('Data Schema'!$C$3*(1+B1042)^2)*((1-$I$4-$I$5+E1042)*(1-$I$10)+$I$6-$I$11)-('Data Schema'!$C$3*(1+B1042)^2-'Data Schema'!$C$3*(1+B1042)^1)*$I$12)/(1+C1042)^2+(('Data Schema'!$C$3*(1+B1042)^3)*((1-$I$4-$I$5+E1042)*(1-$I$10)+$I$6-$I$11)-('Data Schema'!$C$3*(1+B1042)^3-'Data Schema'!$C$3*(1+B1042)^2)*$I$12)/(1+C1042)^3+(('Data Schema'!$C$3*(1+B1042)^4)*((1-$I$4-$I$5+E1042)*(1-$I$10)+$I$6-$I$11)-('Data Schema'!$C$3*(1+B1042)^4-'Data Schema'!$C$3*(1+B1042)^3)*$I$12)/(1+C1042)^4+(('Data Schema'!$C$3*(1+B1042)^5)*((1-$I$4-$I$5+E1042)*(1-$I$10)+$I$6-$I$11)-('Data Schema'!$C$3*(1+B1042)^5-'Data Schema'!$C$3*(1+B1042)^4)*$I$12)/(1+C1042)^5+((('Data Schema'!$C$3*(1+B1042)^5)*((1-$I$4-$I$5+E1042)*(1-$I$10)+$I$6-$I$11)-('Data Schema'!$C$3*(1+B1042)^5-'Data Schema'!$C$3*(1+B1042)^4)*$I$12)*(1+D1042)/(C1042-D1042))/(1+C1042)^5-'Data Schema'!$C$31+'Data Schema'!$C$21)/'Data Schema'!$B$17,0),"INVALID")</f>
        <v>4.0124679900976608</v>
      </c>
      <c r="H1042" s="189" t="b">
        <f t="shared" ca="1" si="122"/>
        <v>0</v>
      </c>
      <c r="I1042" s="188" t="str">
        <f t="shared" ca="1" si="123"/>
        <v/>
      </c>
      <c r="J1042" s="349" t="str">
        <f t="shared" ca="1" si="116"/>
        <v/>
      </c>
    </row>
    <row r="1043" spans="1:10">
      <c r="A1043" s="184">
        <v>864</v>
      </c>
      <c r="B1043" s="190">
        <f t="shared" ca="1" si="117"/>
        <v>0.10268587299017232</v>
      </c>
      <c r="C1043" s="190">
        <f t="shared" ca="1" si="118"/>
        <v>5.9556315708407685E-2</v>
      </c>
      <c r="D1043" s="190">
        <f t="shared" ca="1" si="119"/>
        <v>3.2528662278441506E-2</v>
      </c>
      <c r="E1043" s="190">
        <f t="shared" ca="1" si="120"/>
        <v>1.6694673377318698E-3</v>
      </c>
      <c r="F1043" s="189" t="b">
        <f t="shared" ca="1" si="121"/>
        <v>1</v>
      </c>
      <c r="G1043" s="188">
        <f ca="1">IF(F1043,IFERROR(((('Data Schema'!$C$3*(1+B1043)^1)*((1-$I$4-$I$5+E1043)*(1-$I$10)+$I$6-$I$11)-('Data Schema'!$C$3*(1+B1043)^1-'Data Schema'!$C$3)*$I$12)/(1+C1043)^1+(('Data Schema'!$C$3*(1+B1043)^2)*((1-$I$4-$I$5+E1043)*(1-$I$10)+$I$6-$I$11)-('Data Schema'!$C$3*(1+B1043)^2-'Data Schema'!$C$3*(1+B1043)^1)*$I$12)/(1+C1043)^2+(('Data Schema'!$C$3*(1+B1043)^3)*((1-$I$4-$I$5+E1043)*(1-$I$10)+$I$6-$I$11)-('Data Schema'!$C$3*(1+B1043)^3-'Data Schema'!$C$3*(1+B1043)^2)*$I$12)/(1+C1043)^3+(('Data Schema'!$C$3*(1+B1043)^4)*((1-$I$4-$I$5+E1043)*(1-$I$10)+$I$6-$I$11)-('Data Schema'!$C$3*(1+B1043)^4-'Data Schema'!$C$3*(1+B1043)^3)*$I$12)/(1+C1043)^4+(('Data Schema'!$C$3*(1+B1043)^5)*((1-$I$4-$I$5+E1043)*(1-$I$10)+$I$6-$I$11)-('Data Schema'!$C$3*(1+B1043)^5-'Data Schema'!$C$3*(1+B1043)^4)*$I$12)/(1+C1043)^5+((('Data Schema'!$C$3*(1+B1043)^5)*((1-$I$4-$I$5+E1043)*(1-$I$10)+$I$6-$I$11)-('Data Schema'!$C$3*(1+B1043)^5-'Data Schema'!$C$3*(1+B1043)^4)*$I$12)*(1+D1043)/(C1043-D1043))/(1+C1043)^5-'Data Schema'!$C$31+'Data Schema'!$C$21)/'Data Schema'!$B$17,0),"INVALID")</f>
        <v>116.79202293655884</v>
      </c>
      <c r="H1043" s="189" t="b">
        <f t="shared" ca="1" si="122"/>
        <v>1</v>
      </c>
      <c r="I1043" s="188">
        <f t="shared" ca="1" si="123"/>
        <v>116.79202293655884</v>
      </c>
      <c r="J1043" s="349">
        <f t="shared" ca="1" si="116"/>
        <v>116.79202293655884</v>
      </c>
    </row>
    <row r="1044" spans="1:10">
      <c r="A1044" s="185">
        <v>865</v>
      </c>
      <c r="B1044" s="190">
        <f t="shared" ca="1" si="117"/>
        <v>8.0952545096056538E-2</v>
      </c>
      <c r="C1044" s="190">
        <f t="shared" ca="1" si="118"/>
        <v>4.6545684121613515E-2</v>
      </c>
      <c r="D1044" s="190">
        <f t="shared" ca="1" si="119"/>
        <v>2.2382943565706366E-2</v>
      </c>
      <c r="E1044" s="190">
        <f t="shared" ca="1" si="120"/>
        <v>2.5710334314328419E-2</v>
      </c>
      <c r="F1044" s="189" t="b">
        <f t="shared" ca="1" si="121"/>
        <v>1</v>
      </c>
      <c r="G1044" s="188">
        <f ca="1">IF(F1044,IFERROR(((('Data Schema'!$C$3*(1+B1044)^1)*((1-$I$4-$I$5+E1044)*(1-$I$10)+$I$6-$I$11)-('Data Schema'!$C$3*(1+B1044)^1-'Data Schema'!$C$3)*$I$12)/(1+C1044)^1+(('Data Schema'!$C$3*(1+B1044)^2)*((1-$I$4-$I$5+E1044)*(1-$I$10)+$I$6-$I$11)-('Data Schema'!$C$3*(1+B1044)^2-'Data Schema'!$C$3*(1+B1044)^1)*$I$12)/(1+C1044)^2+(('Data Schema'!$C$3*(1+B1044)^3)*((1-$I$4-$I$5+E1044)*(1-$I$10)+$I$6-$I$11)-('Data Schema'!$C$3*(1+B1044)^3-'Data Schema'!$C$3*(1+B1044)^2)*$I$12)/(1+C1044)^3+(('Data Schema'!$C$3*(1+B1044)^4)*((1-$I$4-$I$5+E1044)*(1-$I$10)+$I$6-$I$11)-('Data Schema'!$C$3*(1+B1044)^4-'Data Schema'!$C$3*(1+B1044)^3)*$I$12)/(1+C1044)^4+(('Data Schema'!$C$3*(1+B1044)^5)*((1-$I$4-$I$5+E1044)*(1-$I$10)+$I$6-$I$11)-('Data Schema'!$C$3*(1+B1044)^5-'Data Schema'!$C$3*(1+B1044)^4)*$I$12)/(1+C1044)^5+((('Data Schema'!$C$3*(1+B1044)^5)*((1-$I$4-$I$5+E1044)*(1-$I$10)+$I$6-$I$11)-('Data Schema'!$C$3*(1+B1044)^5-'Data Schema'!$C$3*(1+B1044)^4)*$I$12)*(1+D1044)/(C1044-D1044))/(1+C1044)^5-'Data Schema'!$C$31+'Data Schema'!$C$21)/'Data Schema'!$B$17,0),"INVALID")</f>
        <v>214.19784168638091</v>
      </c>
      <c r="H1044" s="189" t="b">
        <f t="shared" ca="1" si="122"/>
        <v>1</v>
      </c>
      <c r="I1044" s="188">
        <f t="shared" ca="1" si="123"/>
        <v>214.19784168638091</v>
      </c>
      <c r="J1044" s="349">
        <f t="shared" ca="1" si="116"/>
        <v>214.19784168638091</v>
      </c>
    </row>
    <row r="1045" spans="1:10">
      <c r="A1045" s="184">
        <v>866</v>
      </c>
      <c r="B1045" s="190">
        <f t="shared" ca="1" si="117"/>
        <v>0.12022539246544504</v>
      </c>
      <c r="C1045" s="190">
        <f t="shared" ca="1" si="118"/>
        <v>6.4245244990487838E-2</v>
      </c>
      <c r="D1045" s="190">
        <f t="shared" ca="1" si="119"/>
        <v>2.5869944486461627E-2</v>
      </c>
      <c r="E1045" s="190">
        <f t="shared" ca="1" si="120"/>
        <v>4.5274612787233791E-2</v>
      </c>
      <c r="F1045" s="189" t="b">
        <f t="shared" ca="1" si="121"/>
        <v>1</v>
      </c>
      <c r="G1045" s="188">
        <f ca="1">IF(F1045,IFERROR(((('Data Schema'!$C$3*(1+B1045)^1)*((1-$I$4-$I$5+E1045)*(1-$I$10)+$I$6-$I$11)-('Data Schema'!$C$3*(1+B1045)^1-'Data Schema'!$C$3)*$I$12)/(1+C1045)^1+(('Data Schema'!$C$3*(1+B1045)^2)*((1-$I$4-$I$5+E1045)*(1-$I$10)+$I$6-$I$11)-('Data Schema'!$C$3*(1+B1045)^2-'Data Schema'!$C$3*(1+B1045)^1)*$I$12)/(1+C1045)^2+(('Data Schema'!$C$3*(1+B1045)^3)*((1-$I$4-$I$5+E1045)*(1-$I$10)+$I$6-$I$11)-('Data Schema'!$C$3*(1+B1045)^3-'Data Schema'!$C$3*(1+B1045)^2)*$I$12)/(1+C1045)^3+(('Data Schema'!$C$3*(1+B1045)^4)*((1-$I$4-$I$5+E1045)*(1-$I$10)+$I$6-$I$11)-('Data Schema'!$C$3*(1+B1045)^4-'Data Schema'!$C$3*(1+B1045)^3)*$I$12)/(1+C1045)^4+(('Data Schema'!$C$3*(1+B1045)^5)*((1-$I$4-$I$5+E1045)*(1-$I$10)+$I$6-$I$11)-('Data Schema'!$C$3*(1+B1045)^5-'Data Schema'!$C$3*(1+B1045)^4)*$I$12)/(1+C1045)^5+((('Data Schema'!$C$3*(1+B1045)^5)*((1-$I$4-$I$5+E1045)*(1-$I$10)+$I$6-$I$11)-('Data Schema'!$C$3*(1+B1045)^5-'Data Schema'!$C$3*(1+B1045)^4)*$I$12)*(1+D1045)/(C1045-D1045))/(1+C1045)^5-'Data Schema'!$C$31+'Data Schema'!$C$21)/'Data Schema'!$B$17,0),"INVALID")</f>
        <v>205.03607358841148</v>
      </c>
      <c r="H1045" s="189" t="b">
        <f t="shared" ca="1" si="122"/>
        <v>1</v>
      </c>
      <c r="I1045" s="188">
        <f t="shared" ca="1" si="123"/>
        <v>205.03607358841148</v>
      </c>
      <c r="J1045" s="349">
        <f t="shared" ca="1" si="116"/>
        <v>205.03607358841148</v>
      </c>
    </row>
    <row r="1046" spans="1:10">
      <c r="A1046" s="185">
        <v>867</v>
      </c>
      <c r="B1046" s="190">
        <f t="shared" ca="1" si="117"/>
        <v>8.5013157097377626E-2</v>
      </c>
      <c r="C1046" s="190">
        <f t="shared" ca="1" si="118"/>
        <v>6.7343785012896978E-2</v>
      </c>
      <c r="D1046" s="190">
        <f t="shared" ca="1" si="119"/>
        <v>2.5389723379511307E-2</v>
      </c>
      <c r="E1046" s="190">
        <f t="shared" ca="1" si="120"/>
        <v>-8.3261810490796069E-3</v>
      </c>
      <c r="F1046" s="189" t="b">
        <f t="shared" ca="1" si="121"/>
        <v>1</v>
      </c>
      <c r="G1046" s="188">
        <f ca="1">IF(F1046,IFERROR(((('Data Schema'!$C$3*(1+B1046)^1)*((1-$I$4-$I$5+E1046)*(1-$I$10)+$I$6-$I$11)-('Data Schema'!$C$3*(1+B1046)^1-'Data Schema'!$C$3)*$I$12)/(1+C1046)^1+(('Data Schema'!$C$3*(1+B1046)^2)*((1-$I$4-$I$5+E1046)*(1-$I$10)+$I$6-$I$11)-('Data Schema'!$C$3*(1+B1046)^2-'Data Schema'!$C$3*(1+B1046)^1)*$I$12)/(1+C1046)^2+(('Data Schema'!$C$3*(1+B1046)^3)*((1-$I$4-$I$5+E1046)*(1-$I$10)+$I$6-$I$11)-('Data Schema'!$C$3*(1+B1046)^3-'Data Schema'!$C$3*(1+B1046)^2)*$I$12)/(1+C1046)^3+(('Data Schema'!$C$3*(1+B1046)^4)*((1-$I$4-$I$5+E1046)*(1-$I$10)+$I$6-$I$11)-('Data Schema'!$C$3*(1+B1046)^4-'Data Schema'!$C$3*(1+B1046)^3)*$I$12)/(1+C1046)^4+(('Data Schema'!$C$3*(1+B1046)^5)*((1-$I$4-$I$5+E1046)*(1-$I$10)+$I$6-$I$11)-('Data Schema'!$C$3*(1+B1046)^5-'Data Schema'!$C$3*(1+B1046)^4)*$I$12)/(1+C1046)^5+((('Data Schema'!$C$3*(1+B1046)^5)*((1-$I$4-$I$5+E1046)*(1-$I$10)+$I$6-$I$11)-('Data Schema'!$C$3*(1+B1046)^5-'Data Schema'!$C$3*(1+B1046)^4)*$I$12)*(1+D1046)/(C1046-D1046))/(1+C1046)^5-'Data Schema'!$C$31+'Data Schema'!$C$21)/'Data Schema'!$B$17,0),"INVALID")</f>
        <v>47.901802842199089</v>
      </c>
      <c r="H1046" s="189" t="b">
        <f t="shared" ca="1" si="122"/>
        <v>1</v>
      </c>
      <c r="I1046" s="188">
        <f t="shared" ca="1" si="123"/>
        <v>47.901802842199089</v>
      </c>
      <c r="J1046" s="349">
        <f t="shared" ca="1" si="116"/>
        <v>47.901802842199089</v>
      </c>
    </row>
    <row r="1047" spans="1:10">
      <c r="A1047" s="184">
        <v>868</v>
      </c>
      <c r="B1047" s="190">
        <f t="shared" ca="1" si="117"/>
        <v>0.12062562084412454</v>
      </c>
      <c r="C1047" s="190">
        <f t="shared" ca="1" si="118"/>
        <v>5.7026801392366058E-2</v>
      </c>
      <c r="D1047" s="190">
        <f t="shared" ca="1" si="119"/>
        <v>2.0209921149828051E-2</v>
      </c>
      <c r="E1047" s="190">
        <f t="shared" ca="1" si="120"/>
        <v>-2.1979682011497671E-2</v>
      </c>
      <c r="F1047" s="189" t="b">
        <f t="shared" ca="1" si="121"/>
        <v>1</v>
      </c>
      <c r="G1047" s="188">
        <f ca="1">IF(F1047,IFERROR(((('Data Schema'!$C$3*(1+B1047)^1)*((1-$I$4-$I$5+E1047)*(1-$I$10)+$I$6-$I$11)-('Data Schema'!$C$3*(1+B1047)^1-'Data Schema'!$C$3)*$I$12)/(1+C1047)^1+(('Data Schema'!$C$3*(1+B1047)^2)*((1-$I$4-$I$5+E1047)*(1-$I$10)+$I$6-$I$11)-('Data Schema'!$C$3*(1+B1047)^2-'Data Schema'!$C$3*(1+B1047)^1)*$I$12)/(1+C1047)^2+(('Data Schema'!$C$3*(1+B1047)^3)*((1-$I$4-$I$5+E1047)*(1-$I$10)+$I$6-$I$11)-('Data Schema'!$C$3*(1+B1047)^3-'Data Schema'!$C$3*(1+B1047)^2)*$I$12)/(1+C1047)^3+(('Data Schema'!$C$3*(1+B1047)^4)*((1-$I$4-$I$5+E1047)*(1-$I$10)+$I$6-$I$11)-('Data Schema'!$C$3*(1+B1047)^4-'Data Schema'!$C$3*(1+B1047)^3)*$I$12)/(1+C1047)^4+(('Data Schema'!$C$3*(1+B1047)^5)*((1-$I$4-$I$5+E1047)*(1-$I$10)+$I$6-$I$11)-('Data Schema'!$C$3*(1+B1047)^5-'Data Schema'!$C$3*(1+B1047)^4)*$I$12)/(1+C1047)^5+((('Data Schema'!$C$3*(1+B1047)^5)*((1-$I$4-$I$5+E1047)*(1-$I$10)+$I$6-$I$11)-('Data Schema'!$C$3*(1+B1047)^5-'Data Schema'!$C$3*(1+B1047)^4)*$I$12)*(1+D1047)/(C1047-D1047))/(1+C1047)^5-'Data Schema'!$C$31+'Data Schema'!$C$21)/'Data Schema'!$B$17,0),"INVALID")</f>
        <v>25.965495954980547</v>
      </c>
      <c r="H1047" s="189" t="b">
        <f t="shared" ca="1" si="122"/>
        <v>1</v>
      </c>
      <c r="I1047" s="188">
        <f t="shared" ca="1" si="123"/>
        <v>25.965495954980547</v>
      </c>
      <c r="J1047" s="349">
        <f t="shared" ca="1" si="116"/>
        <v>25.965495954980547</v>
      </c>
    </row>
    <row r="1048" spans="1:10">
      <c r="A1048" s="185">
        <v>869</v>
      </c>
      <c r="B1048" s="190">
        <f t="shared" ca="1" si="117"/>
        <v>0.10482068851900775</v>
      </c>
      <c r="C1048" s="190">
        <f t="shared" ca="1" si="118"/>
        <v>7.0669737246890157E-2</v>
      </c>
      <c r="D1048" s="190">
        <f t="shared" ca="1" si="119"/>
        <v>2.5840790757498504E-2</v>
      </c>
      <c r="E1048" s="190">
        <f t="shared" ca="1" si="120"/>
        <v>2.2558833910025351E-2</v>
      </c>
      <c r="F1048" s="189" t="b">
        <f t="shared" ca="1" si="121"/>
        <v>1</v>
      </c>
      <c r="G1048" s="188">
        <f ca="1">IF(F1048,IFERROR(((('Data Schema'!$C$3*(1+B1048)^1)*((1-$I$4-$I$5+E1048)*(1-$I$10)+$I$6-$I$11)-('Data Schema'!$C$3*(1+B1048)^1-'Data Schema'!$C$3)*$I$12)/(1+C1048)^1+(('Data Schema'!$C$3*(1+B1048)^2)*((1-$I$4-$I$5+E1048)*(1-$I$10)+$I$6-$I$11)-('Data Schema'!$C$3*(1+B1048)^2-'Data Schema'!$C$3*(1+B1048)^1)*$I$12)/(1+C1048)^2+(('Data Schema'!$C$3*(1+B1048)^3)*((1-$I$4-$I$5+E1048)*(1-$I$10)+$I$6-$I$11)-('Data Schema'!$C$3*(1+B1048)^3-'Data Schema'!$C$3*(1+B1048)^2)*$I$12)/(1+C1048)^3+(('Data Schema'!$C$3*(1+B1048)^4)*((1-$I$4-$I$5+E1048)*(1-$I$10)+$I$6-$I$11)-('Data Schema'!$C$3*(1+B1048)^4-'Data Schema'!$C$3*(1+B1048)^3)*$I$12)/(1+C1048)^4+(('Data Schema'!$C$3*(1+B1048)^5)*((1-$I$4-$I$5+E1048)*(1-$I$10)+$I$6-$I$11)-('Data Schema'!$C$3*(1+B1048)^5-'Data Schema'!$C$3*(1+B1048)^4)*$I$12)/(1+C1048)^5+((('Data Schema'!$C$3*(1+B1048)^5)*((1-$I$4-$I$5+E1048)*(1-$I$10)+$I$6-$I$11)-('Data Schema'!$C$3*(1+B1048)^5-'Data Schema'!$C$3*(1+B1048)^4)*$I$12)*(1+D1048)/(C1048-D1048))/(1+C1048)^5-'Data Schema'!$C$31+'Data Schema'!$C$21)/'Data Schema'!$B$17,0),"INVALID")</f>
        <v>114.25342033978808</v>
      </c>
      <c r="H1048" s="189" t="b">
        <f t="shared" ca="1" si="122"/>
        <v>1</v>
      </c>
      <c r="I1048" s="188">
        <f t="shared" ca="1" si="123"/>
        <v>114.25342033978808</v>
      </c>
      <c r="J1048" s="349">
        <f t="shared" ca="1" si="116"/>
        <v>114.25342033978808</v>
      </c>
    </row>
    <row r="1049" spans="1:10">
      <c r="A1049" s="184">
        <v>870</v>
      </c>
      <c r="B1049" s="190">
        <f t="shared" ca="1" si="117"/>
        <v>9.1051409916502984E-2</v>
      </c>
      <c r="C1049" s="190">
        <f t="shared" ca="1" si="118"/>
        <v>7.2168906979848887E-2</v>
      </c>
      <c r="D1049" s="190">
        <f t="shared" ca="1" si="119"/>
        <v>3.1257917337007196E-2</v>
      </c>
      <c r="E1049" s="190">
        <f t="shared" ca="1" si="120"/>
        <v>-1.3181423608604484E-2</v>
      </c>
      <c r="F1049" s="189" t="b">
        <f t="shared" ca="1" si="121"/>
        <v>1</v>
      </c>
      <c r="G1049" s="188">
        <f ca="1">IF(F1049,IFERROR(((('Data Schema'!$C$3*(1+B1049)^1)*((1-$I$4-$I$5+E1049)*(1-$I$10)+$I$6-$I$11)-('Data Schema'!$C$3*(1+B1049)^1-'Data Schema'!$C$3)*$I$12)/(1+C1049)^1+(('Data Schema'!$C$3*(1+B1049)^2)*((1-$I$4-$I$5+E1049)*(1-$I$10)+$I$6-$I$11)-('Data Schema'!$C$3*(1+B1049)^2-'Data Schema'!$C$3*(1+B1049)^1)*$I$12)/(1+C1049)^2+(('Data Schema'!$C$3*(1+B1049)^3)*((1-$I$4-$I$5+E1049)*(1-$I$10)+$I$6-$I$11)-('Data Schema'!$C$3*(1+B1049)^3-'Data Schema'!$C$3*(1+B1049)^2)*$I$12)/(1+C1049)^3+(('Data Schema'!$C$3*(1+B1049)^4)*((1-$I$4-$I$5+E1049)*(1-$I$10)+$I$6-$I$11)-('Data Schema'!$C$3*(1+B1049)^4-'Data Schema'!$C$3*(1+B1049)^3)*$I$12)/(1+C1049)^4+(('Data Schema'!$C$3*(1+B1049)^5)*((1-$I$4-$I$5+E1049)*(1-$I$10)+$I$6-$I$11)-('Data Schema'!$C$3*(1+B1049)^5-'Data Schema'!$C$3*(1+B1049)^4)*$I$12)/(1+C1049)^5+((('Data Schema'!$C$3*(1+B1049)^5)*((1-$I$4-$I$5+E1049)*(1-$I$10)+$I$6-$I$11)-('Data Schema'!$C$3*(1+B1049)^5-'Data Schema'!$C$3*(1+B1049)^4)*$I$12)*(1+D1049)/(C1049-D1049))/(1+C1049)^5-'Data Schema'!$C$31+'Data Schema'!$C$21)/'Data Schema'!$B$17,0),"INVALID")</f>
        <v>38.706810720695181</v>
      </c>
      <c r="H1049" s="189" t="b">
        <f t="shared" ca="1" si="122"/>
        <v>1</v>
      </c>
      <c r="I1049" s="188">
        <f t="shared" ca="1" si="123"/>
        <v>38.706810720695181</v>
      </c>
      <c r="J1049" s="349">
        <f t="shared" ca="1" si="116"/>
        <v>38.706810720695181</v>
      </c>
    </row>
    <row r="1050" spans="1:10">
      <c r="A1050" s="185">
        <v>871</v>
      </c>
      <c r="B1050" s="190">
        <f t="shared" ca="1" si="117"/>
        <v>0.10175422875635294</v>
      </c>
      <c r="C1050" s="190">
        <f t="shared" ca="1" si="118"/>
        <v>7.2276158785911065E-2</v>
      </c>
      <c r="D1050" s="190">
        <f t="shared" ca="1" si="119"/>
        <v>2.6552834173849824E-2</v>
      </c>
      <c r="E1050" s="190">
        <f t="shared" ca="1" si="120"/>
        <v>3.2706903120246322E-2</v>
      </c>
      <c r="F1050" s="189" t="b">
        <f t="shared" ca="1" si="121"/>
        <v>1</v>
      </c>
      <c r="G1050" s="188">
        <f ca="1">IF(F1050,IFERROR(((('Data Schema'!$C$3*(1+B1050)^1)*((1-$I$4-$I$5+E1050)*(1-$I$10)+$I$6-$I$11)-('Data Schema'!$C$3*(1+B1050)^1-'Data Schema'!$C$3)*$I$12)/(1+C1050)^1+(('Data Schema'!$C$3*(1+B1050)^2)*((1-$I$4-$I$5+E1050)*(1-$I$10)+$I$6-$I$11)-('Data Schema'!$C$3*(1+B1050)^2-'Data Schema'!$C$3*(1+B1050)^1)*$I$12)/(1+C1050)^2+(('Data Schema'!$C$3*(1+B1050)^3)*((1-$I$4-$I$5+E1050)*(1-$I$10)+$I$6-$I$11)-('Data Schema'!$C$3*(1+B1050)^3-'Data Schema'!$C$3*(1+B1050)^2)*$I$12)/(1+C1050)^3+(('Data Schema'!$C$3*(1+B1050)^4)*((1-$I$4-$I$5+E1050)*(1-$I$10)+$I$6-$I$11)-('Data Schema'!$C$3*(1+B1050)^4-'Data Schema'!$C$3*(1+B1050)^3)*$I$12)/(1+C1050)^4+(('Data Schema'!$C$3*(1+B1050)^5)*((1-$I$4-$I$5+E1050)*(1-$I$10)+$I$6-$I$11)-('Data Schema'!$C$3*(1+B1050)^5-'Data Schema'!$C$3*(1+B1050)^4)*$I$12)/(1+C1050)^5+((('Data Schema'!$C$3*(1+B1050)^5)*((1-$I$4-$I$5+E1050)*(1-$I$10)+$I$6-$I$11)-('Data Schema'!$C$3*(1+B1050)^5-'Data Schema'!$C$3*(1+B1050)^4)*$I$12)*(1+D1050)/(C1050-D1050))/(1+C1050)^5-'Data Schema'!$C$31+'Data Schema'!$C$21)/'Data Schema'!$B$17,0),"INVALID")</f>
        <v>131.20524827180211</v>
      </c>
      <c r="H1050" s="189" t="b">
        <f t="shared" ca="1" si="122"/>
        <v>1</v>
      </c>
      <c r="I1050" s="188">
        <f t="shared" ca="1" si="123"/>
        <v>131.20524827180211</v>
      </c>
      <c r="J1050" s="349">
        <f t="shared" ca="1" si="116"/>
        <v>131.20524827180211</v>
      </c>
    </row>
    <row r="1051" spans="1:10">
      <c r="A1051" s="184">
        <v>872</v>
      </c>
      <c r="B1051" s="190">
        <f t="shared" ca="1" si="117"/>
        <v>0.11526501470648597</v>
      </c>
      <c r="C1051" s="190">
        <f t="shared" ca="1" si="118"/>
        <v>6.1929543484961679E-2</v>
      </c>
      <c r="D1051" s="190">
        <f t="shared" ca="1" si="119"/>
        <v>1.6390971348436138E-2</v>
      </c>
      <c r="E1051" s="190">
        <f t="shared" ca="1" si="120"/>
        <v>1.962322625381482E-2</v>
      </c>
      <c r="F1051" s="189" t="b">
        <f t="shared" ca="1" si="121"/>
        <v>1</v>
      </c>
      <c r="G1051" s="188">
        <f ca="1">IF(F1051,IFERROR(((('Data Schema'!$C$3*(1+B1051)^1)*((1-$I$4-$I$5+E1051)*(1-$I$10)+$I$6-$I$11)-('Data Schema'!$C$3*(1+B1051)^1-'Data Schema'!$C$3)*$I$12)/(1+C1051)^1+(('Data Schema'!$C$3*(1+B1051)^2)*((1-$I$4-$I$5+E1051)*(1-$I$10)+$I$6-$I$11)-('Data Schema'!$C$3*(1+B1051)^2-'Data Schema'!$C$3*(1+B1051)^1)*$I$12)/(1+C1051)^2+(('Data Schema'!$C$3*(1+B1051)^3)*((1-$I$4-$I$5+E1051)*(1-$I$10)+$I$6-$I$11)-('Data Schema'!$C$3*(1+B1051)^3-'Data Schema'!$C$3*(1+B1051)^2)*$I$12)/(1+C1051)^3+(('Data Schema'!$C$3*(1+B1051)^4)*((1-$I$4-$I$5+E1051)*(1-$I$10)+$I$6-$I$11)-('Data Schema'!$C$3*(1+B1051)^4-'Data Schema'!$C$3*(1+B1051)^3)*$I$12)/(1+C1051)^4+(('Data Schema'!$C$3*(1+B1051)^5)*((1-$I$4-$I$5+E1051)*(1-$I$10)+$I$6-$I$11)-('Data Schema'!$C$3*(1+B1051)^5-'Data Schema'!$C$3*(1+B1051)^4)*$I$12)/(1+C1051)^5+((('Data Schema'!$C$3*(1+B1051)^5)*((1-$I$4-$I$5+E1051)*(1-$I$10)+$I$6-$I$11)-('Data Schema'!$C$3*(1+B1051)^5-'Data Schema'!$C$3*(1+B1051)^4)*$I$12)*(1+D1051)/(C1051-D1051))/(1+C1051)^5-'Data Schema'!$C$31+'Data Schema'!$C$21)/'Data Schema'!$B$17,0),"INVALID")</f>
        <v>114.71986771758434</v>
      </c>
      <c r="H1051" s="189" t="b">
        <f t="shared" ca="1" si="122"/>
        <v>1</v>
      </c>
      <c r="I1051" s="188">
        <f t="shared" ca="1" si="123"/>
        <v>114.71986771758434</v>
      </c>
      <c r="J1051" s="349">
        <f t="shared" ca="1" si="116"/>
        <v>114.71986771758434</v>
      </c>
    </row>
    <row r="1052" spans="1:10">
      <c r="A1052" s="185">
        <v>873</v>
      </c>
      <c r="B1052" s="190">
        <f t="shared" ca="1" si="117"/>
        <v>0.10024005819592419</v>
      </c>
      <c r="C1052" s="190">
        <f t="shared" ca="1" si="118"/>
        <v>5.3569217822656633E-2</v>
      </c>
      <c r="D1052" s="190">
        <f t="shared" ca="1" si="119"/>
        <v>2.3092795122042174E-2</v>
      </c>
      <c r="E1052" s="190">
        <f t="shared" ca="1" si="120"/>
        <v>2.2225240239868323E-2</v>
      </c>
      <c r="F1052" s="189" t="b">
        <f t="shared" ca="1" si="121"/>
        <v>1</v>
      </c>
      <c r="G1052" s="188">
        <f ca="1">IF(F1052,IFERROR(((('Data Schema'!$C$3*(1+B1052)^1)*((1-$I$4-$I$5+E1052)*(1-$I$10)+$I$6-$I$11)-('Data Schema'!$C$3*(1+B1052)^1-'Data Schema'!$C$3)*$I$12)/(1+C1052)^1+(('Data Schema'!$C$3*(1+B1052)^2)*((1-$I$4-$I$5+E1052)*(1-$I$10)+$I$6-$I$11)-('Data Schema'!$C$3*(1+B1052)^2-'Data Schema'!$C$3*(1+B1052)^1)*$I$12)/(1+C1052)^2+(('Data Schema'!$C$3*(1+B1052)^3)*((1-$I$4-$I$5+E1052)*(1-$I$10)+$I$6-$I$11)-('Data Schema'!$C$3*(1+B1052)^3-'Data Schema'!$C$3*(1+B1052)^2)*$I$12)/(1+C1052)^3+(('Data Schema'!$C$3*(1+B1052)^4)*((1-$I$4-$I$5+E1052)*(1-$I$10)+$I$6-$I$11)-('Data Schema'!$C$3*(1+B1052)^4-'Data Schema'!$C$3*(1+B1052)^3)*$I$12)/(1+C1052)^4+(('Data Schema'!$C$3*(1+B1052)^5)*((1-$I$4-$I$5+E1052)*(1-$I$10)+$I$6-$I$11)-('Data Schema'!$C$3*(1+B1052)^5-'Data Schema'!$C$3*(1+B1052)^4)*$I$12)/(1+C1052)^5+((('Data Schema'!$C$3*(1+B1052)^5)*((1-$I$4-$I$5+E1052)*(1-$I$10)+$I$6-$I$11)-('Data Schema'!$C$3*(1+B1052)^5-'Data Schema'!$C$3*(1+B1052)^4)*$I$12)*(1+D1052)/(C1052-D1052))/(1+C1052)^5-'Data Schema'!$C$31+'Data Schema'!$C$21)/'Data Schema'!$B$17,0),"INVALID")</f>
        <v>170.36124221164377</v>
      </c>
      <c r="H1052" s="189" t="b">
        <f t="shared" ca="1" si="122"/>
        <v>1</v>
      </c>
      <c r="I1052" s="188">
        <f t="shared" ca="1" si="123"/>
        <v>170.36124221164377</v>
      </c>
      <c r="J1052" s="349">
        <f t="shared" ca="1" si="116"/>
        <v>170.36124221164377</v>
      </c>
    </row>
    <row r="1053" spans="1:10">
      <c r="A1053" s="184">
        <v>874</v>
      </c>
      <c r="B1053" s="190">
        <f t="shared" ca="1" si="117"/>
        <v>9.1015063820884909E-2</v>
      </c>
      <c r="C1053" s="190">
        <f t="shared" ca="1" si="118"/>
        <v>5.1263139098984202E-2</v>
      </c>
      <c r="D1053" s="190">
        <f t="shared" ca="1" si="119"/>
        <v>2.1944453157239946E-2</v>
      </c>
      <c r="E1053" s="190">
        <f t="shared" ca="1" si="120"/>
        <v>6.0808537399328986E-3</v>
      </c>
      <c r="F1053" s="189" t="b">
        <f t="shared" ca="1" si="121"/>
        <v>1</v>
      </c>
      <c r="G1053" s="188">
        <f ca="1">IF(F1053,IFERROR(((('Data Schema'!$C$3*(1+B1053)^1)*((1-$I$4-$I$5+E1053)*(1-$I$10)+$I$6-$I$11)-('Data Schema'!$C$3*(1+B1053)^1-'Data Schema'!$C$3)*$I$12)/(1+C1053)^1+(('Data Schema'!$C$3*(1+B1053)^2)*((1-$I$4-$I$5+E1053)*(1-$I$10)+$I$6-$I$11)-('Data Schema'!$C$3*(1+B1053)^2-'Data Schema'!$C$3*(1+B1053)^1)*$I$12)/(1+C1053)^2+(('Data Schema'!$C$3*(1+B1053)^3)*((1-$I$4-$I$5+E1053)*(1-$I$10)+$I$6-$I$11)-('Data Schema'!$C$3*(1+B1053)^3-'Data Schema'!$C$3*(1+B1053)^2)*$I$12)/(1+C1053)^3+(('Data Schema'!$C$3*(1+B1053)^4)*((1-$I$4-$I$5+E1053)*(1-$I$10)+$I$6-$I$11)-('Data Schema'!$C$3*(1+B1053)^4-'Data Schema'!$C$3*(1+B1053)^3)*$I$12)/(1+C1053)^4+(('Data Schema'!$C$3*(1+B1053)^5)*((1-$I$4-$I$5+E1053)*(1-$I$10)+$I$6-$I$11)-('Data Schema'!$C$3*(1+B1053)^5-'Data Schema'!$C$3*(1+B1053)^4)*$I$12)/(1+C1053)^5+((('Data Schema'!$C$3*(1+B1053)^5)*((1-$I$4-$I$5+E1053)*(1-$I$10)+$I$6-$I$11)-('Data Schema'!$C$3*(1+B1053)^5-'Data Schema'!$C$3*(1+B1053)^4)*$I$12)*(1+D1053)/(C1053-D1053))/(1+C1053)^5-'Data Schema'!$C$31+'Data Schema'!$C$21)/'Data Schema'!$B$17,0),"INVALID")</f>
        <v>120.42063996889333</v>
      </c>
      <c r="H1053" s="189" t="b">
        <f t="shared" ca="1" si="122"/>
        <v>1</v>
      </c>
      <c r="I1053" s="188">
        <f t="shared" ca="1" si="123"/>
        <v>120.42063996889333</v>
      </c>
      <c r="J1053" s="349">
        <f t="shared" ca="1" si="116"/>
        <v>120.42063996889333</v>
      </c>
    </row>
    <row r="1054" spans="1:10">
      <c r="A1054" s="185">
        <v>875</v>
      </c>
      <c r="B1054" s="190">
        <f t="shared" ca="1" si="117"/>
        <v>8.2369265320668766E-2</v>
      </c>
      <c r="C1054" s="190">
        <f t="shared" ca="1" si="118"/>
        <v>3.9259748946728443E-2</v>
      </c>
      <c r="D1054" s="190">
        <f t="shared" ca="1" si="119"/>
        <v>2.3179900139531216E-2</v>
      </c>
      <c r="E1054" s="190">
        <f t="shared" ca="1" si="120"/>
        <v>-5.7205210343143832E-2</v>
      </c>
      <c r="F1054" s="189" t="b">
        <f t="shared" ca="1" si="121"/>
        <v>1</v>
      </c>
      <c r="G1054" s="188">
        <f ca="1">IF(F1054,IFERROR(((('Data Schema'!$C$3*(1+B1054)^1)*((1-$I$4-$I$5+E1054)*(1-$I$10)+$I$6-$I$11)-('Data Schema'!$C$3*(1+B1054)^1-'Data Schema'!$C$3)*$I$12)/(1+C1054)^1+(('Data Schema'!$C$3*(1+B1054)^2)*((1-$I$4-$I$5+E1054)*(1-$I$10)+$I$6-$I$11)-('Data Schema'!$C$3*(1+B1054)^2-'Data Schema'!$C$3*(1+B1054)^1)*$I$12)/(1+C1054)^2+(('Data Schema'!$C$3*(1+B1054)^3)*((1-$I$4-$I$5+E1054)*(1-$I$10)+$I$6-$I$11)-('Data Schema'!$C$3*(1+B1054)^3-'Data Schema'!$C$3*(1+B1054)^2)*$I$12)/(1+C1054)^3+(('Data Schema'!$C$3*(1+B1054)^4)*((1-$I$4-$I$5+E1054)*(1-$I$10)+$I$6-$I$11)-('Data Schema'!$C$3*(1+B1054)^4-'Data Schema'!$C$3*(1+B1054)^3)*$I$12)/(1+C1054)^4+(('Data Schema'!$C$3*(1+B1054)^5)*((1-$I$4-$I$5+E1054)*(1-$I$10)+$I$6-$I$11)-('Data Schema'!$C$3*(1+B1054)^5-'Data Schema'!$C$3*(1+B1054)^4)*$I$12)/(1+C1054)^5+((('Data Schema'!$C$3*(1+B1054)^5)*((1-$I$4-$I$5+E1054)*(1-$I$10)+$I$6-$I$11)-('Data Schema'!$C$3*(1+B1054)^5-'Data Schema'!$C$3*(1+B1054)^4)*$I$12)*(1+D1054)/(C1054-D1054))/(1+C1054)^5-'Data Schema'!$C$31+'Data Schema'!$C$21)/'Data Schema'!$B$17,0),"INVALID")</f>
        <v>-134.72224166397345</v>
      </c>
      <c r="H1054" s="189" t="b">
        <f t="shared" ca="1" si="122"/>
        <v>0</v>
      </c>
      <c r="I1054" s="188" t="str">
        <f t="shared" ca="1" si="123"/>
        <v/>
      </c>
      <c r="J1054" s="349" t="str">
        <f t="shared" ca="1" si="116"/>
        <v/>
      </c>
    </row>
    <row r="1055" spans="1:10">
      <c r="A1055" s="184">
        <v>876</v>
      </c>
      <c r="B1055" s="190">
        <f t="shared" ca="1" si="117"/>
        <v>9.5292388050882568E-2</v>
      </c>
      <c r="C1055" s="190">
        <f t="shared" ca="1" si="118"/>
        <v>6.7300389302062058E-2</v>
      </c>
      <c r="D1055" s="190">
        <f t="shared" ca="1" si="119"/>
        <v>2.6830650787810318E-2</v>
      </c>
      <c r="E1055" s="190">
        <f t="shared" ca="1" si="120"/>
        <v>2.9594926183396219E-2</v>
      </c>
      <c r="F1055" s="189" t="b">
        <f t="shared" ca="1" si="121"/>
        <v>1</v>
      </c>
      <c r="G1055" s="188">
        <f ca="1">IF(F1055,IFERROR(((('Data Schema'!$C$3*(1+B1055)^1)*((1-$I$4-$I$5+E1055)*(1-$I$10)+$I$6-$I$11)-('Data Schema'!$C$3*(1+B1055)^1-'Data Schema'!$C$3)*$I$12)/(1+C1055)^1+(('Data Schema'!$C$3*(1+B1055)^2)*((1-$I$4-$I$5+E1055)*(1-$I$10)+$I$6-$I$11)-('Data Schema'!$C$3*(1+B1055)^2-'Data Schema'!$C$3*(1+B1055)^1)*$I$12)/(1+C1055)^2+(('Data Schema'!$C$3*(1+B1055)^3)*((1-$I$4-$I$5+E1055)*(1-$I$10)+$I$6-$I$11)-('Data Schema'!$C$3*(1+B1055)^3-'Data Schema'!$C$3*(1+B1055)^2)*$I$12)/(1+C1055)^3+(('Data Schema'!$C$3*(1+B1055)^4)*((1-$I$4-$I$5+E1055)*(1-$I$10)+$I$6-$I$11)-('Data Schema'!$C$3*(1+B1055)^4-'Data Schema'!$C$3*(1+B1055)^3)*$I$12)/(1+C1055)^4+(('Data Schema'!$C$3*(1+B1055)^5)*((1-$I$4-$I$5+E1055)*(1-$I$10)+$I$6-$I$11)-('Data Schema'!$C$3*(1+B1055)^5-'Data Schema'!$C$3*(1+B1055)^4)*$I$12)/(1+C1055)^5+((('Data Schema'!$C$3*(1+B1055)^5)*((1-$I$4-$I$5+E1055)*(1-$I$10)+$I$6-$I$11)-('Data Schema'!$C$3*(1+B1055)^5-'Data Schema'!$C$3*(1+B1055)^4)*$I$12)*(1+D1055)/(C1055-D1055))/(1+C1055)^5-'Data Schema'!$C$31+'Data Schema'!$C$21)/'Data Schema'!$B$17,0),"INVALID")</f>
        <v>138.38714334582141</v>
      </c>
      <c r="H1055" s="189" t="b">
        <f t="shared" ca="1" si="122"/>
        <v>1</v>
      </c>
      <c r="I1055" s="188">
        <f t="shared" ca="1" si="123"/>
        <v>138.38714334582141</v>
      </c>
      <c r="J1055" s="349">
        <f t="shared" ca="1" si="116"/>
        <v>138.38714334582141</v>
      </c>
    </row>
    <row r="1056" spans="1:10">
      <c r="A1056" s="185">
        <v>877</v>
      </c>
      <c r="B1056" s="190">
        <f t="shared" ca="1" si="117"/>
        <v>8.2779619548570202E-2</v>
      </c>
      <c r="C1056" s="190">
        <f t="shared" ca="1" si="118"/>
        <v>5.6010704105015269E-2</v>
      </c>
      <c r="D1056" s="190">
        <f t="shared" ca="1" si="119"/>
        <v>1.6055680519693784E-2</v>
      </c>
      <c r="E1056" s="190">
        <f t="shared" ca="1" si="120"/>
        <v>5.9427218424254989E-4</v>
      </c>
      <c r="F1056" s="189" t="b">
        <f t="shared" ca="1" si="121"/>
        <v>1</v>
      </c>
      <c r="G1056" s="188">
        <f ca="1">IF(F1056,IFERROR(((('Data Schema'!$C$3*(1+B1056)^1)*((1-$I$4-$I$5+E1056)*(1-$I$10)+$I$6-$I$11)-('Data Schema'!$C$3*(1+B1056)^1-'Data Schema'!$C$3)*$I$12)/(1+C1056)^1+(('Data Schema'!$C$3*(1+B1056)^2)*((1-$I$4-$I$5+E1056)*(1-$I$10)+$I$6-$I$11)-('Data Schema'!$C$3*(1+B1056)^2-'Data Schema'!$C$3*(1+B1056)^1)*$I$12)/(1+C1056)^2+(('Data Schema'!$C$3*(1+B1056)^3)*((1-$I$4-$I$5+E1056)*(1-$I$10)+$I$6-$I$11)-('Data Schema'!$C$3*(1+B1056)^3-'Data Schema'!$C$3*(1+B1056)^2)*$I$12)/(1+C1056)^3+(('Data Schema'!$C$3*(1+B1056)^4)*((1-$I$4-$I$5+E1056)*(1-$I$10)+$I$6-$I$11)-('Data Schema'!$C$3*(1+B1056)^4-'Data Schema'!$C$3*(1+B1056)^3)*$I$12)/(1+C1056)^4+(('Data Schema'!$C$3*(1+B1056)^5)*((1-$I$4-$I$5+E1056)*(1-$I$10)+$I$6-$I$11)-('Data Schema'!$C$3*(1+B1056)^5-'Data Schema'!$C$3*(1+B1056)^4)*$I$12)/(1+C1056)^5+((('Data Schema'!$C$3*(1+B1056)^5)*((1-$I$4-$I$5+E1056)*(1-$I$10)+$I$6-$I$11)-('Data Schema'!$C$3*(1+B1056)^5-'Data Schema'!$C$3*(1+B1056)^4)*$I$12)*(1+D1056)/(C1056-D1056))/(1+C1056)^5-'Data Schema'!$C$31+'Data Schema'!$C$21)/'Data Schema'!$B$17,0),"INVALID")</f>
        <v>72.563490618101113</v>
      </c>
      <c r="H1056" s="189" t="b">
        <f t="shared" ca="1" si="122"/>
        <v>1</v>
      </c>
      <c r="I1056" s="188">
        <f t="shared" ca="1" si="123"/>
        <v>72.563490618101113</v>
      </c>
      <c r="J1056" s="349">
        <f t="shared" ca="1" si="116"/>
        <v>72.563490618101113</v>
      </c>
    </row>
    <row r="1057" spans="1:10">
      <c r="A1057" s="184">
        <v>878</v>
      </c>
      <c r="B1057" s="190">
        <f t="shared" ca="1" si="117"/>
        <v>8.5215911459681243E-2</v>
      </c>
      <c r="C1057" s="190">
        <f t="shared" ca="1" si="118"/>
        <v>4.1366558011484582E-2</v>
      </c>
      <c r="D1057" s="190">
        <f t="shared" ca="1" si="119"/>
        <v>2.2724548630625639E-2</v>
      </c>
      <c r="E1057" s="190">
        <f t="shared" ca="1" si="120"/>
        <v>4.5793777703874083E-3</v>
      </c>
      <c r="F1057" s="189" t="b">
        <f t="shared" ca="1" si="121"/>
        <v>1</v>
      </c>
      <c r="G1057" s="188">
        <f ca="1">IF(F1057,IFERROR(((('Data Schema'!$C$3*(1+B1057)^1)*((1-$I$4-$I$5+E1057)*(1-$I$10)+$I$6-$I$11)-('Data Schema'!$C$3*(1+B1057)^1-'Data Schema'!$C$3)*$I$12)/(1+C1057)^1+(('Data Schema'!$C$3*(1+B1057)^2)*((1-$I$4-$I$5+E1057)*(1-$I$10)+$I$6-$I$11)-('Data Schema'!$C$3*(1+B1057)^2-'Data Schema'!$C$3*(1+B1057)^1)*$I$12)/(1+C1057)^2+(('Data Schema'!$C$3*(1+B1057)^3)*((1-$I$4-$I$5+E1057)*(1-$I$10)+$I$6-$I$11)-('Data Schema'!$C$3*(1+B1057)^3-'Data Schema'!$C$3*(1+B1057)^2)*$I$12)/(1+C1057)^3+(('Data Schema'!$C$3*(1+B1057)^4)*((1-$I$4-$I$5+E1057)*(1-$I$10)+$I$6-$I$11)-('Data Schema'!$C$3*(1+B1057)^4-'Data Schema'!$C$3*(1+B1057)^3)*$I$12)/(1+C1057)^4+(('Data Schema'!$C$3*(1+B1057)^5)*((1-$I$4-$I$5+E1057)*(1-$I$10)+$I$6-$I$11)-('Data Schema'!$C$3*(1+B1057)^5-'Data Schema'!$C$3*(1+B1057)^4)*$I$12)/(1+C1057)^5+((('Data Schema'!$C$3*(1+B1057)^5)*((1-$I$4-$I$5+E1057)*(1-$I$10)+$I$6-$I$11)-('Data Schema'!$C$3*(1+B1057)^5-'Data Schema'!$C$3*(1+B1057)^4)*$I$12)*(1+D1057)/(C1057-D1057))/(1+C1057)^5-'Data Schema'!$C$31+'Data Schema'!$C$21)/'Data Schema'!$B$17,0),"INVALID")</f>
        <v>182.16097840964565</v>
      </c>
      <c r="H1057" s="189" t="b">
        <f t="shared" ca="1" si="122"/>
        <v>1</v>
      </c>
      <c r="I1057" s="188">
        <f t="shared" ca="1" si="123"/>
        <v>182.16097840964565</v>
      </c>
      <c r="J1057" s="349">
        <f t="shared" ca="1" si="116"/>
        <v>182.16097840964565</v>
      </c>
    </row>
    <row r="1058" spans="1:10">
      <c r="A1058" s="185">
        <v>879</v>
      </c>
      <c r="B1058" s="190">
        <f t="shared" ca="1" si="117"/>
        <v>0.12277348537609636</v>
      </c>
      <c r="C1058" s="190">
        <f t="shared" ca="1" si="118"/>
        <v>4.8521255064555416E-2</v>
      </c>
      <c r="D1058" s="190">
        <f t="shared" ca="1" si="119"/>
        <v>2.82004616595459E-2</v>
      </c>
      <c r="E1058" s="190">
        <f t="shared" ca="1" si="120"/>
        <v>2.2617840224307306E-2</v>
      </c>
      <c r="F1058" s="189" t="b">
        <f t="shared" ca="1" si="121"/>
        <v>1</v>
      </c>
      <c r="G1058" s="188">
        <f ca="1">IF(F1058,IFERROR(((('Data Schema'!$C$3*(1+B1058)^1)*((1-$I$4-$I$5+E1058)*(1-$I$10)+$I$6-$I$11)-('Data Schema'!$C$3*(1+B1058)^1-'Data Schema'!$C$3)*$I$12)/(1+C1058)^1+(('Data Schema'!$C$3*(1+B1058)^2)*((1-$I$4-$I$5+E1058)*(1-$I$10)+$I$6-$I$11)-('Data Schema'!$C$3*(1+B1058)^2-'Data Schema'!$C$3*(1+B1058)^1)*$I$12)/(1+C1058)^2+(('Data Schema'!$C$3*(1+B1058)^3)*((1-$I$4-$I$5+E1058)*(1-$I$10)+$I$6-$I$11)-('Data Schema'!$C$3*(1+B1058)^3-'Data Schema'!$C$3*(1+B1058)^2)*$I$12)/(1+C1058)^3+(('Data Schema'!$C$3*(1+B1058)^4)*((1-$I$4-$I$5+E1058)*(1-$I$10)+$I$6-$I$11)-('Data Schema'!$C$3*(1+B1058)^4-'Data Schema'!$C$3*(1+B1058)^3)*$I$12)/(1+C1058)^4+(('Data Schema'!$C$3*(1+B1058)^5)*((1-$I$4-$I$5+E1058)*(1-$I$10)+$I$6-$I$11)-('Data Schema'!$C$3*(1+B1058)^5-'Data Schema'!$C$3*(1+B1058)^4)*$I$12)/(1+C1058)^5+((('Data Schema'!$C$3*(1+B1058)^5)*((1-$I$4-$I$5+E1058)*(1-$I$10)+$I$6-$I$11)-('Data Schema'!$C$3*(1+B1058)^5-'Data Schema'!$C$3*(1+B1058)^4)*$I$12)*(1+D1058)/(C1058-D1058))/(1+C1058)^5-'Data Schema'!$C$31+'Data Schema'!$C$21)/'Data Schema'!$B$17,0),"INVALID")</f>
        <v>282.17657175134246</v>
      </c>
      <c r="H1058" s="189" t="b">
        <f t="shared" ca="1" si="122"/>
        <v>1</v>
      </c>
      <c r="I1058" s="188">
        <f t="shared" ca="1" si="123"/>
        <v>282.17657175134246</v>
      </c>
      <c r="J1058" s="349" t="str">
        <f t="shared" ca="1" si="116"/>
        <v/>
      </c>
    </row>
    <row r="1059" spans="1:10">
      <c r="A1059" s="184">
        <v>880</v>
      </c>
      <c r="B1059" s="190">
        <f t="shared" ca="1" si="117"/>
        <v>0.1127824379910507</v>
      </c>
      <c r="C1059" s="190">
        <f t="shared" ca="1" si="118"/>
        <v>6.7531222910662256E-2</v>
      </c>
      <c r="D1059" s="190">
        <f t="shared" ca="1" si="119"/>
        <v>3.6961342152184017E-2</v>
      </c>
      <c r="E1059" s="190">
        <f t="shared" ca="1" si="120"/>
        <v>4.033728235355246E-3</v>
      </c>
      <c r="F1059" s="189" t="b">
        <f t="shared" ca="1" si="121"/>
        <v>1</v>
      </c>
      <c r="G1059" s="188">
        <f ca="1">IF(F1059,IFERROR(((('Data Schema'!$C$3*(1+B1059)^1)*((1-$I$4-$I$5+E1059)*(1-$I$10)+$I$6-$I$11)-('Data Schema'!$C$3*(1+B1059)^1-'Data Schema'!$C$3)*$I$12)/(1+C1059)^1+(('Data Schema'!$C$3*(1+B1059)^2)*((1-$I$4-$I$5+E1059)*(1-$I$10)+$I$6-$I$11)-('Data Schema'!$C$3*(1+B1059)^2-'Data Schema'!$C$3*(1+B1059)^1)*$I$12)/(1+C1059)^2+(('Data Schema'!$C$3*(1+B1059)^3)*((1-$I$4-$I$5+E1059)*(1-$I$10)+$I$6-$I$11)-('Data Schema'!$C$3*(1+B1059)^3-'Data Schema'!$C$3*(1+B1059)^2)*$I$12)/(1+C1059)^3+(('Data Schema'!$C$3*(1+B1059)^4)*((1-$I$4-$I$5+E1059)*(1-$I$10)+$I$6-$I$11)-('Data Schema'!$C$3*(1+B1059)^4-'Data Schema'!$C$3*(1+B1059)^3)*$I$12)/(1+C1059)^4+(('Data Schema'!$C$3*(1+B1059)^5)*((1-$I$4-$I$5+E1059)*(1-$I$10)+$I$6-$I$11)-('Data Schema'!$C$3*(1+B1059)^5-'Data Schema'!$C$3*(1+B1059)^4)*$I$12)/(1+C1059)^5+((('Data Schema'!$C$3*(1+B1059)^5)*((1-$I$4-$I$5+E1059)*(1-$I$10)+$I$6-$I$11)-('Data Schema'!$C$3*(1+B1059)^5-'Data Schema'!$C$3*(1+B1059)^4)*$I$12)*(1+D1059)/(C1059-D1059))/(1+C1059)^5-'Data Schema'!$C$31+'Data Schema'!$C$21)/'Data Schema'!$B$17,0),"INVALID")</f>
        <v>112.05684121418392</v>
      </c>
      <c r="H1059" s="189" t="b">
        <f t="shared" ca="1" si="122"/>
        <v>1</v>
      </c>
      <c r="I1059" s="188">
        <f t="shared" ca="1" si="123"/>
        <v>112.05684121418392</v>
      </c>
      <c r="J1059" s="349">
        <f t="shared" ca="1" si="116"/>
        <v>112.05684121418392</v>
      </c>
    </row>
    <row r="1060" spans="1:10">
      <c r="A1060" s="185">
        <v>881</v>
      </c>
      <c r="B1060" s="190">
        <f t="shared" ca="1" si="117"/>
        <v>0.10236234064155146</v>
      </c>
      <c r="C1060" s="190">
        <f t="shared" ca="1" si="118"/>
        <v>4.9865966605997444E-2</v>
      </c>
      <c r="D1060" s="190">
        <f t="shared" ca="1" si="119"/>
        <v>2.1561259990785793E-2</v>
      </c>
      <c r="E1060" s="190">
        <f t="shared" ca="1" si="120"/>
        <v>-1.9479723136349693E-2</v>
      </c>
      <c r="F1060" s="189" t="b">
        <f t="shared" ca="1" si="121"/>
        <v>1</v>
      </c>
      <c r="G1060" s="188">
        <f ca="1">IF(F1060,IFERROR(((('Data Schema'!$C$3*(1+B1060)^1)*((1-$I$4-$I$5+E1060)*(1-$I$10)+$I$6-$I$11)-('Data Schema'!$C$3*(1+B1060)^1-'Data Schema'!$C$3)*$I$12)/(1+C1060)^1+(('Data Schema'!$C$3*(1+B1060)^2)*((1-$I$4-$I$5+E1060)*(1-$I$10)+$I$6-$I$11)-('Data Schema'!$C$3*(1+B1060)^2-'Data Schema'!$C$3*(1+B1060)^1)*$I$12)/(1+C1060)^2+(('Data Schema'!$C$3*(1+B1060)^3)*((1-$I$4-$I$5+E1060)*(1-$I$10)+$I$6-$I$11)-('Data Schema'!$C$3*(1+B1060)^3-'Data Schema'!$C$3*(1+B1060)^2)*$I$12)/(1+C1060)^3+(('Data Schema'!$C$3*(1+B1060)^4)*((1-$I$4-$I$5+E1060)*(1-$I$10)+$I$6-$I$11)-('Data Schema'!$C$3*(1+B1060)^4-'Data Schema'!$C$3*(1+B1060)^3)*$I$12)/(1+C1060)^4+(('Data Schema'!$C$3*(1+B1060)^5)*((1-$I$4-$I$5+E1060)*(1-$I$10)+$I$6-$I$11)-('Data Schema'!$C$3*(1+B1060)^5-'Data Schema'!$C$3*(1+B1060)^4)*$I$12)/(1+C1060)^5+((('Data Schema'!$C$3*(1+B1060)^5)*((1-$I$4-$I$5+E1060)*(1-$I$10)+$I$6-$I$11)-('Data Schema'!$C$3*(1+B1060)^5-'Data Schema'!$C$3*(1+B1060)^4)*$I$12)*(1+D1060)/(C1060-D1060))/(1+C1060)^5-'Data Schema'!$C$31+'Data Schema'!$C$21)/'Data Schema'!$B$17,0),"INVALID")</f>
        <v>42.692937868416607</v>
      </c>
      <c r="H1060" s="189" t="b">
        <f t="shared" ca="1" si="122"/>
        <v>1</v>
      </c>
      <c r="I1060" s="188">
        <f t="shared" ca="1" si="123"/>
        <v>42.692937868416607</v>
      </c>
      <c r="J1060" s="349">
        <f t="shared" ca="1" si="116"/>
        <v>42.692937868416607</v>
      </c>
    </row>
    <row r="1061" spans="1:10">
      <c r="A1061" s="184">
        <v>882</v>
      </c>
      <c r="B1061" s="190">
        <f t="shared" ca="1" si="117"/>
        <v>0.10959391395363341</v>
      </c>
      <c r="C1061" s="190">
        <f t="shared" ca="1" si="118"/>
        <v>4.9698603667973393E-2</v>
      </c>
      <c r="D1061" s="190">
        <f t="shared" ca="1" si="119"/>
        <v>1.4711904316679784E-2</v>
      </c>
      <c r="E1061" s="190">
        <f t="shared" ca="1" si="120"/>
        <v>-2.2433372578411121E-2</v>
      </c>
      <c r="F1061" s="189" t="b">
        <f t="shared" ca="1" si="121"/>
        <v>1</v>
      </c>
      <c r="G1061" s="188">
        <f ca="1">IF(F1061,IFERROR(((('Data Schema'!$C$3*(1+B1061)^1)*((1-$I$4-$I$5+E1061)*(1-$I$10)+$I$6-$I$11)-('Data Schema'!$C$3*(1+B1061)^1-'Data Schema'!$C$3)*$I$12)/(1+C1061)^1+(('Data Schema'!$C$3*(1+B1061)^2)*((1-$I$4-$I$5+E1061)*(1-$I$10)+$I$6-$I$11)-('Data Schema'!$C$3*(1+B1061)^2-'Data Schema'!$C$3*(1+B1061)^1)*$I$12)/(1+C1061)^2+(('Data Schema'!$C$3*(1+B1061)^3)*((1-$I$4-$I$5+E1061)*(1-$I$10)+$I$6-$I$11)-('Data Schema'!$C$3*(1+B1061)^3-'Data Schema'!$C$3*(1+B1061)^2)*$I$12)/(1+C1061)^3+(('Data Schema'!$C$3*(1+B1061)^4)*((1-$I$4-$I$5+E1061)*(1-$I$10)+$I$6-$I$11)-('Data Schema'!$C$3*(1+B1061)^4-'Data Schema'!$C$3*(1+B1061)^3)*$I$12)/(1+C1061)^4+(('Data Schema'!$C$3*(1+B1061)^5)*((1-$I$4-$I$5+E1061)*(1-$I$10)+$I$6-$I$11)-('Data Schema'!$C$3*(1+B1061)^5-'Data Schema'!$C$3*(1+B1061)^4)*$I$12)/(1+C1061)^5+((('Data Schema'!$C$3*(1+B1061)^5)*((1-$I$4-$I$5+E1061)*(1-$I$10)+$I$6-$I$11)-('Data Schema'!$C$3*(1+B1061)^5-'Data Schema'!$C$3*(1+B1061)^4)*$I$12)*(1+D1061)/(C1061-D1061))/(1+C1061)^5-'Data Schema'!$C$31+'Data Schema'!$C$21)/'Data Schema'!$B$17,0),"INVALID")</f>
        <v>26.175867718571279</v>
      </c>
      <c r="H1061" s="189" t="b">
        <f t="shared" ca="1" si="122"/>
        <v>1</v>
      </c>
      <c r="I1061" s="188">
        <f t="shared" ca="1" si="123"/>
        <v>26.175867718571279</v>
      </c>
      <c r="J1061" s="349">
        <f t="shared" ca="1" si="116"/>
        <v>26.175867718571279</v>
      </c>
    </row>
    <row r="1062" spans="1:10">
      <c r="A1062" s="185">
        <v>883</v>
      </c>
      <c r="B1062" s="190">
        <f t="shared" ca="1" si="117"/>
        <v>0.12691079654789525</v>
      </c>
      <c r="C1062" s="190">
        <f t="shared" ca="1" si="118"/>
        <v>4.1303860771914058E-2</v>
      </c>
      <c r="D1062" s="190">
        <f t="shared" ca="1" si="119"/>
        <v>2.5219327011840591E-2</v>
      </c>
      <c r="E1062" s="190">
        <f t="shared" ca="1" si="120"/>
        <v>-1.0255075090705994E-2</v>
      </c>
      <c r="F1062" s="189" t="b">
        <f t="shared" ca="1" si="121"/>
        <v>1</v>
      </c>
      <c r="G1062" s="188">
        <f ca="1">IF(F1062,IFERROR(((('Data Schema'!$C$3*(1+B1062)^1)*((1-$I$4-$I$5+E1062)*(1-$I$10)+$I$6-$I$11)-('Data Schema'!$C$3*(1+B1062)^1-'Data Schema'!$C$3)*$I$12)/(1+C1062)^1+(('Data Schema'!$C$3*(1+B1062)^2)*((1-$I$4-$I$5+E1062)*(1-$I$10)+$I$6-$I$11)-('Data Schema'!$C$3*(1+B1062)^2-'Data Schema'!$C$3*(1+B1062)^1)*$I$12)/(1+C1062)^2+(('Data Schema'!$C$3*(1+B1062)^3)*((1-$I$4-$I$5+E1062)*(1-$I$10)+$I$6-$I$11)-('Data Schema'!$C$3*(1+B1062)^3-'Data Schema'!$C$3*(1+B1062)^2)*$I$12)/(1+C1062)^3+(('Data Schema'!$C$3*(1+B1062)^4)*((1-$I$4-$I$5+E1062)*(1-$I$10)+$I$6-$I$11)-('Data Schema'!$C$3*(1+B1062)^4-'Data Schema'!$C$3*(1+B1062)^3)*$I$12)/(1+C1062)^4+(('Data Schema'!$C$3*(1+B1062)^5)*((1-$I$4-$I$5+E1062)*(1-$I$10)+$I$6-$I$11)-('Data Schema'!$C$3*(1+B1062)^5-'Data Schema'!$C$3*(1+B1062)^4)*$I$12)/(1+C1062)^5+((('Data Schema'!$C$3*(1+B1062)^5)*((1-$I$4-$I$5+E1062)*(1-$I$10)+$I$6-$I$11)-('Data Schema'!$C$3*(1+B1062)^5-'Data Schema'!$C$3*(1+B1062)^4)*$I$12)*(1+D1062)/(C1062-D1062))/(1+C1062)^5-'Data Schema'!$C$31+'Data Schema'!$C$21)/'Data Schema'!$B$17,0),"INVALID")</f>
        <v>148.35718782143536</v>
      </c>
      <c r="H1062" s="189" t="b">
        <f t="shared" ca="1" si="122"/>
        <v>1</v>
      </c>
      <c r="I1062" s="188">
        <f t="shared" ca="1" si="123"/>
        <v>148.35718782143536</v>
      </c>
      <c r="J1062" s="349">
        <f t="shared" ca="1" si="116"/>
        <v>148.35718782143536</v>
      </c>
    </row>
    <row r="1063" spans="1:10">
      <c r="A1063" s="184">
        <v>884</v>
      </c>
      <c r="B1063" s="190">
        <f t="shared" ca="1" si="117"/>
        <v>0.10267663435827168</v>
      </c>
      <c r="C1063" s="190">
        <f t="shared" ca="1" si="118"/>
        <v>5.7040528873528243E-2</v>
      </c>
      <c r="D1063" s="190">
        <f t="shared" ca="1" si="119"/>
        <v>3.5322759618236763E-2</v>
      </c>
      <c r="E1063" s="190">
        <f t="shared" ca="1" si="120"/>
        <v>-5.8848782796247089E-4</v>
      </c>
      <c r="F1063" s="189" t="b">
        <f t="shared" ca="1" si="121"/>
        <v>1</v>
      </c>
      <c r="G1063" s="188">
        <f ca="1">IF(F1063,IFERROR(((('Data Schema'!$C$3*(1+B1063)^1)*((1-$I$4-$I$5+E1063)*(1-$I$10)+$I$6-$I$11)-('Data Schema'!$C$3*(1+B1063)^1-'Data Schema'!$C$3)*$I$12)/(1+C1063)^1+(('Data Schema'!$C$3*(1+B1063)^2)*((1-$I$4-$I$5+E1063)*(1-$I$10)+$I$6-$I$11)-('Data Schema'!$C$3*(1+B1063)^2-'Data Schema'!$C$3*(1+B1063)^1)*$I$12)/(1+C1063)^2+(('Data Schema'!$C$3*(1+B1063)^3)*((1-$I$4-$I$5+E1063)*(1-$I$10)+$I$6-$I$11)-('Data Schema'!$C$3*(1+B1063)^3-'Data Schema'!$C$3*(1+B1063)^2)*$I$12)/(1+C1063)^3+(('Data Schema'!$C$3*(1+B1063)^4)*((1-$I$4-$I$5+E1063)*(1-$I$10)+$I$6-$I$11)-('Data Schema'!$C$3*(1+B1063)^4-'Data Schema'!$C$3*(1+B1063)^3)*$I$12)/(1+C1063)^4+(('Data Schema'!$C$3*(1+B1063)^5)*((1-$I$4-$I$5+E1063)*(1-$I$10)+$I$6-$I$11)-('Data Schema'!$C$3*(1+B1063)^5-'Data Schema'!$C$3*(1+B1063)^4)*$I$12)/(1+C1063)^5+((('Data Schema'!$C$3*(1+B1063)^5)*((1-$I$4-$I$5+E1063)*(1-$I$10)+$I$6-$I$11)-('Data Schema'!$C$3*(1+B1063)^5-'Data Schema'!$C$3*(1+B1063)^4)*$I$12)*(1+D1063)/(C1063-D1063))/(1+C1063)^5-'Data Schema'!$C$31+'Data Schema'!$C$21)/'Data Schema'!$B$17,0),"INVALID")</f>
        <v>136.18749010073302</v>
      </c>
      <c r="H1063" s="189" t="b">
        <f t="shared" ca="1" si="122"/>
        <v>1</v>
      </c>
      <c r="I1063" s="188">
        <f t="shared" ca="1" si="123"/>
        <v>136.18749010073302</v>
      </c>
      <c r="J1063" s="349">
        <f t="shared" ca="1" si="116"/>
        <v>136.18749010073302</v>
      </c>
    </row>
    <row r="1064" spans="1:10">
      <c r="A1064" s="185">
        <v>885</v>
      </c>
      <c r="B1064" s="190">
        <f t="shared" ca="1" si="117"/>
        <v>5.8889544935883803E-2</v>
      </c>
      <c r="C1064" s="190">
        <f t="shared" ca="1" si="118"/>
        <v>5.9129376229282424E-2</v>
      </c>
      <c r="D1064" s="190">
        <f t="shared" ca="1" si="119"/>
        <v>1.9654813322564135E-2</v>
      </c>
      <c r="E1064" s="190">
        <f t="shared" ca="1" si="120"/>
        <v>-1.6791758271538178E-2</v>
      </c>
      <c r="F1064" s="189" t="b">
        <f t="shared" ca="1" si="121"/>
        <v>1</v>
      </c>
      <c r="G1064" s="188">
        <f ca="1">IF(F1064,IFERROR(((('Data Schema'!$C$3*(1+B1064)^1)*((1-$I$4-$I$5+E1064)*(1-$I$10)+$I$6-$I$11)-('Data Schema'!$C$3*(1+B1064)^1-'Data Schema'!$C$3)*$I$12)/(1+C1064)^1+(('Data Schema'!$C$3*(1+B1064)^2)*((1-$I$4-$I$5+E1064)*(1-$I$10)+$I$6-$I$11)-('Data Schema'!$C$3*(1+B1064)^2-'Data Schema'!$C$3*(1+B1064)^1)*$I$12)/(1+C1064)^2+(('Data Schema'!$C$3*(1+B1064)^3)*((1-$I$4-$I$5+E1064)*(1-$I$10)+$I$6-$I$11)-('Data Schema'!$C$3*(1+B1064)^3-'Data Schema'!$C$3*(1+B1064)^2)*$I$12)/(1+C1064)^3+(('Data Schema'!$C$3*(1+B1064)^4)*((1-$I$4-$I$5+E1064)*(1-$I$10)+$I$6-$I$11)-('Data Schema'!$C$3*(1+B1064)^4-'Data Schema'!$C$3*(1+B1064)^3)*$I$12)/(1+C1064)^4+(('Data Schema'!$C$3*(1+B1064)^5)*((1-$I$4-$I$5+E1064)*(1-$I$10)+$I$6-$I$11)-('Data Schema'!$C$3*(1+B1064)^5-'Data Schema'!$C$3*(1+B1064)^4)*$I$12)/(1+C1064)^5+((('Data Schema'!$C$3*(1+B1064)^5)*((1-$I$4-$I$5+E1064)*(1-$I$10)+$I$6-$I$11)-('Data Schema'!$C$3*(1+B1064)^5-'Data Schema'!$C$3*(1+B1064)^4)*$I$12)*(1+D1064)/(C1064-D1064))/(1+C1064)^5-'Data Schema'!$C$31+'Data Schema'!$C$21)/'Data Schema'!$B$17,0),"INVALID")</f>
        <v>30.056155585980147</v>
      </c>
      <c r="H1064" s="189" t="b">
        <f t="shared" ca="1" si="122"/>
        <v>1</v>
      </c>
      <c r="I1064" s="188">
        <f t="shared" ca="1" si="123"/>
        <v>30.056155585980147</v>
      </c>
      <c r="J1064" s="349">
        <f t="shared" ca="1" si="116"/>
        <v>30.056155585980147</v>
      </c>
    </row>
    <row r="1065" spans="1:10">
      <c r="A1065" s="184">
        <v>886</v>
      </c>
      <c r="B1065" s="190">
        <f t="shared" ca="1" si="117"/>
        <v>0.1089158484853795</v>
      </c>
      <c r="C1065" s="190">
        <f t="shared" ca="1" si="118"/>
        <v>6.9169097622078651E-2</v>
      </c>
      <c r="D1065" s="190">
        <f t="shared" ca="1" si="119"/>
        <v>2.3338517809088567E-2</v>
      </c>
      <c r="E1065" s="190">
        <f t="shared" ca="1" si="120"/>
        <v>-1.3147937764512794E-3</v>
      </c>
      <c r="F1065" s="189" t="b">
        <f t="shared" ca="1" si="121"/>
        <v>1</v>
      </c>
      <c r="G1065" s="188">
        <f ca="1">IF(F1065,IFERROR(((('Data Schema'!$C$3*(1+B1065)^1)*((1-$I$4-$I$5+E1065)*(1-$I$10)+$I$6-$I$11)-('Data Schema'!$C$3*(1+B1065)^1-'Data Schema'!$C$3)*$I$12)/(1+C1065)^1+(('Data Schema'!$C$3*(1+B1065)^2)*((1-$I$4-$I$5+E1065)*(1-$I$10)+$I$6-$I$11)-('Data Schema'!$C$3*(1+B1065)^2-'Data Schema'!$C$3*(1+B1065)^1)*$I$12)/(1+C1065)^2+(('Data Schema'!$C$3*(1+B1065)^3)*((1-$I$4-$I$5+E1065)*(1-$I$10)+$I$6-$I$11)-('Data Schema'!$C$3*(1+B1065)^3-'Data Schema'!$C$3*(1+B1065)^2)*$I$12)/(1+C1065)^3+(('Data Schema'!$C$3*(1+B1065)^4)*((1-$I$4-$I$5+E1065)*(1-$I$10)+$I$6-$I$11)-('Data Schema'!$C$3*(1+B1065)^4-'Data Schema'!$C$3*(1+B1065)^3)*$I$12)/(1+C1065)^4+(('Data Schema'!$C$3*(1+B1065)^5)*((1-$I$4-$I$5+E1065)*(1-$I$10)+$I$6-$I$11)-('Data Schema'!$C$3*(1+B1065)^5-'Data Schema'!$C$3*(1+B1065)^4)*$I$12)/(1+C1065)^5+((('Data Schema'!$C$3*(1+B1065)^5)*((1-$I$4-$I$5+E1065)*(1-$I$10)+$I$6-$I$11)-('Data Schema'!$C$3*(1+B1065)^5-'Data Schema'!$C$3*(1+B1065)^4)*$I$12)*(1+D1065)/(C1065-D1065))/(1+C1065)^5-'Data Schema'!$C$31+'Data Schema'!$C$21)/'Data Schema'!$B$17,0),"INVALID")</f>
        <v>62.934004151432482</v>
      </c>
      <c r="H1065" s="189" t="b">
        <f t="shared" ca="1" si="122"/>
        <v>1</v>
      </c>
      <c r="I1065" s="188">
        <f t="shared" ca="1" si="123"/>
        <v>62.934004151432482</v>
      </c>
      <c r="J1065" s="349">
        <f t="shared" ca="1" si="116"/>
        <v>62.934004151432482</v>
      </c>
    </row>
    <row r="1066" spans="1:10">
      <c r="A1066" s="185">
        <v>887</v>
      </c>
      <c r="B1066" s="190">
        <f t="shared" ca="1" si="117"/>
        <v>9.9933993850190181E-2</v>
      </c>
      <c r="C1066" s="190">
        <f t="shared" ca="1" si="118"/>
        <v>8.6279819823158937E-2</v>
      </c>
      <c r="D1066" s="190">
        <f t="shared" ca="1" si="119"/>
        <v>2.0210900600115329E-2</v>
      </c>
      <c r="E1066" s="190">
        <f t="shared" ca="1" si="120"/>
        <v>9.2706504772356087E-3</v>
      </c>
      <c r="F1066" s="189" t="b">
        <f t="shared" ca="1" si="121"/>
        <v>1</v>
      </c>
      <c r="G1066" s="188">
        <f ca="1">IF(F1066,IFERROR(((('Data Schema'!$C$3*(1+B1066)^1)*((1-$I$4-$I$5+E1066)*(1-$I$10)+$I$6-$I$11)-('Data Schema'!$C$3*(1+B1066)^1-'Data Schema'!$C$3)*$I$12)/(1+C1066)^1+(('Data Schema'!$C$3*(1+B1066)^2)*((1-$I$4-$I$5+E1066)*(1-$I$10)+$I$6-$I$11)-('Data Schema'!$C$3*(1+B1066)^2-'Data Schema'!$C$3*(1+B1066)^1)*$I$12)/(1+C1066)^2+(('Data Schema'!$C$3*(1+B1066)^3)*((1-$I$4-$I$5+E1066)*(1-$I$10)+$I$6-$I$11)-('Data Schema'!$C$3*(1+B1066)^3-'Data Schema'!$C$3*(1+B1066)^2)*$I$12)/(1+C1066)^3+(('Data Schema'!$C$3*(1+B1066)^4)*((1-$I$4-$I$5+E1066)*(1-$I$10)+$I$6-$I$11)-('Data Schema'!$C$3*(1+B1066)^4-'Data Schema'!$C$3*(1+B1066)^3)*$I$12)/(1+C1066)^4+(('Data Schema'!$C$3*(1+B1066)^5)*((1-$I$4-$I$5+E1066)*(1-$I$10)+$I$6-$I$11)-('Data Schema'!$C$3*(1+B1066)^5-'Data Schema'!$C$3*(1+B1066)^4)*$I$12)/(1+C1066)^5+((('Data Schema'!$C$3*(1+B1066)^5)*((1-$I$4-$I$5+E1066)*(1-$I$10)+$I$6-$I$11)-('Data Schema'!$C$3*(1+B1066)^5-'Data Schema'!$C$3*(1+B1066)^4)*$I$12)*(1+D1066)/(C1066-D1066))/(1+C1066)^5-'Data Schema'!$C$31+'Data Schema'!$C$21)/'Data Schema'!$B$17,0),"INVALID")</f>
        <v>55.244807411082185</v>
      </c>
      <c r="H1066" s="189" t="b">
        <f t="shared" ca="1" si="122"/>
        <v>1</v>
      </c>
      <c r="I1066" s="188">
        <f t="shared" ca="1" si="123"/>
        <v>55.244807411082185</v>
      </c>
      <c r="J1066" s="349">
        <f t="shared" ca="1" si="116"/>
        <v>55.244807411082185</v>
      </c>
    </row>
    <row r="1067" spans="1:10">
      <c r="A1067" s="184">
        <v>888</v>
      </c>
      <c r="B1067" s="190">
        <f t="shared" ca="1" si="117"/>
        <v>0.14652462308027456</v>
      </c>
      <c r="C1067" s="190">
        <f t="shared" ca="1" si="118"/>
        <v>4.9178458620154276E-2</v>
      </c>
      <c r="D1067" s="190">
        <f t="shared" ca="1" si="119"/>
        <v>3.1534207360958709E-2</v>
      </c>
      <c r="E1067" s="190">
        <f t="shared" ca="1" si="120"/>
        <v>-1.0027144573768576E-2</v>
      </c>
      <c r="F1067" s="189" t="b">
        <f t="shared" ca="1" si="121"/>
        <v>1</v>
      </c>
      <c r="G1067" s="188">
        <f ca="1">IF(F1067,IFERROR(((('Data Schema'!$C$3*(1+B1067)^1)*((1-$I$4-$I$5+E1067)*(1-$I$10)+$I$6-$I$11)-('Data Schema'!$C$3*(1+B1067)^1-'Data Schema'!$C$3)*$I$12)/(1+C1067)^1+(('Data Schema'!$C$3*(1+B1067)^2)*((1-$I$4-$I$5+E1067)*(1-$I$10)+$I$6-$I$11)-('Data Schema'!$C$3*(1+B1067)^2-'Data Schema'!$C$3*(1+B1067)^1)*$I$12)/(1+C1067)^2+(('Data Schema'!$C$3*(1+B1067)^3)*((1-$I$4-$I$5+E1067)*(1-$I$10)+$I$6-$I$11)-('Data Schema'!$C$3*(1+B1067)^3-'Data Schema'!$C$3*(1+B1067)^2)*$I$12)/(1+C1067)^3+(('Data Schema'!$C$3*(1+B1067)^4)*((1-$I$4-$I$5+E1067)*(1-$I$10)+$I$6-$I$11)-('Data Schema'!$C$3*(1+B1067)^4-'Data Schema'!$C$3*(1+B1067)^3)*$I$12)/(1+C1067)^4+(('Data Schema'!$C$3*(1+B1067)^5)*((1-$I$4-$I$5+E1067)*(1-$I$10)+$I$6-$I$11)-('Data Schema'!$C$3*(1+B1067)^5-'Data Schema'!$C$3*(1+B1067)^4)*$I$12)/(1+C1067)^5+((('Data Schema'!$C$3*(1+B1067)^5)*((1-$I$4-$I$5+E1067)*(1-$I$10)+$I$6-$I$11)-('Data Schema'!$C$3*(1+B1067)^5-'Data Schema'!$C$3*(1+B1067)^4)*$I$12)*(1+D1067)/(C1067-D1067))/(1+C1067)^5-'Data Schema'!$C$31+'Data Schema'!$C$21)/'Data Schema'!$B$17,0),"INVALID")</f>
        <v>142.11138467085755</v>
      </c>
      <c r="H1067" s="189" t="b">
        <f t="shared" ca="1" si="122"/>
        <v>1</v>
      </c>
      <c r="I1067" s="188">
        <f t="shared" ca="1" si="123"/>
        <v>142.11138467085755</v>
      </c>
      <c r="J1067" s="349">
        <f t="shared" ca="1" si="116"/>
        <v>142.11138467085755</v>
      </c>
    </row>
    <row r="1068" spans="1:10">
      <c r="A1068" s="185">
        <v>889</v>
      </c>
      <c r="B1068" s="190">
        <f t="shared" ca="1" si="117"/>
        <v>9.2612152593830377E-2</v>
      </c>
      <c r="C1068" s="190">
        <f t="shared" ca="1" si="118"/>
        <v>5.9320925849887005E-2</v>
      </c>
      <c r="D1068" s="190">
        <f t="shared" ca="1" si="119"/>
        <v>1.8316275069699909E-2</v>
      </c>
      <c r="E1068" s="190">
        <f t="shared" ca="1" si="120"/>
        <v>-2.9745490163847567E-2</v>
      </c>
      <c r="F1068" s="189" t="b">
        <f t="shared" ca="1" si="121"/>
        <v>1</v>
      </c>
      <c r="G1068" s="188">
        <f ca="1">IF(F1068,IFERROR(((('Data Schema'!$C$3*(1+B1068)^1)*((1-$I$4-$I$5+E1068)*(1-$I$10)+$I$6-$I$11)-('Data Schema'!$C$3*(1+B1068)^1-'Data Schema'!$C$3)*$I$12)/(1+C1068)^1+(('Data Schema'!$C$3*(1+B1068)^2)*((1-$I$4-$I$5+E1068)*(1-$I$10)+$I$6-$I$11)-('Data Schema'!$C$3*(1+B1068)^2-'Data Schema'!$C$3*(1+B1068)^1)*$I$12)/(1+C1068)^2+(('Data Schema'!$C$3*(1+B1068)^3)*((1-$I$4-$I$5+E1068)*(1-$I$10)+$I$6-$I$11)-('Data Schema'!$C$3*(1+B1068)^3-'Data Schema'!$C$3*(1+B1068)^2)*$I$12)/(1+C1068)^3+(('Data Schema'!$C$3*(1+B1068)^4)*((1-$I$4-$I$5+E1068)*(1-$I$10)+$I$6-$I$11)-('Data Schema'!$C$3*(1+B1068)^4-'Data Schema'!$C$3*(1+B1068)^3)*$I$12)/(1+C1068)^4+(('Data Schema'!$C$3*(1+B1068)^5)*((1-$I$4-$I$5+E1068)*(1-$I$10)+$I$6-$I$11)-('Data Schema'!$C$3*(1+B1068)^5-'Data Schema'!$C$3*(1+B1068)^4)*$I$12)/(1+C1068)^5+((('Data Schema'!$C$3*(1+B1068)^5)*((1-$I$4-$I$5+E1068)*(1-$I$10)+$I$6-$I$11)-('Data Schema'!$C$3*(1+B1068)^5-'Data Schema'!$C$3*(1+B1068)^4)*$I$12)*(1+D1068)/(C1068-D1068))/(1+C1068)^5-'Data Schema'!$C$31+'Data Schema'!$C$21)/'Data Schema'!$B$17,0),"INVALID")</f>
        <v>2.9225406254146762</v>
      </c>
      <c r="H1068" s="189" t="b">
        <f t="shared" ca="1" si="122"/>
        <v>0</v>
      </c>
      <c r="I1068" s="188" t="str">
        <f t="shared" ca="1" si="123"/>
        <v/>
      </c>
      <c r="J1068" s="349" t="str">
        <f t="shared" ca="1" si="116"/>
        <v/>
      </c>
    </row>
    <row r="1069" spans="1:10">
      <c r="A1069" s="184">
        <v>890</v>
      </c>
      <c r="B1069" s="190">
        <f t="shared" ca="1" si="117"/>
        <v>0.11806355201565065</v>
      </c>
      <c r="C1069" s="190">
        <f t="shared" ca="1" si="118"/>
        <v>6.7956855505199351E-2</v>
      </c>
      <c r="D1069" s="190">
        <f t="shared" ca="1" si="119"/>
        <v>2.514506864130768E-2</v>
      </c>
      <c r="E1069" s="190">
        <f t="shared" ca="1" si="120"/>
        <v>3.8604091216125698E-3</v>
      </c>
      <c r="F1069" s="189" t="b">
        <f t="shared" ca="1" si="121"/>
        <v>1</v>
      </c>
      <c r="G1069" s="188">
        <f ca="1">IF(F1069,IFERROR(((('Data Schema'!$C$3*(1+B1069)^1)*((1-$I$4-$I$5+E1069)*(1-$I$10)+$I$6-$I$11)-('Data Schema'!$C$3*(1+B1069)^1-'Data Schema'!$C$3)*$I$12)/(1+C1069)^1+(('Data Schema'!$C$3*(1+B1069)^2)*((1-$I$4-$I$5+E1069)*(1-$I$10)+$I$6-$I$11)-('Data Schema'!$C$3*(1+B1069)^2-'Data Schema'!$C$3*(1+B1069)^1)*$I$12)/(1+C1069)^2+(('Data Schema'!$C$3*(1+B1069)^3)*((1-$I$4-$I$5+E1069)*(1-$I$10)+$I$6-$I$11)-('Data Schema'!$C$3*(1+B1069)^3-'Data Schema'!$C$3*(1+B1069)^2)*$I$12)/(1+C1069)^3+(('Data Schema'!$C$3*(1+B1069)^4)*((1-$I$4-$I$5+E1069)*(1-$I$10)+$I$6-$I$11)-('Data Schema'!$C$3*(1+B1069)^4-'Data Schema'!$C$3*(1+B1069)^3)*$I$12)/(1+C1069)^4+(('Data Schema'!$C$3*(1+B1069)^5)*((1-$I$4-$I$5+E1069)*(1-$I$10)+$I$6-$I$11)-('Data Schema'!$C$3*(1+B1069)^5-'Data Schema'!$C$3*(1+B1069)^4)*$I$12)/(1+C1069)^5+((('Data Schema'!$C$3*(1+B1069)^5)*((1-$I$4-$I$5+E1069)*(1-$I$10)+$I$6-$I$11)-('Data Schema'!$C$3*(1+B1069)^5-'Data Schema'!$C$3*(1+B1069)^4)*$I$12)*(1+D1069)/(C1069-D1069))/(1+C1069)^5-'Data Schema'!$C$31+'Data Schema'!$C$21)/'Data Schema'!$B$17,0),"INVALID")</f>
        <v>82.354778979859574</v>
      </c>
      <c r="H1069" s="189" t="b">
        <f t="shared" ca="1" si="122"/>
        <v>1</v>
      </c>
      <c r="I1069" s="188">
        <f t="shared" ca="1" si="123"/>
        <v>82.354778979859574</v>
      </c>
      <c r="J1069" s="349">
        <f t="shared" ca="1" si="116"/>
        <v>82.354778979859574</v>
      </c>
    </row>
    <row r="1070" spans="1:10">
      <c r="A1070" s="185">
        <v>891</v>
      </c>
      <c r="B1070" s="190">
        <f t="shared" ca="1" si="117"/>
        <v>9.0371837522436507E-2</v>
      </c>
      <c r="C1070" s="190">
        <f t="shared" ca="1" si="118"/>
        <v>6.1786513875466402E-2</v>
      </c>
      <c r="D1070" s="190">
        <f t="shared" ca="1" si="119"/>
        <v>3.5348815209642531E-2</v>
      </c>
      <c r="E1070" s="190">
        <f t="shared" ca="1" si="120"/>
        <v>-2.6978221937744616E-3</v>
      </c>
      <c r="F1070" s="189" t="b">
        <f t="shared" ca="1" si="121"/>
        <v>1</v>
      </c>
      <c r="G1070" s="188">
        <f ca="1">IF(F1070,IFERROR(((('Data Schema'!$C$3*(1+B1070)^1)*((1-$I$4-$I$5+E1070)*(1-$I$10)+$I$6-$I$11)-('Data Schema'!$C$3*(1+B1070)^1-'Data Schema'!$C$3)*$I$12)/(1+C1070)^1+(('Data Schema'!$C$3*(1+B1070)^2)*((1-$I$4-$I$5+E1070)*(1-$I$10)+$I$6-$I$11)-('Data Schema'!$C$3*(1+B1070)^2-'Data Schema'!$C$3*(1+B1070)^1)*$I$12)/(1+C1070)^2+(('Data Schema'!$C$3*(1+B1070)^3)*((1-$I$4-$I$5+E1070)*(1-$I$10)+$I$6-$I$11)-('Data Schema'!$C$3*(1+B1070)^3-'Data Schema'!$C$3*(1+B1070)^2)*$I$12)/(1+C1070)^3+(('Data Schema'!$C$3*(1+B1070)^4)*((1-$I$4-$I$5+E1070)*(1-$I$10)+$I$6-$I$11)-('Data Schema'!$C$3*(1+B1070)^4-'Data Schema'!$C$3*(1+B1070)^3)*$I$12)/(1+C1070)^4+(('Data Schema'!$C$3*(1+B1070)^5)*((1-$I$4-$I$5+E1070)*(1-$I$10)+$I$6-$I$11)-('Data Schema'!$C$3*(1+B1070)^5-'Data Schema'!$C$3*(1+B1070)^4)*$I$12)/(1+C1070)^5+((('Data Schema'!$C$3*(1+B1070)^5)*((1-$I$4-$I$5+E1070)*(1-$I$10)+$I$6-$I$11)-('Data Schema'!$C$3*(1+B1070)^5-'Data Schema'!$C$3*(1+B1070)^4)*$I$12)*(1+D1070)/(C1070-D1070))/(1+C1070)^5-'Data Schema'!$C$31+'Data Schema'!$C$21)/'Data Schema'!$B$17,0),"INVALID")</f>
        <v>98.039470848579711</v>
      </c>
      <c r="H1070" s="189" t="b">
        <f t="shared" ca="1" si="122"/>
        <v>1</v>
      </c>
      <c r="I1070" s="188">
        <f t="shared" ca="1" si="123"/>
        <v>98.039470848579711</v>
      </c>
      <c r="J1070" s="349">
        <f t="shared" ca="1" si="116"/>
        <v>98.039470848579711</v>
      </c>
    </row>
    <row r="1071" spans="1:10">
      <c r="A1071" s="184">
        <v>892</v>
      </c>
      <c r="B1071" s="190">
        <f t="shared" ca="1" si="117"/>
        <v>0.10220210063835025</v>
      </c>
      <c r="C1071" s="190">
        <f t="shared" ca="1" si="118"/>
        <v>4.1987361606152171E-2</v>
      </c>
      <c r="D1071" s="190">
        <f t="shared" ca="1" si="119"/>
        <v>2.2368300864196923E-2</v>
      </c>
      <c r="E1071" s="190">
        <f t="shared" ca="1" si="120"/>
        <v>9.1089197969866486E-3</v>
      </c>
      <c r="F1071" s="189" t="b">
        <f t="shared" ca="1" si="121"/>
        <v>1</v>
      </c>
      <c r="G1071" s="188">
        <f ca="1">IF(F1071,IFERROR(((('Data Schema'!$C$3*(1+B1071)^1)*((1-$I$4-$I$5+E1071)*(1-$I$10)+$I$6-$I$11)-('Data Schema'!$C$3*(1+B1071)^1-'Data Schema'!$C$3)*$I$12)/(1+C1071)^1+(('Data Schema'!$C$3*(1+B1071)^2)*((1-$I$4-$I$5+E1071)*(1-$I$10)+$I$6-$I$11)-('Data Schema'!$C$3*(1+B1071)^2-'Data Schema'!$C$3*(1+B1071)^1)*$I$12)/(1+C1071)^2+(('Data Schema'!$C$3*(1+B1071)^3)*((1-$I$4-$I$5+E1071)*(1-$I$10)+$I$6-$I$11)-('Data Schema'!$C$3*(1+B1071)^3-'Data Schema'!$C$3*(1+B1071)^2)*$I$12)/(1+C1071)^3+(('Data Schema'!$C$3*(1+B1071)^4)*((1-$I$4-$I$5+E1071)*(1-$I$10)+$I$6-$I$11)-('Data Schema'!$C$3*(1+B1071)^4-'Data Schema'!$C$3*(1+B1071)^3)*$I$12)/(1+C1071)^4+(('Data Schema'!$C$3*(1+B1071)^5)*((1-$I$4-$I$5+E1071)*(1-$I$10)+$I$6-$I$11)-('Data Schema'!$C$3*(1+B1071)^5-'Data Schema'!$C$3*(1+B1071)^4)*$I$12)/(1+C1071)^5+((('Data Schema'!$C$3*(1+B1071)^5)*((1-$I$4-$I$5+E1071)*(1-$I$10)+$I$6-$I$11)-('Data Schema'!$C$3*(1+B1071)^5-'Data Schema'!$C$3*(1+B1071)^4)*$I$12)*(1+D1071)/(C1071-D1071))/(1+C1071)^5-'Data Schema'!$C$31+'Data Schema'!$C$21)/'Data Schema'!$B$17,0),"INVALID")</f>
        <v>207.7022059812933</v>
      </c>
      <c r="H1071" s="189" t="b">
        <f t="shared" ca="1" si="122"/>
        <v>1</v>
      </c>
      <c r="I1071" s="188">
        <f t="shared" ca="1" si="123"/>
        <v>207.7022059812933</v>
      </c>
      <c r="J1071" s="349">
        <f t="shared" ca="1" si="116"/>
        <v>207.7022059812933</v>
      </c>
    </row>
    <row r="1072" spans="1:10">
      <c r="A1072" s="185">
        <v>893</v>
      </c>
      <c r="B1072" s="190">
        <f t="shared" ca="1" si="117"/>
        <v>0.12512544741081488</v>
      </c>
      <c r="C1072" s="190">
        <f t="shared" ca="1" si="118"/>
        <v>5.8816266047385247E-2</v>
      </c>
      <c r="D1072" s="190">
        <f t="shared" ca="1" si="119"/>
        <v>2.5488998412402319E-2</v>
      </c>
      <c r="E1072" s="190">
        <f t="shared" ca="1" si="120"/>
        <v>-1.7971453632248675E-2</v>
      </c>
      <c r="F1072" s="189" t="b">
        <f t="shared" ca="1" si="121"/>
        <v>1</v>
      </c>
      <c r="G1072" s="188">
        <f ca="1">IF(F1072,IFERROR(((('Data Schema'!$C$3*(1+B1072)^1)*((1-$I$4-$I$5+E1072)*(1-$I$10)+$I$6-$I$11)-('Data Schema'!$C$3*(1+B1072)^1-'Data Schema'!$C$3)*$I$12)/(1+C1072)^1+(('Data Schema'!$C$3*(1+B1072)^2)*((1-$I$4-$I$5+E1072)*(1-$I$10)+$I$6-$I$11)-('Data Schema'!$C$3*(1+B1072)^2-'Data Schema'!$C$3*(1+B1072)^1)*$I$12)/(1+C1072)^2+(('Data Schema'!$C$3*(1+B1072)^3)*((1-$I$4-$I$5+E1072)*(1-$I$10)+$I$6-$I$11)-('Data Schema'!$C$3*(1+B1072)^3-'Data Schema'!$C$3*(1+B1072)^2)*$I$12)/(1+C1072)^3+(('Data Schema'!$C$3*(1+B1072)^4)*((1-$I$4-$I$5+E1072)*(1-$I$10)+$I$6-$I$11)-('Data Schema'!$C$3*(1+B1072)^4-'Data Schema'!$C$3*(1+B1072)^3)*$I$12)/(1+C1072)^4+(('Data Schema'!$C$3*(1+B1072)^5)*((1-$I$4-$I$5+E1072)*(1-$I$10)+$I$6-$I$11)-('Data Schema'!$C$3*(1+B1072)^5-'Data Schema'!$C$3*(1+B1072)^4)*$I$12)/(1+C1072)^5+((('Data Schema'!$C$3*(1+B1072)^5)*((1-$I$4-$I$5+E1072)*(1-$I$10)+$I$6-$I$11)-('Data Schema'!$C$3*(1+B1072)^5-'Data Schema'!$C$3*(1+B1072)^4)*$I$12)*(1+D1072)/(C1072-D1072))/(1+C1072)^5-'Data Schema'!$C$31+'Data Schema'!$C$21)/'Data Schema'!$B$17,0),"INVALID")</f>
        <v>41.952110496244615</v>
      </c>
      <c r="H1072" s="189" t="b">
        <f t="shared" ca="1" si="122"/>
        <v>1</v>
      </c>
      <c r="I1072" s="188">
        <f t="shared" ca="1" si="123"/>
        <v>41.952110496244615</v>
      </c>
      <c r="J1072" s="349">
        <f t="shared" ca="1" si="116"/>
        <v>41.952110496244615</v>
      </c>
    </row>
    <row r="1073" spans="1:10">
      <c r="A1073" s="184">
        <v>894</v>
      </c>
      <c r="B1073" s="190">
        <f t="shared" ca="1" si="117"/>
        <v>9.0157046041581937E-2</v>
      </c>
      <c r="C1073" s="190">
        <f t="shared" ca="1" si="118"/>
        <v>5.9745594324522797E-2</v>
      </c>
      <c r="D1073" s="190">
        <f t="shared" ca="1" si="119"/>
        <v>1.90216188925947E-2</v>
      </c>
      <c r="E1073" s="190">
        <f t="shared" ca="1" si="120"/>
        <v>-3.9472719353434979E-2</v>
      </c>
      <c r="F1073" s="189" t="b">
        <f t="shared" ca="1" si="121"/>
        <v>1</v>
      </c>
      <c r="G1073" s="188">
        <f ca="1">IF(F1073,IFERROR(((('Data Schema'!$C$3*(1+B1073)^1)*((1-$I$4-$I$5+E1073)*(1-$I$10)+$I$6-$I$11)-('Data Schema'!$C$3*(1+B1073)^1-'Data Schema'!$C$3)*$I$12)/(1+C1073)^1+(('Data Schema'!$C$3*(1+B1073)^2)*((1-$I$4-$I$5+E1073)*(1-$I$10)+$I$6-$I$11)-('Data Schema'!$C$3*(1+B1073)^2-'Data Schema'!$C$3*(1+B1073)^1)*$I$12)/(1+C1073)^2+(('Data Schema'!$C$3*(1+B1073)^3)*((1-$I$4-$I$5+E1073)*(1-$I$10)+$I$6-$I$11)-('Data Schema'!$C$3*(1+B1073)^3-'Data Schema'!$C$3*(1+B1073)^2)*$I$12)/(1+C1073)^3+(('Data Schema'!$C$3*(1+B1073)^4)*((1-$I$4-$I$5+E1073)*(1-$I$10)+$I$6-$I$11)-('Data Schema'!$C$3*(1+B1073)^4-'Data Schema'!$C$3*(1+B1073)^3)*$I$12)/(1+C1073)^4+(('Data Schema'!$C$3*(1+B1073)^5)*((1-$I$4-$I$5+E1073)*(1-$I$10)+$I$6-$I$11)-('Data Schema'!$C$3*(1+B1073)^5-'Data Schema'!$C$3*(1+B1073)^4)*$I$12)/(1+C1073)^5+((('Data Schema'!$C$3*(1+B1073)^5)*((1-$I$4-$I$5+E1073)*(1-$I$10)+$I$6-$I$11)-('Data Schema'!$C$3*(1+B1073)^5-'Data Schema'!$C$3*(1+B1073)^4)*$I$12)*(1+D1073)/(C1073-D1073))/(1+C1073)^5-'Data Schema'!$C$31+'Data Schema'!$C$21)/'Data Schema'!$B$17,0),"INVALID")</f>
        <v>-19.240128273543423</v>
      </c>
      <c r="H1073" s="189" t="b">
        <f t="shared" ca="1" si="122"/>
        <v>0</v>
      </c>
      <c r="I1073" s="188" t="str">
        <f t="shared" ca="1" si="123"/>
        <v/>
      </c>
      <c r="J1073" s="349" t="str">
        <f t="shared" ca="1" si="116"/>
        <v/>
      </c>
    </row>
    <row r="1074" spans="1:10">
      <c r="A1074" s="185">
        <v>895</v>
      </c>
      <c r="B1074" s="190">
        <f t="shared" ca="1" si="117"/>
        <v>9.5919518691934436E-2</v>
      </c>
      <c r="C1074" s="190">
        <f t="shared" ca="1" si="118"/>
        <v>5.2913104393670259E-2</v>
      </c>
      <c r="D1074" s="190">
        <f t="shared" ca="1" si="119"/>
        <v>2.8833006515417547E-2</v>
      </c>
      <c r="E1074" s="190">
        <f t="shared" ca="1" si="120"/>
        <v>5.0365839219631149E-2</v>
      </c>
      <c r="F1074" s="189" t="b">
        <f t="shared" ca="1" si="121"/>
        <v>1</v>
      </c>
      <c r="G1074" s="188">
        <f ca="1">IF(F1074,IFERROR(((('Data Schema'!$C$3*(1+B1074)^1)*((1-$I$4-$I$5+E1074)*(1-$I$10)+$I$6-$I$11)-('Data Schema'!$C$3*(1+B1074)^1-'Data Schema'!$C$3)*$I$12)/(1+C1074)^1+(('Data Schema'!$C$3*(1+B1074)^2)*((1-$I$4-$I$5+E1074)*(1-$I$10)+$I$6-$I$11)-('Data Schema'!$C$3*(1+B1074)^2-'Data Schema'!$C$3*(1+B1074)^1)*$I$12)/(1+C1074)^2+(('Data Schema'!$C$3*(1+B1074)^3)*((1-$I$4-$I$5+E1074)*(1-$I$10)+$I$6-$I$11)-('Data Schema'!$C$3*(1+B1074)^3-'Data Schema'!$C$3*(1+B1074)^2)*$I$12)/(1+C1074)^3+(('Data Schema'!$C$3*(1+B1074)^4)*((1-$I$4-$I$5+E1074)*(1-$I$10)+$I$6-$I$11)-('Data Schema'!$C$3*(1+B1074)^4-'Data Schema'!$C$3*(1+B1074)^3)*$I$12)/(1+C1074)^4+(('Data Schema'!$C$3*(1+B1074)^5)*((1-$I$4-$I$5+E1074)*(1-$I$10)+$I$6-$I$11)-('Data Schema'!$C$3*(1+B1074)^5-'Data Schema'!$C$3*(1+B1074)^4)*$I$12)/(1+C1074)^5+((('Data Schema'!$C$3*(1+B1074)^5)*((1-$I$4-$I$5+E1074)*(1-$I$10)+$I$6-$I$11)-('Data Schema'!$C$3*(1+B1074)^5-'Data Schema'!$C$3*(1+B1074)^4)*$I$12)*(1+D1074)/(C1074-D1074))/(1+C1074)^5-'Data Schema'!$C$31+'Data Schema'!$C$21)/'Data Schema'!$B$17,0),"INVALID")</f>
        <v>318.33332748061673</v>
      </c>
      <c r="H1074" s="189" t="b">
        <f t="shared" ca="1" si="122"/>
        <v>1</v>
      </c>
      <c r="I1074" s="188">
        <f t="shared" ca="1" si="123"/>
        <v>318.33332748061673</v>
      </c>
      <c r="J1074" s="349" t="str">
        <f t="shared" ca="1" si="116"/>
        <v/>
      </c>
    </row>
    <row r="1075" spans="1:10">
      <c r="A1075" s="184">
        <v>896</v>
      </c>
      <c r="B1075" s="190">
        <f t="shared" ca="1" si="117"/>
        <v>0.12230117966856011</v>
      </c>
      <c r="C1075" s="190">
        <f t="shared" ca="1" si="118"/>
        <v>6.2001758581807585E-2</v>
      </c>
      <c r="D1075" s="190">
        <f t="shared" ca="1" si="119"/>
        <v>3.0457338434990565E-2</v>
      </c>
      <c r="E1075" s="190">
        <f t="shared" ca="1" si="120"/>
        <v>-2.0179160284267361E-2</v>
      </c>
      <c r="F1075" s="189" t="b">
        <f t="shared" ca="1" si="121"/>
        <v>1</v>
      </c>
      <c r="G1075" s="188">
        <f ca="1">IF(F1075,IFERROR(((('Data Schema'!$C$3*(1+B1075)^1)*((1-$I$4-$I$5+E1075)*(1-$I$10)+$I$6-$I$11)-('Data Schema'!$C$3*(1+B1075)^1-'Data Schema'!$C$3)*$I$12)/(1+C1075)^1+(('Data Schema'!$C$3*(1+B1075)^2)*((1-$I$4-$I$5+E1075)*(1-$I$10)+$I$6-$I$11)-('Data Schema'!$C$3*(1+B1075)^2-'Data Schema'!$C$3*(1+B1075)^1)*$I$12)/(1+C1075)^2+(('Data Schema'!$C$3*(1+B1075)^3)*((1-$I$4-$I$5+E1075)*(1-$I$10)+$I$6-$I$11)-('Data Schema'!$C$3*(1+B1075)^3-'Data Schema'!$C$3*(1+B1075)^2)*$I$12)/(1+C1075)^3+(('Data Schema'!$C$3*(1+B1075)^4)*((1-$I$4-$I$5+E1075)*(1-$I$10)+$I$6-$I$11)-('Data Schema'!$C$3*(1+B1075)^4-'Data Schema'!$C$3*(1+B1075)^3)*$I$12)/(1+C1075)^4+(('Data Schema'!$C$3*(1+B1075)^5)*((1-$I$4-$I$5+E1075)*(1-$I$10)+$I$6-$I$11)-('Data Schema'!$C$3*(1+B1075)^5-'Data Schema'!$C$3*(1+B1075)^4)*$I$12)/(1+C1075)^5+((('Data Schema'!$C$3*(1+B1075)^5)*((1-$I$4-$I$5+E1075)*(1-$I$10)+$I$6-$I$11)-('Data Schema'!$C$3*(1+B1075)^5-'Data Schema'!$C$3*(1+B1075)^4)*$I$12)*(1+D1075)/(C1075-D1075))/(1+C1075)^5-'Data Schema'!$C$31+'Data Schema'!$C$21)/'Data Schema'!$B$17,0),"INVALID")</f>
        <v>36.234086313777155</v>
      </c>
      <c r="H1075" s="189" t="b">
        <f t="shared" ca="1" si="122"/>
        <v>1</v>
      </c>
      <c r="I1075" s="188">
        <f t="shared" ca="1" si="123"/>
        <v>36.234086313777155</v>
      </c>
      <c r="J1075" s="349">
        <f t="shared" ca="1" si="116"/>
        <v>36.234086313777155</v>
      </c>
    </row>
    <row r="1076" spans="1:10">
      <c r="A1076" s="185">
        <v>897</v>
      </c>
      <c r="B1076" s="190">
        <f t="shared" ca="1" si="117"/>
        <v>7.4013098531465676E-2</v>
      </c>
      <c r="C1076" s="190">
        <f t="shared" ca="1" si="118"/>
        <v>5.8568648179532314E-2</v>
      </c>
      <c r="D1076" s="190">
        <f t="shared" ca="1" si="119"/>
        <v>2.432633606913363E-2</v>
      </c>
      <c r="E1076" s="190">
        <f t="shared" ca="1" si="120"/>
        <v>-3.9275417425022159E-5</v>
      </c>
      <c r="F1076" s="189" t="b">
        <f t="shared" ca="1" si="121"/>
        <v>1</v>
      </c>
      <c r="G1076" s="188">
        <f ca="1">IF(F1076,IFERROR(((('Data Schema'!$C$3*(1+B1076)^1)*((1-$I$4-$I$5+E1076)*(1-$I$10)+$I$6-$I$11)-('Data Schema'!$C$3*(1+B1076)^1-'Data Schema'!$C$3)*$I$12)/(1+C1076)^1+(('Data Schema'!$C$3*(1+B1076)^2)*((1-$I$4-$I$5+E1076)*(1-$I$10)+$I$6-$I$11)-('Data Schema'!$C$3*(1+B1076)^2-'Data Schema'!$C$3*(1+B1076)^1)*$I$12)/(1+C1076)^2+(('Data Schema'!$C$3*(1+B1076)^3)*((1-$I$4-$I$5+E1076)*(1-$I$10)+$I$6-$I$11)-('Data Schema'!$C$3*(1+B1076)^3-'Data Schema'!$C$3*(1+B1076)^2)*$I$12)/(1+C1076)^3+(('Data Schema'!$C$3*(1+B1076)^4)*((1-$I$4-$I$5+E1076)*(1-$I$10)+$I$6-$I$11)-('Data Schema'!$C$3*(1+B1076)^4-'Data Schema'!$C$3*(1+B1076)^3)*$I$12)/(1+C1076)^4+(('Data Schema'!$C$3*(1+B1076)^5)*((1-$I$4-$I$5+E1076)*(1-$I$10)+$I$6-$I$11)-('Data Schema'!$C$3*(1+B1076)^5-'Data Schema'!$C$3*(1+B1076)^4)*$I$12)/(1+C1076)^5+((('Data Schema'!$C$3*(1+B1076)^5)*((1-$I$4-$I$5+E1076)*(1-$I$10)+$I$6-$I$11)-('Data Schema'!$C$3*(1+B1076)^5-'Data Schema'!$C$3*(1+B1076)^4)*$I$12)*(1+D1076)/(C1076-D1076))/(1+C1076)^5-'Data Schema'!$C$31+'Data Schema'!$C$21)/'Data Schema'!$B$17,0),"INVALID")</f>
        <v>78.85952081652772</v>
      </c>
      <c r="H1076" s="189" t="b">
        <f t="shared" ca="1" si="122"/>
        <v>1</v>
      </c>
      <c r="I1076" s="188">
        <f t="shared" ca="1" si="123"/>
        <v>78.85952081652772</v>
      </c>
      <c r="J1076" s="349">
        <f t="shared" ref="J1076:J1139" ca="1" si="124">IF(AND(F1076=TRUE,H1076=TRUE,ISNUMBER(G1076),G1076&gt;=$B$153,G1076&lt;=$B$154),G1076,"")</f>
        <v>78.85952081652772</v>
      </c>
    </row>
    <row r="1077" spans="1:10">
      <c r="A1077" s="184">
        <v>898</v>
      </c>
      <c r="B1077" s="190">
        <f t="shared" ref="B1077:B1140" ca="1" si="125">MAX($D$139,MIN($E$139,NORMINV(RAND(),$B$139,$C$139)))</f>
        <v>0.12087882977285605</v>
      </c>
      <c r="C1077" s="190">
        <f t="shared" ref="C1077:C1140" ca="1" si="126">MAX($D$140,MIN($E$140,NORMINV(RAND(),$B$140,$C$140)))</f>
        <v>6.3704118559128151E-2</v>
      </c>
      <c r="D1077" s="190">
        <f t="shared" ref="D1077:D1140" ca="1" si="127">MAX($D$141,MIN($E$141,NORMINV(RAND(),$B$141,$C$141)))</f>
        <v>3.1300670983133647E-2</v>
      </c>
      <c r="E1077" s="190">
        <f t="shared" ref="E1077:E1140" ca="1" si="128">MAX($D$142,MIN($E$142,NORMINV(RAND(),$B$142,$C$142)))</f>
        <v>-1.285559676785044E-2</v>
      </c>
      <c r="F1077" s="189" t="b">
        <f t="shared" ref="F1077:F1140" ca="1" si="129">C1077&gt;D1077+$B$144</f>
        <v>1</v>
      </c>
      <c r="G1077" s="188">
        <f ca="1">IF(F1077,IFERROR(((('Data Schema'!$C$3*(1+B1077)^1)*((1-$I$4-$I$5+E1077)*(1-$I$10)+$I$6-$I$11)-('Data Schema'!$C$3*(1+B1077)^1-'Data Schema'!$C$3)*$I$12)/(1+C1077)^1+(('Data Schema'!$C$3*(1+B1077)^2)*((1-$I$4-$I$5+E1077)*(1-$I$10)+$I$6-$I$11)-('Data Schema'!$C$3*(1+B1077)^2-'Data Schema'!$C$3*(1+B1077)^1)*$I$12)/(1+C1077)^2+(('Data Schema'!$C$3*(1+B1077)^3)*((1-$I$4-$I$5+E1077)*(1-$I$10)+$I$6-$I$11)-('Data Schema'!$C$3*(1+B1077)^3-'Data Schema'!$C$3*(1+B1077)^2)*$I$12)/(1+C1077)^3+(('Data Schema'!$C$3*(1+B1077)^4)*((1-$I$4-$I$5+E1077)*(1-$I$10)+$I$6-$I$11)-('Data Schema'!$C$3*(1+B1077)^4-'Data Schema'!$C$3*(1+B1077)^3)*$I$12)/(1+C1077)^4+(('Data Schema'!$C$3*(1+B1077)^5)*((1-$I$4-$I$5+E1077)*(1-$I$10)+$I$6-$I$11)-('Data Schema'!$C$3*(1+B1077)^5-'Data Schema'!$C$3*(1+B1077)^4)*$I$12)/(1+C1077)^5+((('Data Schema'!$C$3*(1+B1077)^5)*((1-$I$4-$I$5+E1077)*(1-$I$10)+$I$6-$I$11)-('Data Schema'!$C$3*(1+B1077)^5-'Data Schema'!$C$3*(1+B1077)^4)*$I$12)*(1+D1077)/(C1077-D1077))/(1+C1077)^5-'Data Schema'!$C$31+'Data Schema'!$C$21)/'Data Schema'!$B$17,0),"INVALID")</f>
        <v>57.833037725106429</v>
      </c>
      <c r="H1077" s="189" t="b">
        <f t="shared" ref="H1077:H1140" ca="1" si="130">AND(ISNUMBER(G1077),G1077&gt;$F$29*$B$145,G1077&lt;$F$29*$B$146)</f>
        <v>1</v>
      </c>
      <c r="I1077" s="188">
        <f t="shared" ref="I1077:I1140" ca="1" si="131">IF(AND(F1077=TRUE,H1077=TRUE),G1077,"")</f>
        <v>57.833037725106429</v>
      </c>
      <c r="J1077" s="349">
        <f t="shared" ca="1" si="124"/>
        <v>57.833037725106429</v>
      </c>
    </row>
    <row r="1078" spans="1:10">
      <c r="A1078" s="185">
        <v>899</v>
      </c>
      <c r="B1078" s="190">
        <f t="shared" ca="1" si="125"/>
        <v>0.10793849930770137</v>
      </c>
      <c r="C1078" s="190">
        <f t="shared" ca="1" si="126"/>
        <v>5.6806068646568106E-2</v>
      </c>
      <c r="D1078" s="190">
        <f t="shared" ca="1" si="127"/>
        <v>3.2824560225190418E-2</v>
      </c>
      <c r="E1078" s="190">
        <f t="shared" ca="1" si="128"/>
        <v>-9.2750979097116831E-4</v>
      </c>
      <c r="F1078" s="189" t="b">
        <f t="shared" ca="1" si="129"/>
        <v>1</v>
      </c>
      <c r="G1078" s="188">
        <f ca="1">IF(F1078,IFERROR(((('Data Schema'!$C$3*(1+B1078)^1)*((1-$I$4-$I$5+E1078)*(1-$I$10)+$I$6-$I$11)-('Data Schema'!$C$3*(1+B1078)^1-'Data Schema'!$C$3)*$I$12)/(1+C1078)^1+(('Data Schema'!$C$3*(1+B1078)^2)*((1-$I$4-$I$5+E1078)*(1-$I$10)+$I$6-$I$11)-('Data Schema'!$C$3*(1+B1078)^2-'Data Schema'!$C$3*(1+B1078)^1)*$I$12)/(1+C1078)^2+(('Data Schema'!$C$3*(1+B1078)^3)*((1-$I$4-$I$5+E1078)*(1-$I$10)+$I$6-$I$11)-('Data Schema'!$C$3*(1+B1078)^3-'Data Schema'!$C$3*(1+B1078)^2)*$I$12)/(1+C1078)^3+(('Data Schema'!$C$3*(1+B1078)^4)*((1-$I$4-$I$5+E1078)*(1-$I$10)+$I$6-$I$11)-('Data Schema'!$C$3*(1+B1078)^4-'Data Schema'!$C$3*(1+B1078)^3)*$I$12)/(1+C1078)^4+(('Data Schema'!$C$3*(1+B1078)^5)*((1-$I$4-$I$5+E1078)*(1-$I$10)+$I$6-$I$11)-('Data Schema'!$C$3*(1+B1078)^5-'Data Schema'!$C$3*(1+B1078)^4)*$I$12)/(1+C1078)^5+((('Data Schema'!$C$3*(1+B1078)^5)*((1-$I$4-$I$5+E1078)*(1-$I$10)+$I$6-$I$11)-('Data Schema'!$C$3*(1+B1078)^5-'Data Schema'!$C$3*(1+B1078)^4)*$I$12)*(1+D1078)/(C1078-D1078))/(1+C1078)^5-'Data Schema'!$C$31+'Data Schema'!$C$21)/'Data Schema'!$B$17,0),"INVALID")</f>
        <v>124.92021341493526</v>
      </c>
      <c r="H1078" s="189" t="b">
        <f t="shared" ca="1" si="130"/>
        <v>1</v>
      </c>
      <c r="I1078" s="188">
        <f t="shared" ca="1" si="131"/>
        <v>124.92021341493526</v>
      </c>
      <c r="J1078" s="349">
        <f t="shared" ca="1" si="124"/>
        <v>124.92021341493526</v>
      </c>
    </row>
    <row r="1079" spans="1:10">
      <c r="A1079" s="184">
        <v>900</v>
      </c>
      <c r="B1079" s="190">
        <f t="shared" ca="1" si="125"/>
        <v>8.0848912475594503E-2</v>
      </c>
      <c r="C1079" s="190">
        <f t="shared" ca="1" si="126"/>
        <v>5.6859808910454751E-2</v>
      </c>
      <c r="D1079" s="190">
        <f t="shared" ca="1" si="127"/>
        <v>3.1638628133531937E-2</v>
      </c>
      <c r="E1079" s="190">
        <f t="shared" ca="1" si="128"/>
        <v>3.4512462397174276E-3</v>
      </c>
      <c r="F1079" s="189" t="b">
        <f t="shared" ca="1" si="129"/>
        <v>1</v>
      </c>
      <c r="G1079" s="188">
        <f ca="1">IF(F1079,IFERROR(((('Data Schema'!$C$3*(1+B1079)^1)*((1-$I$4-$I$5+E1079)*(1-$I$10)+$I$6-$I$11)-('Data Schema'!$C$3*(1+B1079)^1-'Data Schema'!$C$3)*$I$12)/(1+C1079)^1+(('Data Schema'!$C$3*(1+B1079)^2)*((1-$I$4-$I$5+E1079)*(1-$I$10)+$I$6-$I$11)-('Data Schema'!$C$3*(1+B1079)^2-'Data Schema'!$C$3*(1+B1079)^1)*$I$12)/(1+C1079)^2+(('Data Schema'!$C$3*(1+B1079)^3)*((1-$I$4-$I$5+E1079)*(1-$I$10)+$I$6-$I$11)-('Data Schema'!$C$3*(1+B1079)^3-'Data Schema'!$C$3*(1+B1079)^2)*$I$12)/(1+C1079)^3+(('Data Schema'!$C$3*(1+B1079)^4)*((1-$I$4-$I$5+E1079)*(1-$I$10)+$I$6-$I$11)-('Data Schema'!$C$3*(1+B1079)^4-'Data Schema'!$C$3*(1+B1079)^3)*$I$12)/(1+C1079)^4+(('Data Schema'!$C$3*(1+B1079)^5)*((1-$I$4-$I$5+E1079)*(1-$I$10)+$I$6-$I$11)-('Data Schema'!$C$3*(1+B1079)^5-'Data Schema'!$C$3*(1+B1079)^4)*$I$12)/(1+C1079)^5+((('Data Schema'!$C$3*(1+B1079)^5)*((1-$I$4-$I$5+E1079)*(1-$I$10)+$I$6-$I$11)-('Data Schema'!$C$3*(1+B1079)^5-'Data Schema'!$C$3*(1+B1079)^4)*$I$12)*(1+D1079)/(C1079-D1079))/(1+C1079)^5-'Data Schema'!$C$31+'Data Schema'!$C$21)/'Data Schema'!$B$17,0),"INVALID")</f>
        <v>121.75961542517071</v>
      </c>
      <c r="H1079" s="189" t="b">
        <f t="shared" ca="1" si="130"/>
        <v>1</v>
      </c>
      <c r="I1079" s="188">
        <f t="shared" ca="1" si="131"/>
        <v>121.75961542517071</v>
      </c>
      <c r="J1079" s="349">
        <f t="shared" ca="1" si="124"/>
        <v>121.75961542517071</v>
      </c>
    </row>
    <row r="1080" spans="1:10">
      <c r="A1080" s="185">
        <v>901</v>
      </c>
      <c r="B1080" s="190">
        <f t="shared" ca="1" si="125"/>
        <v>9.6694780685848761E-2</v>
      </c>
      <c r="C1080" s="190">
        <f t="shared" ca="1" si="126"/>
        <v>6.9394215128205983E-2</v>
      </c>
      <c r="D1080" s="190">
        <f t="shared" ca="1" si="127"/>
        <v>1.977633854433479E-2</v>
      </c>
      <c r="E1080" s="190">
        <f t="shared" ca="1" si="128"/>
        <v>-2.8860160283219156E-2</v>
      </c>
      <c r="F1080" s="189" t="b">
        <f t="shared" ca="1" si="129"/>
        <v>1</v>
      </c>
      <c r="G1080" s="188">
        <f ca="1">IF(F1080,IFERROR(((('Data Schema'!$C$3*(1+B1080)^1)*((1-$I$4-$I$5+E1080)*(1-$I$10)+$I$6-$I$11)-('Data Schema'!$C$3*(1+B1080)^1-'Data Schema'!$C$3)*$I$12)/(1+C1080)^1+(('Data Schema'!$C$3*(1+B1080)^2)*((1-$I$4-$I$5+E1080)*(1-$I$10)+$I$6-$I$11)-('Data Schema'!$C$3*(1+B1080)^2-'Data Schema'!$C$3*(1+B1080)^1)*$I$12)/(1+C1080)^2+(('Data Schema'!$C$3*(1+B1080)^3)*((1-$I$4-$I$5+E1080)*(1-$I$10)+$I$6-$I$11)-('Data Schema'!$C$3*(1+B1080)^3-'Data Schema'!$C$3*(1+B1080)^2)*$I$12)/(1+C1080)^3+(('Data Schema'!$C$3*(1+B1080)^4)*((1-$I$4-$I$5+E1080)*(1-$I$10)+$I$6-$I$11)-('Data Schema'!$C$3*(1+B1080)^4-'Data Schema'!$C$3*(1+B1080)^3)*$I$12)/(1+C1080)^4+(('Data Schema'!$C$3*(1+B1080)^5)*((1-$I$4-$I$5+E1080)*(1-$I$10)+$I$6-$I$11)-('Data Schema'!$C$3*(1+B1080)^5-'Data Schema'!$C$3*(1+B1080)^4)*$I$12)/(1+C1080)^5+((('Data Schema'!$C$3*(1+B1080)^5)*((1-$I$4-$I$5+E1080)*(1-$I$10)+$I$6-$I$11)-('Data Schema'!$C$3*(1+B1080)^5-'Data Schema'!$C$3*(1+B1080)^4)*$I$12)*(1+D1080)/(C1080-D1080))/(1+C1080)^5-'Data Schema'!$C$31+'Data Schema'!$C$21)/'Data Schema'!$B$17,0),"INVALID")</f>
        <v>2.7780281533972171</v>
      </c>
      <c r="H1080" s="189" t="b">
        <f t="shared" ca="1" si="130"/>
        <v>0</v>
      </c>
      <c r="I1080" s="188" t="str">
        <f t="shared" ca="1" si="131"/>
        <v/>
      </c>
      <c r="J1080" s="349" t="str">
        <f t="shared" ca="1" si="124"/>
        <v/>
      </c>
    </row>
    <row r="1081" spans="1:10">
      <c r="A1081" s="184">
        <v>902</v>
      </c>
      <c r="B1081" s="190">
        <f t="shared" ca="1" si="125"/>
        <v>8.421350248243159E-2</v>
      </c>
      <c r="C1081" s="190">
        <f t="shared" ca="1" si="126"/>
        <v>5.1160903631933576E-2</v>
      </c>
      <c r="D1081" s="190">
        <f t="shared" ca="1" si="127"/>
        <v>2.3015100094451402E-2</v>
      </c>
      <c r="E1081" s="190">
        <f t="shared" ca="1" si="128"/>
        <v>2.5896099357612698E-3</v>
      </c>
      <c r="F1081" s="189" t="b">
        <f t="shared" ca="1" si="129"/>
        <v>1</v>
      </c>
      <c r="G1081" s="188">
        <f ca="1">IF(F1081,IFERROR(((('Data Schema'!$C$3*(1+B1081)^1)*((1-$I$4-$I$5+E1081)*(1-$I$10)+$I$6-$I$11)-('Data Schema'!$C$3*(1+B1081)^1-'Data Schema'!$C$3)*$I$12)/(1+C1081)^1+(('Data Schema'!$C$3*(1+B1081)^2)*((1-$I$4-$I$5+E1081)*(1-$I$10)+$I$6-$I$11)-('Data Schema'!$C$3*(1+B1081)^2-'Data Schema'!$C$3*(1+B1081)^1)*$I$12)/(1+C1081)^2+(('Data Schema'!$C$3*(1+B1081)^3)*((1-$I$4-$I$5+E1081)*(1-$I$10)+$I$6-$I$11)-('Data Schema'!$C$3*(1+B1081)^3-'Data Schema'!$C$3*(1+B1081)^2)*$I$12)/(1+C1081)^3+(('Data Schema'!$C$3*(1+B1081)^4)*((1-$I$4-$I$5+E1081)*(1-$I$10)+$I$6-$I$11)-('Data Schema'!$C$3*(1+B1081)^4-'Data Schema'!$C$3*(1+B1081)^3)*$I$12)/(1+C1081)^4+(('Data Schema'!$C$3*(1+B1081)^5)*((1-$I$4-$I$5+E1081)*(1-$I$10)+$I$6-$I$11)-('Data Schema'!$C$3*(1+B1081)^5-'Data Schema'!$C$3*(1+B1081)^4)*$I$12)/(1+C1081)^5+((('Data Schema'!$C$3*(1+B1081)^5)*((1-$I$4-$I$5+E1081)*(1-$I$10)+$I$6-$I$11)-('Data Schema'!$C$3*(1+B1081)^5-'Data Schema'!$C$3*(1+B1081)^4)*$I$12)*(1+D1081)/(C1081-D1081))/(1+C1081)^5-'Data Schema'!$C$31+'Data Schema'!$C$21)/'Data Schema'!$B$17,0),"INVALID")</f>
        <v>110.72836005850941</v>
      </c>
      <c r="H1081" s="189" t="b">
        <f t="shared" ca="1" si="130"/>
        <v>1</v>
      </c>
      <c r="I1081" s="188">
        <f t="shared" ca="1" si="131"/>
        <v>110.72836005850941</v>
      </c>
      <c r="J1081" s="349">
        <f t="shared" ca="1" si="124"/>
        <v>110.72836005850941</v>
      </c>
    </row>
    <row r="1082" spans="1:10">
      <c r="A1082" s="185">
        <v>903</v>
      </c>
      <c r="B1082" s="190">
        <f t="shared" ca="1" si="125"/>
        <v>9.6047565468517657E-2</v>
      </c>
      <c r="C1082" s="190">
        <f t="shared" ca="1" si="126"/>
        <v>5.5420875921174076E-2</v>
      </c>
      <c r="D1082" s="190">
        <f t="shared" ca="1" si="127"/>
        <v>1.8032242685622445E-2</v>
      </c>
      <c r="E1082" s="190">
        <f t="shared" ca="1" si="128"/>
        <v>2.8228703459981554E-2</v>
      </c>
      <c r="F1082" s="189" t="b">
        <f t="shared" ca="1" si="129"/>
        <v>1</v>
      </c>
      <c r="G1082" s="188">
        <f ca="1">IF(F1082,IFERROR(((('Data Schema'!$C$3*(1+B1082)^1)*((1-$I$4-$I$5+E1082)*(1-$I$10)+$I$6-$I$11)-('Data Schema'!$C$3*(1+B1082)^1-'Data Schema'!$C$3)*$I$12)/(1+C1082)^1+(('Data Schema'!$C$3*(1+B1082)^2)*((1-$I$4-$I$5+E1082)*(1-$I$10)+$I$6-$I$11)-('Data Schema'!$C$3*(1+B1082)^2-'Data Schema'!$C$3*(1+B1082)^1)*$I$12)/(1+C1082)^2+(('Data Schema'!$C$3*(1+B1082)^3)*((1-$I$4-$I$5+E1082)*(1-$I$10)+$I$6-$I$11)-('Data Schema'!$C$3*(1+B1082)^3-'Data Schema'!$C$3*(1+B1082)^2)*$I$12)/(1+C1082)^3+(('Data Schema'!$C$3*(1+B1082)^4)*((1-$I$4-$I$5+E1082)*(1-$I$10)+$I$6-$I$11)-('Data Schema'!$C$3*(1+B1082)^4-'Data Schema'!$C$3*(1+B1082)^3)*$I$12)/(1+C1082)^4+(('Data Schema'!$C$3*(1+B1082)^5)*((1-$I$4-$I$5+E1082)*(1-$I$10)+$I$6-$I$11)-('Data Schema'!$C$3*(1+B1082)^5-'Data Schema'!$C$3*(1+B1082)^4)*$I$12)/(1+C1082)^5+((('Data Schema'!$C$3*(1+B1082)^5)*((1-$I$4-$I$5+E1082)*(1-$I$10)+$I$6-$I$11)-('Data Schema'!$C$3*(1+B1082)^5-'Data Schema'!$C$3*(1+B1082)^4)*$I$12)*(1+D1082)/(C1082-D1082))/(1+C1082)^5-'Data Schema'!$C$31+'Data Schema'!$C$21)/'Data Schema'!$B$17,0),"INVALID")</f>
        <v>152.69025949463116</v>
      </c>
      <c r="H1082" s="189" t="b">
        <f t="shared" ca="1" si="130"/>
        <v>1</v>
      </c>
      <c r="I1082" s="188">
        <f t="shared" ca="1" si="131"/>
        <v>152.69025949463116</v>
      </c>
      <c r="J1082" s="349">
        <f t="shared" ca="1" si="124"/>
        <v>152.69025949463116</v>
      </c>
    </row>
    <row r="1083" spans="1:10">
      <c r="A1083" s="184">
        <v>904</v>
      </c>
      <c r="B1083" s="190">
        <f t="shared" ca="1" si="125"/>
        <v>8.2314657825591581E-2</v>
      </c>
      <c r="C1083" s="190">
        <f t="shared" ca="1" si="126"/>
        <v>6.7883106801689075E-2</v>
      </c>
      <c r="D1083" s="190">
        <f t="shared" ca="1" si="127"/>
        <v>2.174163870792635E-2</v>
      </c>
      <c r="E1083" s="190">
        <f t="shared" ca="1" si="128"/>
        <v>2.406214665411683E-2</v>
      </c>
      <c r="F1083" s="189" t="b">
        <f t="shared" ca="1" si="129"/>
        <v>1</v>
      </c>
      <c r="G1083" s="188">
        <f ca="1">IF(F1083,IFERROR(((('Data Schema'!$C$3*(1+B1083)^1)*((1-$I$4-$I$5+E1083)*(1-$I$10)+$I$6-$I$11)-('Data Schema'!$C$3*(1+B1083)^1-'Data Schema'!$C$3)*$I$12)/(1+C1083)^1+(('Data Schema'!$C$3*(1+B1083)^2)*((1-$I$4-$I$5+E1083)*(1-$I$10)+$I$6-$I$11)-('Data Schema'!$C$3*(1+B1083)^2-'Data Schema'!$C$3*(1+B1083)^1)*$I$12)/(1+C1083)^2+(('Data Schema'!$C$3*(1+B1083)^3)*((1-$I$4-$I$5+E1083)*(1-$I$10)+$I$6-$I$11)-('Data Schema'!$C$3*(1+B1083)^3-'Data Schema'!$C$3*(1+B1083)^2)*$I$12)/(1+C1083)^3+(('Data Schema'!$C$3*(1+B1083)^4)*((1-$I$4-$I$5+E1083)*(1-$I$10)+$I$6-$I$11)-('Data Schema'!$C$3*(1+B1083)^4-'Data Schema'!$C$3*(1+B1083)^3)*$I$12)/(1+C1083)^4+(('Data Schema'!$C$3*(1+B1083)^5)*((1-$I$4-$I$5+E1083)*(1-$I$10)+$I$6-$I$11)-('Data Schema'!$C$3*(1+B1083)^5-'Data Schema'!$C$3*(1+B1083)^4)*$I$12)/(1+C1083)^5+((('Data Schema'!$C$3*(1+B1083)^5)*((1-$I$4-$I$5+E1083)*(1-$I$10)+$I$6-$I$11)-('Data Schema'!$C$3*(1+B1083)^5-'Data Schema'!$C$3*(1+B1083)^4)*$I$12)*(1+D1083)/(C1083-D1083))/(1+C1083)^5-'Data Schema'!$C$31+'Data Schema'!$C$21)/'Data Schema'!$B$17,0),"INVALID")</f>
        <v>105.39368613643336</v>
      </c>
      <c r="H1083" s="189" t="b">
        <f t="shared" ca="1" si="130"/>
        <v>1</v>
      </c>
      <c r="I1083" s="188">
        <f t="shared" ca="1" si="131"/>
        <v>105.39368613643336</v>
      </c>
      <c r="J1083" s="349">
        <f t="shared" ca="1" si="124"/>
        <v>105.39368613643336</v>
      </c>
    </row>
    <row r="1084" spans="1:10">
      <c r="A1084" s="185">
        <v>905</v>
      </c>
      <c r="B1084" s="190">
        <f t="shared" ca="1" si="125"/>
        <v>0.11869941085902411</v>
      </c>
      <c r="C1084" s="190">
        <f t="shared" ca="1" si="126"/>
        <v>6.0930743544236617E-2</v>
      </c>
      <c r="D1084" s="190">
        <f t="shared" ca="1" si="127"/>
        <v>2.4025247164981438E-2</v>
      </c>
      <c r="E1084" s="190">
        <f t="shared" ca="1" si="128"/>
        <v>-2.1827691892914607E-2</v>
      </c>
      <c r="F1084" s="189" t="b">
        <f t="shared" ca="1" si="129"/>
        <v>1</v>
      </c>
      <c r="G1084" s="188">
        <f ca="1">IF(F1084,IFERROR(((('Data Schema'!$C$3*(1+B1084)^1)*((1-$I$4-$I$5+E1084)*(1-$I$10)+$I$6-$I$11)-('Data Schema'!$C$3*(1+B1084)^1-'Data Schema'!$C$3)*$I$12)/(1+C1084)^1+(('Data Schema'!$C$3*(1+B1084)^2)*((1-$I$4-$I$5+E1084)*(1-$I$10)+$I$6-$I$11)-('Data Schema'!$C$3*(1+B1084)^2-'Data Schema'!$C$3*(1+B1084)^1)*$I$12)/(1+C1084)^2+(('Data Schema'!$C$3*(1+B1084)^3)*((1-$I$4-$I$5+E1084)*(1-$I$10)+$I$6-$I$11)-('Data Schema'!$C$3*(1+B1084)^3-'Data Schema'!$C$3*(1+B1084)^2)*$I$12)/(1+C1084)^3+(('Data Schema'!$C$3*(1+B1084)^4)*((1-$I$4-$I$5+E1084)*(1-$I$10)+$I$6-$I$11)-('Data Schema'!$C$3*(1+B1084)^4-'Data Schema'!$C$3*(1+B1084)^3)*$I$12)/(1+C1084)^4+(('Data Schema'!$C$3*(1+B1084)^5)*((1-$I$4-$I$5+E1084)*(1-$I$10)+$I$6-$I$11)-('Data Schema'!$C$3*(1+B1084)^5-'Data Schema'!$C$3*(1+B1084)^4)*$I$12)/(1+C1084)^5+((('Data Schema'!$C$3*(1+B1084)^5)*((1-$I$4-$I$5+E1084)*(1-$I$10)+$I$6-$I$11)-('Data Schema'!$C$3*(1+B1084)^5-'Data Schema'!$C$3*(1+B1084)^4)*$I$12)*(1+D1084)/(C1084-D1084))/(1+C1084)^5-'Data Schema'!$C$31+'Data Schema'!$C$21)/'Data Schema'!$B$17,0),"INVALID")</f>
        <v>25.709022133508384</v>
      </c>
      <c r="H1084" s="189" t="b">
        <f t="shared" ca="1" si="130"/>
        <v>1</v>
      </c>
      <c r="I1084" s="188">
        <f t="shared" ca="1" si="131"/>
        <v>25.709022133508384</v>
      </c>
      <c r="J1084" s="349">
        <f t="shared" ca="1" si="124"/>
        <v>25.709022133508384</v>
      </c>
    </row>
    <row r="1085" spans="1:10">
      <c r="A1085" s="184">
        <v>906</v>
      </c>
      <c r="B1085" s="190">
        <f t="shared" ca="1" si="125"/>
        <v>0.13486280809055382</v>
      </c>
      <c r="C1085" s="190">
        <f t="shared" ca="1" si="126"/>
        <v>8.2948202278907174E-2</v>
      </c>
      <c r="D1085" s="190">
        <f t="shared" ca="1" si="127"/>
        <v>3.2762105832194181E-2</v>
      </c>
      <c r="E1085" s="190">
        <f t="shared" ca="1" si="128"/>
        <v>2.3485892563406194E-2</v>
      </c>
      <c r="F1085" s="189" t="b">
        <f t="shared" ca="1" si="129"/>
        <v>1</v>
      </c>
      <c r="G1085" s="188">
        <f ca="1">IF(F1085,IFERROR(((('Data Schema'!$C$3*(1+B1085)^1)*((1-$I$4-$I$5+E1085)*(1-$I$10)+$I$6-$I$11)-('Data Schema'!$C$3*(1+B1085)^1-'Data Schema'!$C$3)*$I$12)/(1+C1085)^1+(('Data Schema'!$C$3*(1+B1085)^2)*((1-$I$4-$I$5+E1085)*(1-$I$10)+$I$6-$I$11)-('Data Schema'!$C$3*(1+B1085)^2-'Data Schema'!$C$3*(1+B1085)^1)*$I$12)/(1+C1085)^2+(('Data Schema'!$C$3*(1+B1085)^3)*((1-$I$4-$I$5+E1085)*(1-$I$10)+$I$6-$I$11)-('Data Schema'!$C$3*(1+B1085)^3-'Data Schema'!$C$3*(1+B1085)^2)*$I$12)/(1+C1085)^3+(('Data Schema'!$C$3*(1+B1085)^4)*((1-$I$4-$I$5+E1085)*(1-$I$10)+$I$6-$I$11)-('Data Schema'!$C$3*(1+B1085)^4-'Data Schema'!$C$3*(1+B1085)^3)*$I$12)/(1+C1085)^4+(('Data Schema'!$C$3*(1+B1085)^5)*((1-$I$4-$I$5+E1085)*(1-$I$10)+$I$6-$I$11)-('Data Schema'!$C$3*(1+B1085)^5-'Data Schema'!$C$3*(1+B1085)^4)*$I$12)/(1+C1085)^5+((('Data Schema'!$C$3*(1+B1085)^5)*((1-$I$4-$I$5+E1085)*(1-$I$10)+$I$6-$I$11)-('Data Schema'!$C$3*(1+B1085)^5-'Data Schema'!$C$3*(1+B1085)^4)*$I$12)*(1+D1085)/(C1085-D1085))/(1+C1085)^5-'Data Schema'!$C$31+'Data Schema'!$C$21)/'Data Schema'!$B$17,0),"INVALID")</f>
        <v>112.98996563443508</v>
      </c>
      <c r="H1085" s="189" t="b">
        <f t="shared" ca="1" si="130"/>
        <v>1</v>
      </c>
      <c r="I1085" s="188">
        <f t="shared" ca="1" si="131"/>
        <v>112.98996563443508</v>
      </c>
      <c r="J1085" s="349">
        <f t="shared" ca="1" si="124"/>
        <v>112.98996563443508</v>
      </c>
    </row>
    <row r="1086" spans="1:10">
      <c r="A1086" s="185">
        <v>907</v>
      </c>
      <c r="B1086" s="190">
        <f t="shared" ca="1" si="125"/>
        <v>9.2581869235590961E-2</v>
      </c>
      <c r="C1086" s="190">
        <f t="shared" ca="1" si="126"/>
        <v>7.0775962396881539E-2</v>
      </c>
      <c r="D1086" s="190">
        <f t="shared" ca="1" si="127"/>
        <v>2.3693342372599856E-2</v>
      </c>
      <c r="E1086" s="190">
        <f t="shared" ca="1" si="128"/>
        <v>-1.3809668823952051E-2</v>
      </c>
      <c r="F1086" s="189" t="b">
        <f t="shared" ca="1" si="129"/>
        <v>1</v>
      </c>
      <c r="G1086" s="188">
        <f ca="1">IF(F1086,IFERROR(((('Data Schema'!$C$3*(1+B1086)^1)*((1-$I$4-$I$5+E1086)*(1-$I$10)+$I$6-$I$11)-('Data Schema'!$C$3*(1+B1086)^1-'Data Schema'!$C$3)*$I$12)/(1+C1086)^1+(('Data Schema'!$C$3*(1+B1086)^2)*((1-$I$4-$I$5+E1086)*(1-$I$10)+$I$6-$I$11)-('Data Schema'!$C$3*(1+B1086)^2-'Data Schema'!$C$3*(1+B1086)^1)*$I$12)/(1+C1086)^2+(('Data Schema'!$C$3*(1+B1086)^3)*((1-$I$4-$I$5+E1086)*(1-$I$10)+$I$6-$I$11)-('Data Schema'!$C$3*(1+B1086)^3-'Data Schema'!$C$3*(1+B1086)^2)*$I$12)/(1+C1086)^3+(('Data Schema'!$C$3*(1+B1086)^4)*((1-$I$4-$I$5+E1086)*(1-$I$10)+$I$6-$I$11)-('Data Schema'!$C$3*(1+B1086)^4-'Data Schema'!$C$3*(1+B1086)^3)*$I$12)/(1+C1086)^4+(('Data Schema'!$C$3*(1+B1086)^5)*((1-$I$4-$I$5+E1086)*(1-$I$10)+$I$6-$I$11)-('Data Schema'!$C$3*(1+B1086)^5-'Data Schema'!$C$3*(1+B1086)^4)*$I$12)/(1+C1086)^5+((('Data Schema'!$C$3*(1+B1086)^5)*((1-$I$4-$I$5+E1086)*(1-$I$10)+$I$6-$I$11)-('Data Schema'!$C$3*(1+B1086)^5-'Data Schema'!$C$3*(1+B1086)^4)*$I$12)*(1+D1086)/(C1086-D1086))/(1+C1086)^5-'Data Schema'!$C$31+'Data Schema'!$C$21)/'Data Schema'!$B$17,0),"INVALID")</f>
        <v>32.645209240128686</v>
      </c>
      <c r="H1086" s="189" t="b">
        <f t="shared" ca="1" si="130"/>
        <v>1</v>
      </c>
      <c r="I1086" s="188">
        <f t="shared" ca="1" si="131"/>
        <v>32.645209240128686</v>
      </c>
      <c r="J1086" s="349">
        <f t="shared" ca="1" si="124"/>
        <v>32.645209240128686</v>
      </c>
    </row>
    <row r="1087" spans="1:10">
      <c r="A1087" s="184">
        <v>908</v>
      </c>
      <c r="B1087" s="190">
        <f t="shared" ca="1" si="125"/>
        <v>6.7460682737544381E-2</v>
      </c>
      <c r="C1087" s="190">
        <f t="shared" ca="1" si="126"/>
        <v>6.1671257452995155E-2</v>
      </c>
      <c r="D1087" s="190">
        <f t="shared" ca="1" si="127"/>
        <v>3.0354043316472113E-2</v>
      </c>
      <c r="E1087" s="190">
        <f t="shared" ca="1" si="128"/>
        <v>1.8607758573471994E-2</v>
      </c>
      <c r="F1087" s="189" t="b">
        <f t="shared" ca="1" si="129"/>
        <v>1</v>
      </c>
      <c r="G1087" s="188">
        <f ca="1">IF(F1087,IFERROR(((('Data Schema'!$C$3*(1+B1087)^1)*((1-$I$4-$I$5+E1087)*(1-$I$10)+$I$6-$I$11)-('Data Schema'!$C$3*(1+B1087)^1-'Data Schema'!$C$3)*$I$12)/(1+C1087)^1+(('Data Schema'!$C$3*(1+B1087)^2)*((1-$I$4-$I$5+E1087)*(1-$I$10)+$I$6-$I$11)-('Data Schema'!$C$3*(1+B1087)^2-'Data Schema'!$C$3*(1+B1087)^1)*$I$12)/(1+C1087)^2+(('Data Schema'!$C$3*(1+B1087)^3)*((1-$I$4-$I$5+E1087)*(1-$I$10)+$I$6-$I$11)-('Data Schema'!$C$3*(1+B1087)^3-'Data Schema'!$C$3*(1+B1087)^2)*$I$12)/(1+C1087)^3+(('Data Schema'!$C$3*(1+B1087)^4)*((1-$I$4-$I$5+E1087)*(1-$I$10)+$I$6-$I$11)-('Data Schema'!$C$3*(1+B1087)^4-'Data Schema'!$C$3*(1+B1087)^3)*$I$12)/(1+C1087)^4+(('Data Schema'!$C$3*(1+B1087)^5)*((1-$I$4-$I$5+E1087)*(1-$I$10)+$I$6-$I$11)-('Data Schema'!$C$3*(1+B1087)^5-'Data Schema'!$C$3*(1+B1087)^4)*$I$12)/(1+C1087)^5+((('Data Schema'!$C$3*(1+B1087)^5)*((1-$I$4-$I$5+E1087)*(1-$I$10)+$I$6-$I$11)-('Data Schema'!$C$3*(1+B1087)^5-'Data Schema'!$C$3*(1+B1087)^4)*$I$12)*(1+D1087)/(C1087-D1087))/(1+C1087)^5-'Data Schema'!$C$31+'Data Schema'!$C$21)/'Data Schema'!$B$17,0),"INVALID")</f>
        <v>131.06605952654519</v>
      </c>
      <c r="H1087" s="189" t="b">
        <f t="shared" ca="1" si="130"/>
        <v>1</v>
      </c>
      <c r="I1087" s="188">
        <f t="shared" ca="1" si="131"/>
        <v>131.06605952654519</v>
      </c>
      <c r="J1087" s="349">
        <f t="shared" ca="1" si="124"/>
        <v>131.06605952654519</v>
      </c>
    </row>
    <row r="1088" spans="1:10">
      <c r="A1088" s="185">
        <v>909</v>
      </c>
      <c r="B1088" s="190">
        <f t="shared" ca="1" si="125"/>
        <v>0.12485250107731985</v>
      </c>
      <c r="C1088" s="190">
        <f t="shared" ca="1" si="126"/>
        <v>5.0672675186752135E-2</v>
      </c>
      <c r="D1088" s="190">
        <f t="shared" ca="1" si="127"/>
        <v>2.6255971601079686E-2</v>
      </c>
      <c r="E1088" s="190">
        <f t="shared" ca="1" si="128"/>
        <v>1.6129581061590226E-2</v>
      </c>
      <c r="F1088" s="189" t="b">
        <f t="shared" ca="1" si="129"/>
        <v>1</v>
      </c>
      <c r="G1088" s="188">
        <f ca="1">IF(F1088,IFERROR(((('Data Schema'!$C$3*(1+B1088)^1)*((1-$I$4-$I$5+E1088)*(1-$I$10)+$I$6-$I$11)-('Data Schema'!$C$3*(1+B1088)^1-'Data Schema'!$C$3)*$I$12)/(1+C1088)^1+(('Data Schema'!$C$3*(1+B1088)^2)*((1-$I$4-$I$5+E1088)*(1-$I$10)+$I$6-$I$11)-('Data Schema'!$C$3*(1+B1088)^2-'Data Schema'!$C$3*(1+B1088)^1)*$I$12)/(1+C1088)^2+(('Data Schema'!$C$3*(1+B1088)^3)*((1-$I$4-$I$5+E1088)*(1-$I$10)+$I$6-$I$11)-('Data Schema'!$C$3*(1+B1088)^3-'Data Schema'!$C$3*(1+B1088)^2)*$I$12)/(1+C1088)^3+(('Data Schema'!$C$3*(1+B1088)^4)*((1-$I$4-$I$5+E1088)*(1-$I$10)+$I$6-$I$11)-('Data Schema'!$C$3*(1+B1088)^4-'Data Schema'!$C$3*(1+B1088)^3)*$I$12)/(1+C1088)^4+(('Data Schema'!$C$3*(1+B1088)^5)*((1-$I$4-$I$5+E1088)*(1-$I$10)+$I$6-$I$11)-('Data Schema'!$C$3*(1+B1088)^5-'Data Schema'!$C$3*(1+B1088)^4)*$I$12)/(1+C1088)^5+((('Data Schema'!$C$3*(1+B1088)^5)*((1-$I$4-$I$5+E1088)*(1-$I$10)+$I$6-$I$11)-('Data Schema'!$C$3*(1+B1088)^5-'Data Schema'!$C$3*(1+B1088)^4)*$I$12)*(1+D1088)/(C1088-D1088))/(1+C1088)^5-'Data Schema'!$C$31+'Data Schema'!$C$21)/'Data Schema'!$B$17,0),"INVALID")</f>
        <v>208.44220551584107</v>
      </c>
      <c r="H1088" s="189" t="b">
        <f t="shared" ca="1" si="130"/>
        <v>1</v>
      </c>
      <c r="I1088" s="188">
        <f t="shared" ca="1" si="131"/>
        <v>208.44220551584107</v>
      </c>
      <c r="J1088" s="349">
        <f t="shared" ca="1" si="124"/>
        <v>208.44220551584107</v>
      </c>
    </row>
    <row r="1089" spans="1:10">
      <c r="A1089" s="184">
        <v>910</v>
      </c>
      <c r="B1089" s="190">
        <f t="shared" ca="1" si="125"/>
        <v>0.12353091539084243</v>
      </c>
      <c r="C1089" s="190">
        <f t="shared" ca="1" si="126"/>
        <v>5.915044459164475E-2</v>
      </c>
      <c r="D1089" s="190">
        <f t="shared" ca="1" si="127"/>
        <v>2.3087696279398443E-2</v>
      </c>
      <c r="E1089" s="190">
        <f t="shared" ca="1" si="128"/>
        <v>4.1300130753309352E-3</v>
      </c>
      <c r="F1089" s="189" t="b">
        <f t="shared" ca="1" si="129"/>
        <v>1</v>
      </c>
      <c r="G1089" s="188">
        <f ca="1">IF(F1089,IFERROR(((('Data Schema'!$C$3*(1+B1089)^1)*((1-$I$4-$I$5+E1089)*(1-$I$10)+$I$6-$I$11)-('Data Schema'!$C$3*(1+B1089)^1-'Data Schema'!$C$3)*$I$12)/(1+C1089)^1+(('Data Schema'!$C$3*(1+B1089)^2)*((1-$I$4-$I$5+E1089)*(1-$I$10)+$I$6-$I$11)-('Data Schema'!$C$3*(1+B1089)^2-'Data Schema'!$C$3*(1+B1089)^1)*$I$12)/(1+C1089)^2+(('Data Schema'!$C$3*(1+B1089)^3)*((1-$I$4-$I$5+E1089)*(1-$I$10)+$I$6-$I$11)-('Data Schema'!$C$3*(1+B1089)^3-'Data Schema'!$C$3*(1+B1089)^2)*$I$12)/(1+C1089)^3+(('Data Schema'!$C$3*(1+B1089)^4)*((1-$I$4-$I$5+E1089)*(1-$I$10)+$I$6-$I$11)-('Data Schema'!$C$3*(1+B1089)^4-'Data Schema'!$C$3*(1+B1089)^3)*$I$12)/(1+C1089)^4+(('Data Schema'!$C$3*(1+B1089)^5)*((1-$I$4-$I$5+E1089)*(1-$I$10)+$I$6-$I$11)-('Data Schema'!$C$3*(1+B1089)^5-'Data Schema'!$C$3*(1+B1089)^4)*$I$12)/(1+C1089)^5+((('Data Schema'!$C$3*(1+B1089)^5)*((1-$I$4-$I$5+E1089)*(1-$I$10)+$I$6-$I$11)-('Data Schema'!$C$3*(1+B1089)^5-'Data Schema'!$C$3*(1+B1089)^4)*$I$12)*(1+D1089)/(C1089-D1089))/(1+C1089)^5-'Data Schema'!$C$31+'Data Schema'!$C$21)/'Data Schema'!$B$17,0),"INVALID")</f>
        <v>103.31773777657406</v>
      </c>
      <c r="H1089" s="189" t="b">
        <f t="shared" ca="1" si="130"/>
        <v>1</v>
      </c>
      <c r="I1089" s="188">
        <f t="shared" ca="1" si="131"/>
        <v>103.31773777657406</v>
      </c>
      <c r="J1089" s="349">
        <f t="shared" ca="1" si="124"/>
        <v>103.31773777657406</v>
      </c>
    </row>
    <row r="1090" spans="1:10">
      <c r="A1090" s="185">
        <v>911</v>
      </c>
      <c r="B1090" s="190">
        <f t="shared" ca="1" si="125"/>
        <v>0.11447067627552963</v>
      </c>
      <c r="C1090" s="190">
        <f t="shared" ca="1" si="126"/>
        <v>5.2395479102898337E-2</v>
      </c>
      <c r="D1090" s="190">
        <f t="shared" ca="1" si="127"/>
        <v>2.6652137491456732E-2</v>
      </c>
      <c r="E1090" s="190">
        <f t="shared" ca="1" si="128"/>
        <v>3.3522107134822733E-3</v>
      </c>
      <c r="F1090" s="189" t="b">
        <f t="shared" ca="1" si="129"/>
        <v>1</v>
      </c>
      <c r="G1090" s="188">
        <f ca="1">IF(F1090,IFERROR(((('Data Schema'!$C$3*(1+B1090)^1)*((1-$I$4-$I$5+E1090)*(1-$I$10)+$I$6-$I$11)-('Data Schema'!$C$3*(1+B1090)^1-'Data Schema'!$C$3)*$I$12)/(1+C1090)^1+(('Data Schema'!$C$3*(1+B1090)^2)*((1-$I$4-$I$5+E1090)*(1-$I$10)+$I$6-$I$11)-('Data Schema'!$C$3*(1+B1090)^2-'Data Schema'!$C$3*(1+B1090)^1)*$I$12)/(1+C1090)^2+(('Data Schema'!$C$3*(1+B1090)^3)*((1-$I$4-$I$5+E1090)*(1-$I$10)+$I$6-$I$11)-('Data Schema'!$C$3*(1+B1090)^3-'Data Schema'!$C$3*(1+B1090)^2)*$I$12)/(1+C1090)^3+(('Data Schema'!$C$3*(1+B1090)^4)*((1-$I$4-$I$5+E1090)*(1-$I$10)+$I$6-$I$11)-('Data Schema'!$C$3*(1+B1090)^4-'Data Schema'!$C$3*(1+B1090)^3)*$I$12)/(1+C1090)^4+(('Data Schema'!$C$3*(1+B1090)^5)*((1-$I$4-$I$5+E1090)*(1-$I$10)+$I$6-$I$11)-('Data Schema'!$C$3*(1+B1090)^5-'Data Schema'!$C$3*(1+B1090)^4)*$I$12)/(1+C1090)^5+((('Data Schema'!$C$3*(1+B1090)^5)*((1-$I$4-$I$5+E1090)*(1-$I$10)+$I$6-$I$11)-('Data Schema'!$C$3*(1+B1090)^5-'Data Schema'!$C$3*(1+B1090)^4)*$I$12)*(1+D1090)/(C1090-D1090))/(1+C1090)^5-'Data Schema'!$C$31+'Data Schema'!$C$21)/'Data Schema'!$B$17,0),"INVALID")</f>
        <v>138.49144257159946</v>
      </c>
      <c r="H1090" s="189" t="b">
        <f t="shared" ca="1" si="130"/>
        <v>1</v>
      </c>
      <c r="I1090" s="188">
        <f t="shared" ca="1" si="131"/>
        <v>138.49144257159946</v>
      </c>
      <c r="J1090" s="349">
        <f t="shared" ca="1" si="124"/>
        <v>138.49144257159946</v>
      </c>
    </row>
    <row r="1091" spans="1:10">
      <c r="A1091" s="184">
        <v>912</v>
      </c>
      <c r="B1091" s="190">
        <f t="shared" ca="1" si="125"/>
        <v>9.3256311101389724E-2</v>
      </c>
      <c r="C1091" s="190">
        <f t="shared" ca="1" si="126"/>
        <v>4.879565219683972E-2</v>
      </c>
      <c r="D1091" s="190">
        <f t="shared" ca="1" si="127"/>
        <v>2.9731001596516739E-2</v>
      </c>
      <c r="E1091" s="190">
        <f t="shared" ca="1" si="128"/>
        <v>1.2805842623470638E-3</v>
      </c>
      <c r="F1091" s="189" t="b">
        <f t="shared" ca="1" si="129"/>
        <v>1</v>
      </c>
      <c r="G1091" s="188">
        <f ca="1">IF(F1091,IFERROR(((('Data Schema'!$C$3*(1+B1091)^1)*((1-$I$4-$I$5+E1091)*(1-$I$10)+$I$6-$I$11)-('Data Schema'!$C$3*(1+B1091)^1-'Data Schema'!$C$3)*$I$12)/(1+C1091)^1+(('Data Schema'!$C$3*(1+B1091)^2)*((1-$I$4-$I$5+E1091)*(1-$I$10)+$I$6-$I$11)-('Data Schema'!$C$3*(1+B1091)^2-'Data Schema'!$C$3*(1+B1091)^1)*$I$12)/(1+C1091)^2+(('Data Schema'!$C$3*(1+B1091)^3)*((1-$I$4-$I$5+E1091)*(1-$I$10)+$I$6-$I$11)-('Data Schema'!$C$3*(1+B1091)^3-'Data Schema'!$C$3*(1+B1091)^2)*$I$12)/(1+C1091)^3+(('Data Schema'!$C$3*(1+B1091)^4)*((1-$I$4-$I$5+E1091)*(1-$I$10)+$I$6-$I$11)-('Data Schema'!$C$3*(1+B1091)^4-'Data Schema'!$C$3*(1+B1091)^3)*$I$12)/(1+C1091)^4+(('Data Schema'!$C$3*(1+B1091)^5)*((1-$I$4-$I$5+E1091)*(1-$I$10)+$I$6-$I$11)-('Data Schema'!$C$3*(1+B1091)^5-'Data Schema'!$C$3*(1+B1091)^4)*$I$12)/(1+C1091)^5+((('Data Schema'!$C$3*(1+B1091)^5)*((1-$I$4-$I$5+E1091)*(1-$I$10)+$I$6-$I$11)-('Data Schema'!$C$3*(1+B1091)^5-'Data Schema'!$C$3*(1+B1091)^4)*$I$12)*(1+D1091)/(C1091-D1091))/(1+C1091)^5-'Data Schema'!$C$31+'Data Schema'!$C$21)/'Data Schema'!$B$17,0),"INVALID")</f>
        <v>162.97033102684011</v>
      </c>
      <c r="H1091" s="189" t="b">
        <f t="shared" ca="1" si="130"/>
        <v>1</v>
      </c>
      <c r="I1091" s="188">
        <f t="shared" ca="1" si="131"/>
        <v>162.97033102684011</v>
      </c>
      <c r="J1091" s="349">
        <f t="shared" ca="1" si="124"/>
        <v>162.97033102684011</v>
      </c>
    </row>
    <row r="1092" spans="1:10">
      <c r="A1092" s="185">
        <v>913</v>
      </c>
      <c r="B1092" s="190">
        <f t="shared" ca="1" si="125"/>
        <v>0.10872565925120167</v>
      </c>
      <c r="C1092" s="190">
        <f t="shared" ca="1" si="126"/>
        <v>5.39294096937116E-2</v>
      </c>
      <c r="D1092" s="190">
        <f t="shared" ca="1" si="127"/>
        <v>2.2085097200965239E-2</v>
      </c>
      <c r="E1092" s="190">
        <f t="shared" ca="1" si="128"/>
        <v>-1.6033817693667761E-2</v>
      </c>
      <c r="F1092" s="189" t="b">
        <f t="shared" ca="1" si="129"/>
        <v>1</v>
      </c>
      <c r="G1092" s="188">
        <f ca="1">IF(F1092,IFERROR(((('Data Schema'!$C$3*(1+B1092)^1)*((1-$I$4-$I$5+E1092)*(1-$I$10)+$I$6-$I$11)-('Data Schema'!$C$3*(1+B1092)^1-'Data Schema'!$C$3)*$I$12)/(1+C1092)^1+(('Data Schema'!$C$3*(1+B1092)^2)*((1-$I$4-$I$5+E1092)*(1-$I$10)+$I$6-$I$11)-('Data Schema'!$C$3*(1+B1092)^2-'Data Schema'!$C$3*(1+B1092)^1)*$I$12)/(1+C1092)^2+(('Data Schema'!$C$3*(1+B1092)^3)*((1-$I$4-$I$5+E1092)*(1-$I$10)+$I$6-$I$11)-('Data Schema'!$C$3*(1+B1092)^3-'Data Schema'!$C$3*(1+B1092)^2)*$I$12)/(1+C1092)^3+(('Data Schema'!$C$3*(1+B1092)^4)*((1-$I$4-$I$5+E1092)*(1-$I$10)+$I$6-$I$11)-('Data Schema'!$C$3*(1+B1092)^4-'Data Schema'!$C$3*(1+B1092)^3)*$I$12)/(1+C1092)^4+(('Data Schema'!$C$3*(1+B1092)^5)*((1-$I$4-$I$5+E1092)*(1-$I$10)+$I$6-$I$11)-('Data Schema'!$C$3*(1+B1092)^5-'Data Schema'!$C$3*(1+B1092)^4)*$I$12)/(1+C1092)^5+((('Data Schema'!$C$3*(1+B1092)^5)*((1-$I$4-$I$5+E1092)*(1-$I$10)+$I$6-$I$11)-('Data Schema'!$C$3*(1+B1092)^5-'Data Schema'!$C$3*(1+B1092)^4)*$I$12)*(1+D1092)/(C1092-D1092))/(1+C1092)^5-'Data Schema'!$C$31+'Data Schema'!$C$21)/'Data Schema'!$B$17,0),"INVALID")</f>
        <v>48.616410401488714</v>
      </c>
      <c r="H1092" s="189" t="b">
        <f t="shared" ca="1" si="130"/>
        <v>1</v>
      </c>
      <c r="I1092" s="188">
        <f t="shared" ca="1" si="131"/>
        <v>48.616410401488714</v>
      </c>
      <c r="J1092" s="349">
        <f t="shared" ca="1" si="124"/>
        <v>48.616410401488714</v>
      </c>
    </row>
    <row r="1093" spans="1:10">
      <c r="A1093" s="184">
        <v>914</v>
      </c>
      <c r="B1093" s="190">
        <f t="shared" ca="1" si="125"/>
        <v>0.15048994703989466</v>
      </c>
      <c r="C1093" s="190">
        <f t="shared" ca="1" si="126"/>
        <v>6.1061338855301586E-2</v>
      </c>
      <c r="D1093" s="190">
        <f t="shared" ca="1" si="127"/>
        <v>2.1752231855330949E-2</v>
      </c>
      <c r="E1093" s="190">
        <f t="shared" ca="1" si="128"/>
        <v>2.1794564051277585E-2</v>
      </c>
      <c r="F1093" s="189" t="b">
        <f t="shared" ca="1" si="129"/>
        <v>1</v>
      </c>
      <c r="G1093" s="188">
        <f ca="1">IF(F1093,IFERROR(((('Data Schema'!$C$3*(1+B1093)^1)*((1-$I$4-$I$5+E1093)*(1-$I$10)+$I$6-$I$11)-('Data Schema'!$C$3*(1+B1093)^1-'Data Schema'!$C$3)*$I$12)/(1+C1093)^1+(('Data Schema'!$C$3*(1+B1093)^2)*((1-$I$4-$I$5+E1093)*(1-$I$10)+$I$6-$I$11)-('Data Schema'!$C$3*(1+B1093)^2-'Data Schema'!$C$3*(1+B1093)^1)*$I$12)/(1+C1093)^2+(('Data Schema'!$C$3*(1+B1093)^3)*((1-$I$4-$I$5+E1093)*(1-$I$10)+$I$6-$I$11)-('Data Schema'!$C$3*(1+B1093)^3-'Data Schema'!$C$3*(1+B1093)^2)*$I$12)/(1+C1093)^3+(('Data Schema'!$C$3*(1+B1093)^4)*((1-$I$4-$I$5+E1093)*(1-$I$10)+$I$6-$I$11)-('Data Schema'!$C$3*(1+B1093)^4-'Data Schema'!$C$3*(1+B1093)^3)*$I$12)/(1+C1093)^4+(('Data Schema'!$C$3*(1+B1093)^5)*((1-$I$4-$I$5+E1093)*(1-$I$10)+$I$6-$I$11)-('Data Schema'!$C$3*(1+B1093)^5-'Data Schema'!$C$3*(1+B1093)^4)*$I$12)/(1+C1093)^5+((('Data Schema'!$C$3*(1+B1093)^5)*((1-$I$4-$I$5+E1093)*(1-$I$10)+$I$6-$I$11)-('Data Schema'!$C$3*(1+B1093)^5-'Data Schema'!$C$3*(1+B1093)^4)*$I$12)*(1+D1093)/(C1093-D1093))/(1+C1093)^5-'Data Schema'!$C$31+'Data Schema'!$C$21)/'Data Schema'!$B$17,0),"INVALID")</f>
        <v>158.2651604176354</v>
      </c>
      <c r="H1093" s="189" t="b">
        <f t="shared" ca="1" si="130"/>
        <v>1</v>
      </c>
      <c r="I1093" s="188">
        <f t="shared" ca="1" si="131"/>
        <v>158.2651604176354</v>
      </c>
      <c r="J1093" s="349">
        <f t="shared" ca="1" si="124"/>
        <v>158.2651604176354</v>
      </c>
    </row>
    <row r="1094" spans="1:10">
      <c r="A1094" s="185">
        <v>915</v>
      </c>
      <c r="B1094" s="190">
        <f t="shared" ca="1" si="125"/>
        <v>0.10358773610186175</v>
      </c>
      <c r="C1094" s="190">
        <f t="shared" ca="1" si="126"/>
        <v>7.2769201824905719E-2</v>
      </c>
      <c r="D1094" s="190">
        <f t="shared" ca="1" si="127"/>
        <v>3.2636748294203141E-2</v>
      </c>
      <c r="E1094" s="190">
        <f t="shared" ca="1" si="128"/>
        <v>2.4277560693886403E-3</v>
      </c>
      <c r="F1094" s="189" t="b">
        <f t="shared" ca="1" si="129"/>
        <v>1</v>
      </c>
      <c r="G1094" s="188">
        <f ca="1">IF(F1094,IFERROR(((('Data Schema'!$C$3*(1+B1094)^1)*((1-$I$4-$I$5+E1094)*(1-$I$10)+$I$6-$I$11)-('Data Schema'!$C$3*(1+B1094)^1-'Data Schema'!$C$3)*$I$12)/(1+C1094)^1+(('Data Schema'!$C$3*(1+B1094)^2)*((1-$I$4-$I$5+E1094)*(1-$I$10)+$I$6-$I$11)-('Data Schema'!$C$3*(1+B1094)^2-'Data Schema'!$C$3*(1+B1094)^1)*$I$12)/(1+C1094)^2+(('Data Schema'!$C$3*(1+B1094)^3)*((1-$I$4-$I$5+E1094)*(1-$I$10)+$I$6-$I$11)-('Data Schema'!$C$3*(1+B1094)^3-'Data Schema'!$C$3*(1+B1094)^2)*$I$12)/(1+C1094)^3+(('Data Schema'!$C$3*(1+B1094)^4)*((1-$I$4-$I$5+E1094)*(1-$I$10)+$I$6-$I$11)-('Data Schema'!$C$3*(1+B1094)^4-'Data Schema'!$C$3*(1+B1094)^3)*$I$12)/(1+C1094)^4+(('Data Schema'!$C$3*(1+B1094)^5)*((1-$I$4-$I$5+E1094)*(1-$I$10)+$I$6-$I$11)-('Data Schema'!$C$3*(1+B1094)^5-'Data Schema'!$C$3*(1+B1094)^4)*$I$12)/(1+C1094)^5+((('Data Schema'!$C$3*(1+B1094)^5)*((1-$I$4-$I$5+E1094)*(1-$I$10)+$I$6-$I$11)-('Data Schema'!$C$3*(1+B1094)^5-'Data Schema'!$C$3*(1+B1094)^4)*$I$12)*(1+D1094)/(C1094-D1094))/(1+C1094)^5-'Data Schema'!$C$31+'Data Schema'!$C$21)/'Data Schema'!$B$17,0),"INVALID")</f>
        <v>77.811685454556525</v>
      </c>
      <c r="H1094" s="189" t="b">
        <f t="shared" ca="1" si="130"/>
        <v>1</v>
      </c>
      <c r="I1094" s="188">
        <f t="shared" ca="1" si="131"/>
        <v>77.811685454556525</v>
      </c>
      <c r="J1094" s="349">
        <f t="shared" ca="1" si="124"/>
        <v>77.811685454556525</v>
      </c>
    </row>
    <row r="1095" spans="1:10">
      <c r="A1095" s="184">
        <v>916</v>
      </c>
      <c r="B1095" s="190">
        <f t="shared" ca="1" si="125"/>
        <v>7.1938191334355125E-2</v>
      </c>
      <c r="C1095" s="190">
        <f t="shared" ca="1" si="126"/>
        <v>5.2995827511852479E-2</v>
      </c>
      <c r="D1095" s="190">
        <f t="shared" ca="1" si="127"/>
        <v>2.3742830960533607E-2</v>
      </c>
      <c r="E1095" s="190">
        <f t="shared" ca="1" si="128"/>
        <v>2.2462602083986944E-2</v>
      </c>
      <c r="F1095" s="189" t="b">
        <f t="shared" ca="1" si="129"/>
        <v>1</v>
      </c>
      <c r="G1095" s="188">
        <f ca="1">IF(F1095,IFERROR(((('Data Schema'!$C$3*(1+B1095)^1)*((1-$I$4-$I$5+E1095)*(1-$I$10)+$I$6-$I$11)-('Data Schema'!$C$3*(1+B1095)^1-'Data Schema'!$C$3)*$I$12)/(1+C1095)^1+(('Data Schema'!$C$3*(1+B1095)^2)*((1-$I$4-$I$5+E1095)*(1-$I$10)+$I$6-$I$11)-('Data Schema'!$C$3*(1+B1095)^2-'Data Schema'!$C$3*(1+B1095)^1)*$I$12)/(1+C1095)^2+(('Data Schema'!$C$3*(1+B1095)^3)*((1-$I$4-$I$5+E1095)*(1-$I$10)+$I$6-$I$11)-('Data Schema'!$C$3*(1+B1095)^3-'Data Schema'!$C$3*(1+B1095)^2)*$I$12)/(1+C1095)^3+(('Data Schema'!$C$3*(1+B1095)^4)*((1-$I$4-$I$5+E1095)*(1-$I$10)+$I$6-$I$11)-('Data Schema'!$C$3*(1+B1095)^4-'Data Schema'!$C$3*(1+B1095)^3)*$I$12)/(1+C1095)^4+(('Data Schema'!$C$3*(1+B1095)^5)*((1-$I$4-$I$5+E1095)*(1-$I$10)+$I$6-$I$11)-('Data Schema'!$C$3*(1+B1095)^5-'Data Schema'!$C$3*(1+B1095)^4)*$I$12)/(1+C1095)^5+((('Data Schema'!$C$3*(1+B1095)^5)*((1-$I$4-$I$5+E1095)*(1-$I$10)+$I$6-$I$11)-('Data Schema'!$C$3*(1+B1095)^5-'Data Schema'!$C$3*(1+B1095)^4)*$I$12)*(1+D1095)/(C1095-D1095))/(1+C1095)^5-'Data Schema'!$C$31+'Data Schema'!$C$21)/'Data Schema'!$B$17,0),"INVALID")</f>
        <v>158.44932874543508</v>
      </c>
      <c r="H1095" s="189" t="b">
        <f t="shared" ca="1" si="130"/>
        <v>1</v>
      </c>
      <c r="I1095" s="188">
        <f t="shared" ca="1" si="131"/>
        <v>158.44932874543508</v>
      </c>
      <c r="J1095" s="349">
        <f t="shared" ca="1" si="124"/>
        <v>158.44932874543508</v>
      </c>
    </row>
    <row r="1096" spans="1:10">
      <c r="A1096" s="185">
        <v>917</v>
      </c>
      <c r="B1096" s="190">
        <f t="shared" ca="1" si="125"/>
        <v>9.0113591394613127E-2</v>
      </c>
      <c r="C1096" s="190">
        <f t="shared" ca="1" si="126"/>
        <v>5.9479347470305567E-2</v>
      </c>
      <c r="D1096" s="190">
        <f t="shared" ca="1" si="127"/>
        <v>3.1432532125519969E-2</v>
      </c>
      <c r="E1096" s="190">
        <f t="shared" ca="1" si="128"/>
        <v>-1.9368381015134953E-2</v>
      </c>
      <c r="F1096" s="189" t="b">
        <f t="shared" ca="1" si="129"/>
        <v>1</v>
      </c>
      <c r="G1096" s="188">
        <f ca="1">IF(F1096,IFERROR(((('Data Schema'!$C$3*(1+B1096)^1)*((1-$I$4-$I$5+E1096)*(1-$I$10)+$I$6-$I$11)-('Data Schema'!$C$3*(1+B1096)^1-'Data Schema'!$C$3)*$I$12)/(1+C1096)^1+(('Data Schema'!$C$3*(1+B1096)^2)*((1-$I$4-$I$5+E1096)*(1-$I$10)+$I$6-$I$11)-('Data Schema'!$C$3*(1+B1096)^2-'Data Schema'!$C$3*(1+B1096)^1)*$I$12)/(1+C1096)^2+(('Data Schema'!$C$3*(1+B1096)^3)*((1-$I$4-$I$5+E1096)*(1-$I$10)+$I$6-$I$11)-('Data Schema'!$C$3*(1+B1096)^3-'Data Schema'!$C$3*(1+B1096)^2)*$I$12)/(1+C1096)^3+(('Data Schema'!$C$3*(1+B1096)^4)*((1-$I$4-$I$5+E1096)*(1-$I$10)+$I$6-$I$11)-('Data Schema'!$C$3*(1+B1096)^4-'Data Schema'!$C$3*(1+B1096)^3)*$I$12)/(1+C1096)^4+(('Data Schema'!$C$3*(1+B1096)^5)*((1-$I$4-$I$5+E1096)*(1-$I$10)+$I$6-$I$11)-('Data Schema'!$C$3*(1+B1096)^5-'Data Schema'!$C$3*(1+B1096)^4)*$I$12)/(1+C1096)^5+((('Data Schema'!$C$3*(1+B1096)^5)*((1-$I$4-$I$5+E1096)*(1-$I$10)+$I$6-$I$11)-('Data Schema'!$C$3*(1+B1096)^5-'Data Schema'!$C$3*(1+B1096)^4)*$I$12)*(1+D1096)/(C1096-D1096))/(1+C1096)^5-'Data Schema'!$C$31+'Data Schema'!$C$21)/'Data Schema'!$B$17,0),"INVALID")</f>
        <v>40.075116810998892</v>
      </c>
      <c r="H1096" s="189" t="b">
        <f t="shared" ca="1" si="130"/>
        <v>1</v>
      </c>
      <c r="I1096" s="188">
        <f t="shared" ca="1" si="131"/>
        <v>40.075116810998892</v>
      </c>
      <c r="J1096" s="349">
        <f t="shared" ca="1" si="124"/>
        <v>40.075116810998892</v>
      </c>
    </row>
    <row r="1097" spans="1:10">
      <c r="A1097" s="184">
        <v>918</v>
      </c>
      <c r="B1097" s="190">
        <f t="shared" ca="1" si="125"/>
        <v>6.6484023439248349E-2</v>
      </c>
      <c r="C1097" s="190">
        <f t="shared" ca="1" si="126"/>
        <v>6.1149736313727755E-2</v>
      </c>
      <c r="D1097" s="190">
        <f t="shared" ca="1" si="127"/>
        <v>3.2482085348387514E-2</v>
      </c>
      <c r="E1097" s="190">
        <f t="shared" ca="1" si="128"/>
        <v>-1.9159697260957818E-2</v>
      </c>
      <c r="F1097" s="189" t="b">
        <f t="shared" ca="1" si="129"/>
        <v>1</v>
      </c>
      <c r="G1097" s="188">
        <f ca="1">IF(F1097,IFERROR(((('Data Schema'!$C$3*(1+B1097)^1)*((1-$I$4-$I$5+E1097)*(1-$I$10)+$I$6-$I$11)-('Data Schema'!$C$3*(1+B1097)^1-'Data Schema'!$C$3)*$I$12)/(1+C1097)^1+(('Data Schema'!$C$3*(1+B1097)^2)*((1-$I$4-$I$5+E1097)*(1-$I$10)+$I$6-$I$11)-('Data Schema'!$C$3*(1+B1097)^2-'Data Schema'!$C$3*(1+B1097)^1)*$I$12)/(1+C1097)^2+(('Data Schema'!$C$3*(1+B1097)^3)*((1-$I$4-$I$5+E1097)*(1-$I$10)+$I$6-$I$11)-('Data Schema'!$C$3*(1+B1097)^3-'Data Schema'!$C$3*(1+B1097)^2)*$I$12)/(1+C1097)^3+(('Data Schema'!$C$3*(1+B1097)^4)*((1-$I$4-$I$5+E1097)*(1-$I$10)+$I$6-$I$11)-('Data Schema'!$C$3*(1+B1097)^4-'Data Schema'!$C$3*(1+B1097)^3)*$I$12)/(1+C1097)^4+(('Data Schema'!$C$3*(1+B1097)^5)*((1-$I$4-$I$5+E1097)*(1-$I$10)+$I$6-$I$11)-('Data Schema'!$C$3*(1+B1097)^5-'Data Schema'!$C$3*(1+B1097)^4)*$I$12)/(1+C1097)^5+((('Data Schema'!$C$3*(1+B1097)^5)*((1-$I$4-$I$5+E1097)*(1-$I$10)+$I$6-$I$11)-('Data Schema'!$C$3*(1+B1097)^5-'Data Schema'!$C$3*(1+B1097)^4)*$I$12)*(1+D1097)/(C1097-D1097))/(1+C1097)^5-'Data Schema'!$C$31+'Data Schema'!$C$21)/'Data Schema'!$B$17,0),"INVALID")</f>
        <v>36.416764483778749</v>
      </c>
      <c r="H1097" s="189" t="b">
        <f t="shared" ca="1" si="130"/>
        <v>1</v>
      </c>
      <c r="I1097" s="188">
        <f t="shared" ca="1" si="131"/>
        <v>36.416764483778749</v>
      </c>
      <c r="J1097" s="349">
        <f t="shared" ca="1" si="124"/>
        <v>36.416764483778749</v>
      </c>
    </row>
    <row r="1098" spans="1:10">
      <c r="A1098" s="185">
        <v>919</v>
      </c>
      <c r="B1098" s="190">
        <f t="shared" ca="1" si="125"/>
        <v>0.11118791027524484</v>
      </c>
      <c r="C1098" s="190">
        <f t="shared" ca="1" si="126"/>
        <v>5.9583792576037346E-2</v>
      </c>
      <c r="D1098" s="190">
        <f t="shared" ca="1" si="127"/>
        <v>1.5764124663390305E-2</v>
      </c>
      <c r="E1098" s="190">
        <f t="shared" ca="1" si="128"/>
        <v>-1.995071252696896E-2</v>
      </c>
      <c r="F1098" s="189" t="b">
        <f t="shared" ca="1" si="129"/>
        <v>1</v>
      </c>
      <c r="G1098" s="188">
        <f ca="1">IF(F1098,IFERROR(((('Data Schema'!$C$3*(1+B1098)^1)*((1-$I$4-$I$5+E1098)*(1-$I$10)+$I$6-$I$11)-('Data Schema'!$C$3*(1+B1098)^1-'Data Schema'!$C$3)*$I$12)/(1+C1098)^1+(('Data Schema'!$C$3*(1+B1098)^2)*((1-$I$4-$I$5+E1098)*(1-$I$10)+$I$6-$I$11)-('Data Schema'!$C$3*(1+B1098)^2-'Data Schema'!$C$3*(1+B1098)^1)*$I$12)/(1+C1098)^2+(('Data Schema'!$C$3*(1+B1098)^3)*((1-$I$4-$I$5+E1098)*(1-$I$10)+$I$6-$I$11)-('Data Schema'!$C$3*(1+B1098)^3-'Data Schema'!$C$3*(1+B1098)^2)*$I$12)/(1+C1098)^3+(('Data Schema'!$C$3*(1+B1098)^4)*((1-$I$4-$I$5+E1098)*(1-$I$10)+$I$6-$I$11)-('Data Schema'!$C$3*(1+B1098)^4-'Data Schema'!$C$3*(1+B1098)^3)*$I$12)/(1+C1098)^4+(('Data Schema'!$C$3*(1+B1098)^5)*((1-$I$4-$I$5+E1098)*(1-$I$10)+$I$6-$I$11)-('Data Schema'!$C$3*(1+B1098)^5-'Data Schema'!$C$3*(1+B1098)^4)*$I$12)/(1+C1098)^5+((('Data Schema'!$C$3*(1+B1098)^5)*((1-$I$4-$I$5+E1098)*(1-$I$10)+$I$6-$I$11)-('Data Schema'!$C$3*(1+B1098)^5-'Data Schema'!$C$3*(1+B1098)^4)*$I$12)*(1+D1098)/(C1098-D1098))/(1+C1098)^5-'Data Schema'!$C$31+'Data Schema'!$C$21)/'Data Schema'!$B$17,0),"INVALID")</f>
        <v>25.144343059540791</v>
      </c>
      <c r="H1098" s="189" t="b">
        <f t="shared" ca="1" si="130"/>
        <v>1</v>
      </c>
      <c r="I1098" s="188">
        <f t="shared" ca="1" si="131"/>
        <v>25.144343059540791</v>
      </c>
      <c r="J1098" s="349">
        <f t="shared" ca="1" si="124"/>
        <v>25.144343059540791</v>
      </c>
    </row>
    <row r="1099" spans="1:10">
      <c r="A1099" s="184">
        <v>920</v>
      </c>
      <c r="B1099" s="190">
        <f t="shared" ca="1" si="125"/>
        <v>8.9852105471843843E-2</v>
      </c>
      <c r="C1099" s="190">
        <f t="shared" ca="1" si="126"/>
        <v>5.792227358917134E-2</v>
      </c>
      <c r="D1099" s="190">
        <f t="shared" ca="1" si="127"/>
        <v>2.1687475856372845E-2</v>
      </c>
      <c r="E1099" s="190">
        <f t="shared" ca="1" si="128"/>
        <v>2.448813822657249E-2</v>
      </c>
      <c r="F1099" s="189" t="b">
        <f t="shared" ca="1" si="129"/>
        <v>1</v>
      </c>
      <c r="G1099" s="188">
        <f ca="1">IF(F1099,IFERROR(((('Data Schema'!$C$3*(1+B1099)^1)*((1-$I$4-$I$5+E1099)*(1-$I$10)+$I$6-$I$11)-('Data Schema'!$C$3*(1+B1099)^1-'Data Schema'!$C$3)*$I$12)/(1+C1099)^1+(('Data Schema'!$C$3*(1+B1099)^2)*((1-$I$4-$I$5+E1099)*(1-$I$10)+$I$6-$I$11)-('Data Schema'!$C$3*(1+B1099)^2-'Data Schema'!$C$3*(1+B1099)^1)*$I$12)/(1+C1099)^2+(('Data Schema'!$C$3*(1+B1099)^3)*((1-$I$4-$I$5+E1099)*(1-$I$10)+$I$6-$I$11)-('Data Schema'!$C$3*(1+B1099)^3-'Data Schema'!$C$3*(1+B1099)^2)*$I$12)/(1+C1099)^3+(('Data Schema'!$C$3*(1+B1099)^4)*((1-$I$4-$I$5+E1099)*(1-$I$10)+$I$6-$I$11)-('Data Schema'!$C$3*(1+B1099)^4-'Data Schema'!$C$3*(1+B1099)^3)*$I$12)/(1+C1099)^4+(('Data Schema'!$C$3*(1+B1099)^5)*((1-$I$4-$I$5+E1099)*(1-$I$10)+$I$6-$I$11)-('Data Schema'!$C$3*(1+B1099)^5-'Data Schema'!$C$3*(1+B1099)^4)*$I$12)/(1+C1099)^5+((('Data Schema'!$C$3*(1+B1099)^5)*((1-$I$4-$I$5+E1099)*(1-$I$10)+$I$6-$I$11)-('Data Schema'!$C$3*(1+B1099)^5-'Data Schema'!$C$3*(1+B1099)^4)*$I$12)*(1+D1099)/(C1099-D1099))/(1+C1099)^5-'Data Schema'!$C$31+'Data Schema'!$C$21)/'Data Schema'!$B$17,0),"INVALID")</f>
        <v>142.23753100879057</v>
      </c>
      <c r="H1099" s="189" t="b">
        <f t="shared" ca="1" si="130"/>
        <v>1</v>
      </c>
      <c r="I1099" s="188">
        <f t="shared" ca="1" si="131"/>
        <v>142.23753100879057</v>
      </c>
      <c r="J1099" s="349">
        <f t="shared" ca="1" si="124"/>
        <v>142.23753100879057</v>
      </c>
    </row>
    <row r="1100" spans="1:10">
      <c r="A1100" s="185">
        <v>921</v>
      </c>
      <c r="B1100" s="190">
        <f t="shared" ca="1" si="125"/>
        <v>8.772935663101776E-2</v>
      </c>
      <c r="C1100" s="190">
        <f t="shared" ca="1" si="126"/>
        <v>6.6170066316466547E-2</v>
      </c>
      <c r="D1100" s="190">
        <f t="shared" ca="1" si="127"/>
        <v>3.210599018684597E-2</v>
      </c>
      <c r="E1100" s="190">
        <f t="shared" ca="1" si="128"/>
        <v>-1.2947714353586113E-2</v>
      </c>
      <c r="F1100" s="189" t="b">
        <f t="shared" ca="1" si="129"/>
        <v>1</v>
      </c>
      <c r="G1100" s="188">
        <f ca="1">IF(F1100,IFERROR(((('Data Schema'!$C$3*(1+B1100)^1)*((1-$I$4-$I$5+E1100)*(1-$I$10)+$I$6-$I$11)-('Data Schema'!$C$3*(1+B1100)^1-'Data Schema'!$C$3)*$I$12)/(1+C1100)^1+(('Data Schema'!$C$3*(1+B1100)^2)*((1-$I$4-$I$5+E1100)*(1-$I$10)+$I$6-$I$11)-('Data Schema'!$C$3*(1+B1100)^2-'Data Schema'!$C$3*(1+B1100)^1)*$I$12)/(1+C1100)^2+(('Data Schema'!$C$3*(1+B1100)^3)*((1-$I$4-$I$5+E1100)*(1-$I$10)+$I$6-$I$11)-('Data Schema'!$C$3*(1+B1100)^3-'Data Schema'!$C$3*(1+B1100)^2)*$I$12)/(1+C1100)^3+(('Data Schema'!$C$3*(1+B1100)^4)*((1-$I$4-$I$5+E1100)*(1-$I$10)+$I$6-$I$11)-('Data Schema'!$C$3*(1+B1100)^4-'Data Schema'!$C$3*(1+B1100)^3)*$I$12)/(1+C1100)^4+(('Data Schema'!$C$3*(1+B1100)^5)*((1-$I$4-$I$5+E1100)*(1-$I$10)+$I$6-$I$11)-('Data Schema'!$C$3*(1+B1100)^5-'Data Schema'!$C$3*(1+B1100)^4)*$I$12)/(1+C1100)^5+((('Data Schema'!$C$3*(1+B1100)^5)*((1-$I$4-$I$5+E1100)*(1-$I$10)+$I$6-$I$11)-('Data Schema'!$C$3*(1+B1100)^5-'Data Schema'!$C$3*(1+B1100)^4)*$I$12)*(1+D1100)/(C1100-D1100))/(1+C1100)^5-'Data Schema'!$C$31+'Data Schema'!$C$21)/'Data Schema'!$B$17,0),"INVALID")</f>
        <v>47.908823143256953</v>
      </c>
      <c r="H1100" s="189" t="b">
        <f t="shared" ca="1" si="130"/>
        <v>1</v>
      </c>
      <c r="I1100" s="188">
        <f t="shared" ca="1" si="131"/>
        <v>47.908823143256953</v>
      </c>
      <c r="J1100" s="349">
        <f t="shared" ca="1" si="124"/>
        <v>47.908823143256953</v>
      </c>
    </row>
    <row r="1101" spans="1:10">
      <c r="A1101" s="184">
        <v>922</v>
      </c>
      <c r="B1101" s="190">
        <f t="shared" ca="1" si="125"/>
        <v>0.11293146960963532</v>
      </c>
      <c r="C1101" s="190">
        <f t="shared" ca="1" si="126"/>
        <v>4.9884064972531859E-2</v>
      </c>
      <c r="D1101" s="190">
        <f t="shared" ca="1" si="127"/>
        <v>2.1595371006519537E-2</v>
      </c>
      <c r="E1101" s="190">
        <f t="shared" ca="1" si="128"/>
        <v>1.9986884315376725E-2</v>
      </c>
      <c r="F1101" s="189" t="b">
        <f t="shared" ca="1" si="129"/>
        <v>1</v>
      </c>
      <c r="G1101" s="188">
        <f ca="1">IF(F1101,IFERROR(((('Data Schema'!$C$3*(1+B1101)^1)*((1-$I$4-$I$5+E1101)*(1-$I$10)+$I$6-$I$11)-('Data Schema'!$C$3*(1+B1101)^1-'Data Schema'!$C$3)*$I$12)/(1+C1101)^1+(('Data Schema'!$C$3*(1+B1101)^2)*((1-$I$4-$I$5+E1101)*(1-$I$10)+$I$6-$I$11)-('Data Schema'!$C$3*(1+B1101)^2-'Data Schema'!$C$3*(1+B1101)^1)*$I$12)/(1+C1101)^2+(('Data Schema'!$C$3*(1+B1101)^3)*((1-$I$4-$I$5+E1101)*(1-$I$10)+$I$6-$I$11)-('Data Schema'!$C$3*(1+B1101)^3-'Data Schema'!$C$3*(1+B1101)^2)*$I$12)/(1+C1101)^3+(('Data Schema'!$C$3*(1+B1101)^4)*((1-$I$4-$I$5+E1101)*(1-$I$10)+$I$6-$I$11)-('Data Schema'!$C$3*(1+B1101)^4-'Data Schema'!$C$3*(1+B1101)^3)*$I$12)/(1+C1101)^4+(('Data Schema'!$C$3*(1+B1101)^5)*((1-$I$4-$I$5+E1101)*(1-$I$10)+$I$6-$I$11)-('Data Schema'!$C$3*(1+B1101)^5-'Data Schema'!$C$3*(1+B1101)^4)*$I$12)/(1+C1101)^5+((('Data Schema'!$C$3*(1+B1101)^5)*((1-$I$4-$I$5+E1101)*(1-$I$10)+$I$6-$I$11)-('Data Schema'!$C$3*(1+B1101)^5-'Data Schema'!$C$3*(1+B1101)^4)*$I$12)*(1+D1101)/(C1101-D1101))/(1+C1101)^5-'Data Schema'!$C$31+'Data Schema'!$C$21)/'Data Schema'!$B$17,0),"INVALID")</f>
        <v>187.13922316288674</v>
      </c>
      <c r="H1101" s="189" t="b">
        <f t="shared" ca="1" si="130"/>
        <v>1</v>
      </c>
      <c r="I1101" s="188">
        <f t="shared" ca="1" si="131"/>
        <v>187.13922316288674</v>
      </c>
      <c r="J1101" s="349">
        <f t="shared" ca="1" si="124"/>
        <v>187.13922316288674</v>
      </c>
    </row>
    <row r="1102" spans="1:10">
      <c r="A1102" s="185">
        <v>923</v>
      </c>
      <c r="B1102" s="190">
        <f t="shared" ca="1" si="125"/>
        <v>6.0125447247578567E-2</v>
      </c>
      <c r="C1102" s="190">
        <f t="shared" ca="1" si="126"/>
        <v>5.8135887621419906E-2</v>
      </c>
      <c r="D1102" s="190">
        <f t="shared" ca="1" si="127"/>
        <v>2.8412189127392493E-2</v>
      </c>
      <c r="E1102" s="190">
        <f t="shared" ca="1" si="128"/>
        <v>-1.1393155411761169E-2</v>
      </c>
      <c r="F1102" s="189" t="b">
        <f t="shared" ca="1" si="129"/>
        <v>1</v>
      </c>
      <c r="G1102" s="188">
        <f ca="1">IF(F1102,IFERROR(((('Data Schema'!$C$3*(1+B1102)^1)*((1-$I$4-$I$5+E1102)*(1-$I$10)+$I$6-$I$11)-('Data Schema'!$C$3*(1+B1102)^1-'Data Schema'!$C$3)*$I$12)/(1+C1102)^1+(('Data Schema'!$C$3*(1+B1102)^2)*((1-$I$4-$I$5+E1102)*(1-$I$10)+$I$6-$I$11)-('Data Schema'!$C$3*(1+B1102)^2-'Data Schema'!$C$3*(1+B1102)^1)*$I$12)/(1+C1102)^2+(('Data Schema'!$C$3*(1+B1102)^3)*((1-$I$4-$I$5+E1102)*(1-$I$10)+$I$6-$I$11)-('Data Schema'!$C$3*(1+B1102)^3-'Data Schema'!$C$3*(1+B1102)^2)*$I$12)/(1+C1102)^3+(('Data Schema'!$C$3*(1+B1102)^4)*((1-$I$4-$I$5+E1102)*(1-$I$10)+$I$6-$I$11)-('Data Schema'!$C$3*(1+B1102)^4-'Data Schema'!$C$3*(1+B1102)^3)*$I$12)/(1+C1102)^4+(('Data Schema'!$C$3*(1+B1102)^5)*((1-$I$4-$I$5+E1102)*(1-$I$10)+$I$6-$I$11)-('Data Schema'!$C$3*(1+B1102)^5-'Data Schema'!$C$3*(1+B1102)^4)*$I$12)/(1+C1102)^5+((('Data Schema'!$C$3*(1+B1102)^5)*((1-$I$4-$I$5+E1102)*(1-$I$10)+$I$6-$I$11)-('Data Schema'!$C$3*(1+B1102)^5-'Data Schema'!$C$3*(1+B1102)^4)*$I$12)*(1+D1102)/(C1102-D1102))/(1+C1102)^5-'Data Schema'!$C$31+'Data Schema'!$C$21)/'Data Schema'!$B$17,0),"INVALID")</f>
        <v>55.383703907013334</v>
      </c>
      <c r="H1102" s="189" t="b">
        <f t="shared" ca="1" si="130"/>
        <v>1</v>
      </c>
      <c r="I1102" s="188">
        <f t="shared" ca="1" si="131"/>
        <v>55.383703907013334</v>
      </c>
      <c r="J1102" s="349">
        <f t="shared" ca="1" si="124"/>
        <v>55.383703907013334</v>
      </c>
    </row>
    <row r="1103" spans="1:10">
      <c r="A1103" s="184">
        <v>924</v>
      </c>
      <c r="B1103" s="190">
        <f t="shared" ca="1" si="125"/>
        <v>9.0932890542609349E-2</v>
      </c>
      <c r="C1103" s="190">
        <f t="shared" ca="1" si="126"/>
        <v>5.4290527947432013E-2</v>
      </c>
      <c r="D1103" s="190">
        <f t="shared" ca="1" si="127"/>
        <v>2.8836972954932091E-2</v>
      </c>
      <c r="E1103" s="190">
        <f t="shared" ca="1" si="128"/>
        <v>-5.5614564539574703E-2</v>
      </c>
      <c r="F1103" s="189" t="b">
        <f t="shared" ca="1" si="129"/>
        <v>1</v>
      </c>
      <c r="G1103" s="188">
        <f ca="1">IF(F1103,IFERROR(((('Data Schema'!$C$3*(1+B1103)^1)*((1-$I$4-$I$5+E1103)*(1-$I$10)+$I$6-$I$11)-('Data Schema'!$C$3*(1+B1103)^1-'Data Schema'!$C$3)*$I$12)/(1+C1103)^1+(('Data Schema'!$C$3*(1+B1103)^2)*((1-$I$4-$I$5+E1103)*(1-$I$10)+$I$6-$I$11)-('Data Schema'!$C$3*(1+B1103)^2-'Data Schema'!$C$3*(1+B1103)^1)*$I$12)/(1+C1103)^2+(('Data Schema'!$C$3*(1+B1103)^3)*((1-$I$4-$I$5+E1103)*(1-$I$10)+$I$6-$I$11)-('Data Schema'!$C$3*(1+B1103)^3-'Data Schema'!$C$3*(1+B1103)^2)*$I$12)/(1+C1103)^3+(('Data Schema'!$C$3*(1+B1103)^4)*((1-$I$4-$I$5+E1103)*(1-$I$10)+$I$6-$I$11)-('Data Schema'!$C$3*(1+B1103)^4-'Data Schema'!$C$3*(1+B1103)^3)*$I$12)/(1+C1103)^4+(('Data Schema'!$C$3*(1+B1103)^5)*((1-$I$4-$I$5+E1103)*(1-$I$10)+$I$6-$I$11)-('Data Schema'!$C$3*(1+B1103)^5-'Data Schema'!$C$3*(1+B1103)^4)*$I$12)/(1+C1103)^5+((('Data Schema'!$C$3*(1+B1103)^5)*((1-$I$4-$I$5+E1103)*(1-$I$10)+$I$6-$I$11)-('Data Schema'!$C$3*(1+B1103)^5-'Data Schema'!$C$3*(1+B1103)^4)*$I$12)*(1+D1103)/(C1103-D1103))/(1+C1103)^5-'Data Schema'!$C$31+'Data Schema'!$C$21)/'Data Schema'!$B$17,0),"INVALID")</f>
        <v>-83.728749738653775</v>
      </c>
      <c r="H1103" s="189" t="b">
        <f t="shared" ca="1" si="130"/>
        <v>0</v>
      </c>
      <c r="I1103" s="188" t="str">
        <f t="shared" ca="1" si="131"/>
        <v/>
      </c>
      <c r="J1103" s="349" t="str">
        <f t="shared" ca="1" si="124"/>
        <v/>
      </c>
    </row>
    <row r="1104" spans="1:10">
      <c r="A1104" s="185">
        <v>925</v>
      </c>
      <c r="B1104" s="190">
        <f t="shared" ca="1" si="125"/>
        <v>0.11693846385839334</v>
      </c>
      <c r="C1104" s="190">
        <f t="shared" ca="1" si="126"/>
        <v>5.1336535087991339E-2</v>
      </c>
      <c r="D1104" s="190">
        <f t="shared" ca="1" si="127"/>
        <v>2.4558315843932109E-2</v>
      </c>
      <c r="E1104" s="190">
        <f t="shared" ca="1" si="128"/>
        <v>7.8956577130631193E-3</v>
      </c>
      <c r="F1104" s="189" t="b">
        <f t="shared" ca="1" si="129"/>
        <v>1</v>
      </c>
      <c r="G1104" s="188">
        <f ca="1">IF(F1104,IFERROR(((('Data Schema'!$C$3*(1+B1104)^1)*((1-$I$4-$I$5+E1104)*(1-$I$10)+$I$6-$I$11)-('Data Schema'!$C$3*(1+B1104)^1-'Data Schema'!$C$3)*$I$12)/(1+C1104)^1+(('Data Schema'!$C$3*(1+B1104)^2)*((1-$I$4-$I$5+E1104)*(1-$I$10)+$I$6-$I$11)-('Data Schema'!$C$3*(1+B1104)^2-'Data Schema'!$C$3*(1+B1104)^1)*$I$12)/(1+C1104)^2+(('Data Schema'!$C$3*(1+B1104)^3)*((1-$I$4-$I$5+E1104)*(1-$I$10)+$I$6-$I$11)-('Data Schema'!$C$3*(1+B1104)^3-'Data Schema'!$C$3*(1+B1104)^2)*$I$12)/(1+C1104)^3+(('Data Schema'!$C$3*(1+B1104)^4)*((1-$I$4-$I$5+E1104)*(1-$I$10)+$I$6-$I$11)-('Data Schema'!$C$3*(1+B1104)^4-'Data Schema'!$C$3*(1+B1104)^3)*$I$12)/(1+C1104)^4+(('Data Schema'!$C$3*(1+B1104)^5)*((1-$I$4-$I$5+E1104)*(1-$I$10)+$I$6-$I$11)-('Data Schema'!$C$3*(1+B1104)^5-'Data Schema'!$C$3*(1+B1104)^4)*$I$12)/(1+C1104)^5+((('Data Schema'!$C$3*(1+B1104)^5)*((1-$I$4-$I$5+E1104)*(1-$I$10)+$I$6-$I$11)-('Data Schema'!$C$3*(1+B1104)^5-'Data Schema'!$C$3*(1+B1104)^4)*$I$12)*(1+D1104)/(C1104-D1104))/(1+C1104)^5-'Data Schema'!$C$31+'Data Schema'!$C$21)/'Data Schema'!$B$17,0),"INVALID")</f>
        <v>152.66923808642125</v>
      </c>
      <c r="H1104" s="189" t="b">
        <f t="shared" ca="1" si="130"/>
        <v>1</v>
      </c>
      <c r="I1104" s="188">
        <f t="shared" ca="1" si="131"/>
        <v>152.66923808642125</v>
      </c>
      <c r="J1104" s="349">
        <f t="shared" ca="1" si="124"/>
        <v>152.66923808642125</v>
      </c>
    </row>
    <row r="1105" spans="1:10">
      <c r="A1105" s="184">
        <v>926</v>
      </c>
      <c r="B1105" s="190">
        <f t="shared" ca="1" si="125"/>
        <v>8.0884772107575026E-2</v>
      </c>
      <c r="C1105" s="190">
        <f t="shared" ca="1" si="126"/>
        <v>3.7835689944958235E-2</v>
      </c>
      <c r="D1105" s="190">
        <f t="shared" ca="1" si="127"/>
        <v>2.6368185735174493E-2</v>
      </c>
      <c r="E1105" s="190">
        <f t="shared" ca="1" si="128"/>
        <v>3.3284469718591801E-2</v>
      </c>
      <c r="F1105" s="189" t="b">
        <f t="shared" ca="1" si="129"/>
        <v>0</v>
      </c>
      <c r="G1105" s="188" t="str">
        <f ca="1">IF(F1105,IFERROR(((('Data Schema'!$C$3*(1+B1105)^1)*((1-$I$4-$I$5+E1105)*(1-$I$10)+$I$6-$I$11)-('Data Schema'!$C$3*(1+B1105)^1-'Data Schema'!$C$3)*$I$12)/(1+C1105)^1+(('Data Schema'!$C$3*(1+B1105)^2)*((1-$I$4-$I$5+E1105)*(1-$I$10)+$I$6-$I$11)-('Data Schema'!$C$3*(1+B1105)^2-'Data Schema'!$C$3*(1+B1105)^1)*$I$12)/(1+C1105)^2+(('Data Schema'!$C$3*(1+B1105)^3)*((1-$I$4-$I$5+E1105)*(1-$I$10)+$I$6-$I$11)-('Data Schema'!$C$3*(1+B1105)^3-'Data Schema'!$C$3*(1+B1105)^2)*$I$12)/(1+C1105)^3+(('Data Schema'!$C$3*(1+B1105)^4)*((1-$I$4-$I$5+E1105)*(1-$I$10)+$I$6-$I$11)-('Data Schema'!$C$3*(1+B1105)^4-'Data Schema'!$C$3*(1+B1105)^3)*$I$12)/(1+C1105)^4+(('Data Schema'!$C$3*(1+B1105)^5)*((1-$I$4-$I$5+E1105)*(1-$I$10)+$I$6-$I$11)-('Data Schema'!$C$3*(1+B1105)^5-'Data Schema'!$C$3*(1+B1105)^4)*$I$12)/(1+C1105)^5+((('Data Schema'!$C$3*(1+B1105)^5)*((1-$I$4-$I$5+E1105)*(1-$I$10)+$I$6-$I$11)-('Data Schema'!$C$3*(1+B1105)^5-'Data Schema'!$C$3*(1+B1105)^4)*$I$12)*(1+D1105)/(C1105-D1105))/(1+C1105)^5-'Data Schema'!$C$31+'Data Schema'!$C$21)/'Data Schema'!$B$17,0),"INVALID")</f>
        <v>INVALID</v>
      </c>
      <c r="H1105" s="189" t="b">
        <f t="shared" ca="1" si="130"/>
        <v>0</v>
      </c>
      <c r="I1105" s="188" t="str">
        <f t="shared" ca="1" si="131"/>
        <v/>
      </c>
      <c r="J1105" s="349" t="str">
        <f t="shared" ca="1" si="124"/>
        <v/>
      </c>
    </row>
    <row r="1106" spans="1:10">
      <c r="A1106" s="185">
        <v>927</v>
      </c>
      <c r="B1106" s="190">
        <f t="shared" ca="1" si="125"/>
        <v>0.14001956457157094</v>
      </c>
      <c r="C1106" s="190">
        <f t="shared" ca="1" si="126"/>
        <v>4.9296557973389915E-2</v>
      </c>
      <c r="D1106" s="190">
        <f t="shared" ca="1" si="127"/>
        <v>2.5943730543490799E-2</v>
      </c>
      <c r="E1106" s="190">
        <f t="shared" ca="1" si="128"/>
        <v>2.8636058105941439E-3</v>
      </c>
      <c r="F1106" s="189" t="b">
        <f t="shared" ca="1" si="129"/>
        <v>1</v>
      </c>
      <c r="G1106" s="188">
        <f ca="1">IF(F1106,IFERROR(((('Data Schema'!$C$3*(1+B1106)^1)*((1-$I$4-$I$5+E1106)*(1-$I$10)+$I$6-$I$11)-('Data Schema'!$C$3*(1+B1106)^1-'Data Schema'!$C$3)*$I$12)/(1+C1106)^1+(('Data Schema'!$C$3*(1+B1106)^2)*((1-$I$4-$I$5+E1106)*(1-$I$10)+$I$6-$I$11)-('Data Schema'!$C$3*(1+B1106)^2-'Data Schema'!$C$3*(1+B1106)^1)*$I$12)/(1+C1106)^2+(('Data Schema'!$C$3*(1+B1106)^3)*((1-$I$4-$I$5+E1106)*(1-$I$10)+$I$6-$I$11)-('Data Schema'!$C$3*(1+B1106)^3-'Data Schema'!$C$3*(1+B1106)^2)*$I$12)/(1+C1106)^3+(('Data Schema'!$C$3*(1+B1106)^4)*((1-$I$4-$I$5+E1106)*(1-$I$10)+$I$6-$I$11)-('Data Schema'!$C$3*(1+B1106)^4-'Data Schema'!$C$3*(1+B1106)^3)*$I$12)/(1+C1106)^4+(('Data Schema'!$C$3*(1+B1106)^5)*((1-$I$4-$I$5+E1106)*(1-$I$10)+$I$6-$I$11)-('Data Schema'!$C$3*(1+B1106)^5-'Data Schema'!$C$3*(1+B1106)^4)*$I$12)/(1+C1106)^5+((('Data Schema'!$C$3*(1+B1106)^5)*((1-$I$4-$I$5+E1106)*(1-$I$10)+$I$6-$I$11)-('Data Schema'!$C$3*(1+B1106)^5-'Data Schema'!$C$3*(1+B1106)^4)*$I$12)*(1+D1106)/(C1106-D1106))/(1+C1106)^5-'Data Schema'!$C$31+'Data Schema'!$C$21)/'Data Schema'!$B$17,0),"INVALID")</f>
        <v>167.72350695675817</v>
      </c>
      <c r="H1106" s="189" t="b">
        <f t="shared" ca="1" si="130"/>
        <v>1</v>
      </c>
      <c r="I1106" s="188">
        <f t="shared" ca="1" si="131"/>
        <v>167.72350695675817</v>
      </c>
      <c r="J1106" s="349">
        <f t="shared" ca="1" si="124"/>
        <v>167.72350695675817</v>
      </c>
    </row>
    <row r="1107" spans="1:10">
      <c r="A1107" s="184">
        <v>928</v>
      </c>
      <c r="B1107" s="190">
        <f t="shared" ca="1" si="125"/>
        <v>0.12032690243344409</v>
      </c>
      <c r="C1107" s="190">
        <f t="shared" ca="1" si="126"/>
        <v>5.3604684445008322E-2</v>
      </c>
      <c r="D1107" s="190">
        <f t="shared" ca="1" si="127"/>
        <v>3.0757901151425404E-2</v>
      </c>
      <c r="E1107" s="190">
        <f t="shared" ca="1" si="128"/>
        <v>-4.6096117840473171E-3</v>
      </c>
      <c r="F1107" s="189" t="b">
        <f t="shared" ca="1" si="129"/>
        <v>1</v>
      </c>
      <c r="G1107" s="188">
        <f ca="1">IF(F1107,IFERROR(((('Data Schema'!$C$3*(1+B1107)^1)*((1-$I$4-$I$5+E1107)*(1-$I$10)+$I$6-$I$11)-('Data Schema'!$C$3*(1+B1107)^1-'Data Schema'!$C$3)*$I$12)/(1+C1107)^1+(('Data Schema'!$C$3*(1+B1107)^2)*((1-$I$4-$I$5+E1107)*(1-$I$10)+$I$6-$I$11)-('Data Schema'!$C$3*(1+B1107)^2-'Data Schema'!$C$3*(1+B1107)^1)*$I$12)/(1+C1107)^2+(('Data Schema'!$C$3*(1+B1107)^3)*((1-$I$4-$I$5+E1107)*(1-$I$10)+$I$6-$I$11)-('Data Schema'!$C$3*(1+B1107)^3-'Data Schema'!$C$3*(1+B1107)^2)*$I$12)/(1+C1107)^3+(('Data Schema'!$C$3*(1+B1107)^4)*((1-$I$4-$I$5+E1107)*(1-$I$10)+$I$6-$I$11)-('Data Schema'!$C$3*(1+B1107)^4-'Data Schema'!$C$3*(1+B1107)^3)*$I$12)/(1+C1107)^4+(('Data Schema'!$C$3*(1+B1107)^5)*((1-$I$4-$I$5+E1107)*(1-$I$10)+$I$6-$I$11)-('Data Schema'!$C$3*(1+B1107)^5-'Data Schema'!$C$3*(1+B1107)^4)*$I$12)/(1+C1107)^5+((('Data Schema'!$C$3*(1+B1107)^5)*((1-$I$4-$I$5+E1107)*(1-$I$10)+$I$6-$I$11)-('Data Schema'!$C$3*(1+B1107)^5-'Data Schema'!$C$3*(1+B1107)^4)*$I$12)*(1+D1107)/(C1107-D1107))/(1+C1107)^5-'Data Schema'!$C$31+'Data Schema'!$C$21)/'Data Schema'!$B$17,0),"INVALID")</f>
        <v>122.59593796582365</v>
      </c>
      <c r="H1107" s="189" t="b">
        <f t="shared" ca="1" si="130"/>
        <v>1</v>
      </c>
      <c r="I1107" s="188">
        <f t="shared" ca="1" si="131"/>
        <v>122.59593796582365</v>
      </c>
      <c r="J1107" s="349">
        <f t="shared" ca="1" si="124"/>
        <v>122.59593796582365</v>
      </c>
    </row>
    <row r="1108" spans="1:10">
      <c r="A1108" s="185">
        <v>929</v>
      </c>
      <c r="B1108" s="190">
        <f t="shared" ca="1" si="125"/>
        <v>0.10568538438006385</v>
      </c>
      <c r="C1108" s="190">
        <f t="shared" ca="1" si="126"/>
        <v>5.4440038960246726E-2</v>
      </c>
      <c r="D1108" s="190">
        <f t="shared" ca="1" si="127"/>
        <v>2.628802496660242E-2</v>
      </c>
      <c r="E1108" s="190">
        <f t="shared" ca="1" si="128"/>
        <v>-1.2579120443938887E-2</v>
      </c>
      <c r="F1108" s="189" t="b">
        <f t="shared" ca="1" si="129"/>
        <v>1</v>
      </c>
      <c r="G1108" s="188">
        <f ca="1">IF(F1108,IFERROR(((('Data Schema'!$C$3*(1+B1108)^1)*((1-$I$4-$I$5+E1108)*(1-$I$10)+$I$6-$I$11)-('Data Schema'!$C$3*(1+B1108)^1-'Data Schema'!$C$3)*$I$12)/(1+C1108)^1+(('Data Schema'!$C$3*(1+B1108)^2)*((1-$I$4-$I$5+E1108)*(1-$I$10)+$I$6-$I$11)-('Data Schema'!$C$3*(1+B1108)^2-'Data Schema'!$C$3*(1+B1108)^1)*$I$12)/(1+C1108)^2+(('Data Schema'!$C$3*(1+B1108)^3)*((1-$I$4-$I$5+E1108)*(1-$I$10)+$I$6-$I$11)-('Data Schema'!$C$3*(1+B1108)^3-'Data Schema'!$C$3*(1+B1108)^2)*$I$12)/(1+C1108)^3+(('Data Schema'!$C$3*(1+B1108)^4)*((1-$I$4-$I$5+E1108)*(1-$I$10)+$I$6-$I$11)-('Data Schema'!$C$3*(1+B1108)^4-'Data Schema'!$C$3*(1+B1108)^3)*$I$12)/(1+C1108)^4+(('Data Schema'!$C$3*(1+B1108)^5)*((1-$I$4-$I$5+E1108)*(1-$I$10)+$I$6-$I$11)-('Data Schema'!$C$3*(1+B1108)^5-'Data Schema'!$C$3*(1+B1108)^4)*$I$12)/(1+C1108)^5+((('Data Schema'!$C$3*(1+B1108)^5)*((1-$I$4-$I$5+E1108)*(1-$I$10)+$I$6-$I$11)-('Data Schema'!$C$3*(1+B1108)^5-'Data Schema'!$C$3*(1+B1108)^4)*$I$12)*(1+D1108)/(C1108-D1108))/(1+C1108)^5-'Data Schema'!$C$31+'Data Schema'!$C$21)/'Data Schema'!$B$17,0),"INVALID")</f>
        <v>66.488902746967469</v>
      </c>
      <c r="H1108" s="189" t="b">
        <f t="shared" ca="1" si="130"/>
        <v>1</v>
      </c>
      <c r="I1108" s="188">
        <f t="shared" ca="1" si="131"/>
        <v>66.488902746967469</v>
      </c>
      <c r="J1108" s="349">
        <f t="shared" ca="1" si="124"/>
        <v>66.488902746967469</v>
      </c>
    </row>
    <row r="1109" spans="1:10">
      <c r="A1109" s="184">
        <v>930</v>
      </c>
      <c r="B1109" s="190">
        <f t="shared" ca="1" si="125"/>
        <v>0.11891795091678742</v>
      </c>
      <c r="C1109" s="190">
        <f t="shared" ca="1" si="126"/>
        <v>7.2981982380012578E-2</v>
      </c>
      <c r="D1109" s="190">
        <f t="shared" ca="1" si="127"/>
        <v>2.1688581079871528E-2</v>
      </c>
      <c r="E1109" s="190">
        <f t="shared" ca="1" si="128"/>
        <v>-3.1608568278970524E-2</v>
      </c>
      <c r="F1109" s="189" t="b">
        <f t="shared" ca="1" si="129"/>
        <v>1</v>
      </c>
      <c r="G1109" s="188">
        <f ca="1">IF(F1109,IFERROR(((('Data Schema'!$C$3*(1+B1109)^1)*((1-$I$4-$I$5+E1109)*(1-$I$10)+$I$6-$I$11)-('Data Schema'!$C$3*(1+B1109)^1-'Data Schema'!$C$3)*$I$12)/(1+C1109)^1+(('Data Schema'!$C$3*(1+B1109)^2)*((1-$I$4-$I$5+E1109)*(1-$I$10)+$I$6-$I$11)-('Data Schema'!$C$3*(1+B1109)^2-'Data Schema'!$C$3*(1+B1109)^1)*$I$12)/(1+C1109)^2+(('Data Schema'!$C$3*(1+B1109)^3)*((1-$I$4-$I$5+E1109)*(1-$I$10)+$I$6-$I$11)-('Data Schema'!$C$3*(1+B1109)^3-'Data Schema'!$C$3*(1+B1109)^2)*$I$12)/(1+C1109)^3+(('Data Schema'!$C$3*(1+B1109)^4)*((1-$I$4-$I$5+E1109)*(1-$I$10)+$I$6-$I$11)-('Data Schema'!$C$3*(1+B1109)^4-'Data Schema'!$C$3*(1+B1109)^3)*$I$12)/(1+C1109)^4+(('Data Schema'!$C$3*(1+B1109)^5)*((1-$I$4-$I$5+E1109)*(1-$I$10)+$I$6-$I$11)-('Data Schema'!$C$3*(1+B1109)^5-'Data Schema'!$C$3*(1+B1109)^4)*$I$12)/(1+C1109)^5+((('Data Schema'!$C$3*(1+B1109)^5)*((1-$I$4-$I$5+E1109)*(1-$I$10)+$I$6-$I$11)-('Data Schema'!$C$3*(1+B1109)^5-'Data Schema'!$C$3*(1+B1109)^4)*$I$12)*(1+D1109)/(C1109-D1109))/(1+C1109)^5-'Data Schema'!$C$31+'Data Schema'!$C$21)/'Data Schema'!$B$17,0),"INVALID")</f>
        <v>-3.2142020284675006</v>
      </c>
      <c r="H1109" s="189" t="b">
        <f t="shared" ca="1" si="130"/>
        <v>0</v>
      </c>
      <c r="I1109" s="188" t="str">
        <f t="shared" ca="1" si="131"/>
        <v/>
      </c>
      <c r="J1109" s="349" t="str">
        <f t="shared" ca="1" si="124"/>
        <v/>
      </c>
    </row>
    <row r="1110" spans="1:10">
      <c r="A1110" s="185">
        <v>931</v>
      </c>
      <c r="B1110" s="190">
        <f t="shared" ca="1" si="125"/>
        <v>9.9546328368786741E-2</v>
      </c>
      <c r="C1110" s="190">
        <f t="shared" ca="1" si="126"/>
        <v>5.6194911360378068E-2</v>
      </c>
      <c r="D1110" s="190">
        <f t="shared" ca="1" si="127"/>
        <v>3.4714352525213564E-2</v>
      </c>
      <c r="E1110" s="190">
        <f t="shared" ca="1" si="128"/>
        <v>-1.0323710744456425E-2</v>
      </c>
      <c r="F1110" s="189" t="b">
        <f t="shared" ca="1" si="129"/>
        <v>1</v>
      </c>
      <c r="G1110" s="188">
        <f ca="1">IF(F1110,IFERROR(((('Data Schema'!$C$3*(1+B1110)^1)*((1-$I$4-$I$5+E1110)*(1-$I$10)+$I$6-$I$11)-('Data Schema'!$C$3*(1+B1110)^1-'Data Schema'!$C$3)*$I$12)/(1+C1110)^1+(('Data Schema'!$C$3*(1+B1110)^2)*((1-$I$4-$I$5+E1110)*(1-$I$10)+$I$6-$I$11)-('Data Schema'!$C$3*(1+B1110)^2-'Data Schema'!$C$3*(1+B1110)^1)*$I$12)/(1+C1110)^2+(('Data Schema'!$C$3*(1+B1110)^3)*((1-$I$4-$I$5+E1110)*(1-$I$10)+$I$6-$I$11)-('Data Schema'!$C$3*(1+B1110)^3-'Data Schema'!$C$3*(1+B1110)^2)*$I$12)/(1+C1110)^3+(('Data Schema'!$C$3*(1+B1110)^4)*((1-$I$4-$I$5+E1110)*(1-$I$10)+$I$6-$I$11)-('Data Schema'!$C$3*(1+B1110)^4-'Data Schema'!$C$3*(1+B1110)^3)*$I$12)/(1+C1110)^4+(('Data Schema'!$C$3*(1+B1110)^5)*((1-$I$4-$I$5+E1110)*(1-$I$10)+$I$6-$I$11)-('Data Schema'!$C$3*(1+B1110)^5-'Data Schema'!$C$3*(1+B1110)^4)*$I$12)/(1+C1110)^5+((('Data Schema'!$C$3*(1+B1110)^5)*((1-$I$4-$I$5+E1110)*(1-$I$10)+$I$6-$I$11)-('Data Schema'!$C$3*(1+B1110)^5-'Data Schema'!$C$3*(1+B1110)^4)*$I$12)*(1+D1110)/(C1110-D1110))/(1+C1110)^5-'Data Schema'!$C$31+'Data Schema'!$C$21)/'Data Schema'!$B$17,0),"INVALID")</f>
        <v>94.527975360951103</v>
      </c>
      <c r="H1110" s="189" t="b">
        <f t="shared" ca="1" si="130"/>
        <v>1</v>
      </c>
      <c r="I1110" s="188">
        <f t="shared" ca="1" si="131"/>
        <v>94.527975360951103</v>
      </c>
      <c r="J1110" s="349">
        <f t="shared" ca="1" si="124"/>
        <v>94.527975360951103</v>
      </c>
    </row>
    <row r="1111" spans="1:10">
      <c r="A1111" s="184">
        <v>932</v>
      </c>
      <c r="B1111" s="190">
        <f t="shared" ca="1" si="125"/>
        <v>0.13816376622745782</v>
      </c>
      <c r="C1111" s="190">
        <f t="shared" ca="1" si="126"/>
        <v>5.261471311166778E-2</v>
      </c>
      <c r="D1111" s="190">
        <f t="shared" ca="1" si="127"/>
        <v>2.3533452122189553E-2</v>
      </c>
      <c r="E1111" s="190">
        <f t="shared" ca="1" si="128"/>
        <v>6.9308693939926849E-3</v>
      </c>
      <c r="F1111" s="189" t="b">
        <f t="shared" ca="1" si="129"/>
        <v>1</v>
      </c>
      <c r="G1111" s="188">
        <f ca="1">IF(F1111,IFERROR(((('Data Schema'!$C$3*(1+B1111)^1)*((1-$I$4-$I$5+E1111)*(1-$I$10)+$I$6-$I$11)-('Data Schema'!$C$3*(1+B1111)^1-'Data Schema'!$C$3)*$I$12)/(1+C1111)^1+(('Data Schema'!$C$3*(1+B1111)^2)*((1-$I$4-$I$5+E1111)*(1-$I$10)+$I$6-$I$11)-('Data Schema'!$C$3*(1+B1111)^2-'Data Schema'!$C$3*(1+B1111)^1)*$I$12)/(1+C1111)^2+(('Data Schema'!$C$3*(1+B1111)^3)*((1-$I$4-$I$5+E1111)*(1-$I$10)+$I$6-$I$11)-('Data Schema'!$C$3*(1+B1111)^3-'Data Schema'!$C$3*(1+B1111)^2)*$I$12)/(1+C1111)^3+(('Data Schema'!$C$3*(1+B1111)^4)*((1-$I$4-$I$5+E1111)*(1-$I$10)+$I$6-$I$11)-('Data Schema'!$C$3*(1+B1111)^4-'Data Schema'!$C$3*(1+B1111)^3)*$I$12)/(1+C1111)^4+(('Data Schema'!$C$3*(1+B1111)^5)*((1-$I$4-$I$5+E1111)*(1-$I$10)+$I$6-$I$11)-('Data Schema'!$C$3*(1+B1111)^5-'Data Schema'!$C$3*(1+B1111)^4)*$I$12)/(1+C1111)^5+((('Data Schema'!$C$3*(1+B1111)^5)*((1-$I$4-$I$5+E1111)*(1-$I$10)+$I$6-$I$11)-('Data Schema'!$C$3*(1+B1111)^5-'Data Schema'!$C$3*(1+B1111)^4)*$I$12)*(1+D1111)/(C1111-D1111))/(1+C1111)^5-'Data Schema'!$C$31+'Data Schema'!$C$21)/'Data Schema'!$B$17,0),"INVALID")</f>
        <v>148.77692539048149</v>
      </c>
      <c r="H1111" s="189" t="b">
        <f t="shared" ca="1" si="130"/>
        <v>1</v>
      </c>
      <c r="I1111" s="188">
        <f t="shared" ca="1" si="131"/>
        <v>148.77692539048149</v>
      </c>
      <c r="J1111" s="349">
        <f t="shared" ca="1" si="124"/>
        <v>148.77692539048149</v>
      </c>
    </row>
    <row r="1112" spans="1:10">
      <c r="A1112" s="185">
        <v>933</v>
      </c>
      <c r="B1112" s="190">
        <f t="shared" ca="1" si="125"/>
        <v>8.2171354660361448E-2</v>
      </c>
      <c r="C1112" s="190">
        <f t="shared" ca="1" si="126"/>
        <v>5.6503564810384543E-2</v>
      </c>
      <c r="D1112" s="190">
        <f t="shared" ca="1" si="127"/>
        <v>2.4677195939589169E-2</v>
      </c>
      <c r="E1112" s="190">
        <f t="shared" ca="1" si="128"/>
        <v>-8.7820364781299488E-3</v>
      </c>
      <c r="F1112" s="189" t="b">
        <f t="shared" ca="1" si="129"/>
        <v>1</v>
      </c>
      <c r="G1112" s="188">
        <f ca="1">IF(F1112,IFERROR(((('Data Schema'!$C$3*(1+B1112)^1)*((1-$I$4-$I$5+E1112)*(1-$I$10)+$I$6-$I$11)-('Data Schema'!$C$3*(1+B1112)^1-'Data Schema'!$C$3)*$I$12)/(1+C1112)^1+(('Data Schema'!$C$3*(1+B1112)^2)*((1-$I$4-$I$5+E1112)*(1-$I$10)+$I$6-$I$11)-('Data Schema'!$C$3*(1+B1112)^2-'Data Schema'!$C$3*(1+B1112)^1)*$I$12)/(1+C1112)^2+(('Data Schema'!$C$3*(1+B1112)^3)*((1-$I$4-$I$5+E1112)*(1-$I$10)+$I$6-$I$11)-('Data Schema'!$C$3*(1+B1112)^3-'Data Schema'!$C$3*(1+B1112)^2)*$I$12)/(1+C1112)^3+(('Data Schema'!$C$3*(1+B1112)^4)*((1-$I$4-$I$5+E1112)*(1-$I$10)+$I$6-$I$11)-('Data Schema'!$C$3*(1+B1112)^4-'Data Schema'!$C$3*(1+B1112)^3)*$I$12)/(1+C1112)^4+(('Data Schema'!$C$3*(1+B1112)^5)*((1-$I$4-$I$5+E1112)*(1-$I$10)+$I$6-$I$11)-('Data Schema'!$C$3*(1+B1112)^5-'Data Schema'!$C$3*(1+B1112)^4)*$I$12)/(1+C1112)^5+((('Data Schema'!$C$3*(1+B1112)^5)*((1-$I$4-$I$5+E1112)*(1-$I$10)+$I$6-$I$11)-('Data Schema'!$C$3*(1+B1112)^5-'Data Schema'!$C$3*(1+B1112)^4)*$I$12)*(1+D1112)/(C1112-D1112))/(1+C1112)^5-'Data Schema'!$C$31+'Data Schema'!$C$21)/'Data Schema'!$B$17,0),"INVALID")</f>
        <v>63.909001795926422</v>
      </c>
      <c r="H1112" s="189" t="b">
        <f t="shared" ca="1" si="130"/>
        <v>1</v>
      </c>
      <c r="I1112" s="188">
        <f t="shared" ca="1" si="131"/>
        <v>63.909001795926422</v>
      </c>
      <c r="J1112" s="349">
        <f t="shared" ca="1" si="124"/>
        <v>63.909001795926422</v>
      </c>
    </row>
    <row r="1113" spans="1:10">
      <c r="A1113" s="184">
        <v>934</v>
      </c>
      <c r="B1113" s="190">
        <f t="shared" ca="1" si="125"/>
        <v>8.835915591961524E-2</v>
      </c>
      <c r="C1113" s="190">
        <f t="shared" ca="1" si="126"/>
        <v>4.6163568284691842E-2</v>
      </c>
      <c r="D1113" s="190">
        <f t="shared" ca="1" si="127"/>
        <v>2.8858890713519877E-2</v>
      </c>
      <c r="E1113" s="190">
        <f t="shared" ca="1" si="128"/>
        <v>7.5839324940468692E-3</v>
      </c>
      <c r="F1113" s="189" t="b">
        <f t="shared" ca="1" si="129"/>
        <v>1</v>
      </c>
      <c r="G1113" s="188">
        <f ca="1">IF(F1113,IFERROR(((('Data Schema'!$C$3*(1+B1113)^1)*((1-$I$4-$I$5+E1113)*(1-$I$10)+$I$6-$I$11)-('Data Schema'!$C$3*(1+B1113)^1-'Data Schema'!$C$3)*$I$12)/(1+C1113)^1+(('Data Schema'!$C$3*(1+B1113)^2)*((1-$I$4-$I$5+E1113)*(1-$I$10)+$I$6-$I$11)-('Data Schema'!$C$3*(1+B1113)^2-'Data Schema'!$C$3*(1+B1113)^1)*$I$12)/(1+C1113)^2+(('Data Schema'!$C$3*(1+B1113)^3)*((1-$I$4-$I$5+E1113)*(1-$I$10)+$I$6-$I$11)-('Data Schema'!$C$3*(1+B1113)^3-'Data Schema'!$C$3*(1+B1113)^2)*$I$12)/(1+C1113)^3+(('Data Schema'!$C$3*(1+B1113)^4)*((1-$I$4-$I$5+E1113)*(1-$I$10)+$I$6-$I$11)-('Data Schema'!$C$3*(1+B1113)^4-'Data Schema'!$C$3*(1+B1113)^3)*$I$12)/(1+C1113)^4+(('Data Schema'!$C$3*(1+B1113)^5)*((1-$I$4-$I$5+E1113)*(1-$I$10)+$I$6-$I$11)-('Data Schema'!$C$3*(1+B1113)^5-'Data Schema'!$C$3*(1+B1113)^4)*$I$12)/(1+C1113)^5+((('Data Schema'!$C$3*(1+B1113)^5)*((1-$I$4-$I$5+E1113)*(1-$I$10)+$I$6-$I$11)-('Data Schema'!$C$3*(1+B1113)^5-'Data Schema'!$C$3*(1+B1113)^4)*$I$12)*(1+D1113)/(C1113-D1113))/(1+C1113)^5-'Data Schema'!$C$31+'Data Schema'!$C$21)/'Data Schema'!$B$17,0),"INVALID")</f>
        <v>210.36913290371177</v>
      </c>
      <c r="H1113" s="189" t="b">
        <f t="shared" ca="1" si="130"/>
        <v>1</v>
      </c>
      <c r="I1113" s="188">
        <f t="shared" ca="1" si="131"/>
        <v>210.36913290371177</v>
      </c>
      <c r="J1113" s="349">
        <f t="shared" ca="1" si="124"/>
        <v>210.36913290371177</v>
      </c>
    </row>
    <row r="1114" spans="1:10">
      <c r="A1114" s="185">
        <v>935</v>
      </c>
      <c r="B1114" s="190">
        <f t="shared" ca="1" si="125"/>
        <v>0.12068148298415823</v>
      </c>
      <c r="C1114" s="190">
        <f t="shared" ca="1" si="126"/>
        <v>6.1473647470738822E-2</v>
      </c>
      <c r="D1114" s="190">
        <f t="shared" ca="1" si="127"/>
        <v>2.5933205705510495E-2</v>
      </c>
      <c r="E1114" s="190">
        <f t="shared" ca="1" si="128"/>
        <v>-4.5952394797143916E-3</v>
      </c>
      <c r="F1114" s="189" t="b">
        <f t="shared" ca="1" si="129"/>
        <v>1</v>
      </c>
      <c r="G1114" s="188">
        <f ca="1">IF(F1114,IFERROR(((('Data Schema'!$C$3*(1+B1114)^1)*((1-$I$4-$I$5+E1114)*(1-$I$10)+$I$6-$I$11)-('Data Schema'!$C$3*(1+B1114)^1-'Data Schema'!$C$3)*$I$12)/(1+C1114)^1+(('Data Schema'!$C$3*(1+B1114)^2)*((1-$I$4-$I$5+E1114)*(1-$I$10)+$I$6-$I$11)-('Data Schema'!$C$3*(1+B1114)^2-'Data Schema'!$C$3*(1+B1114)^1)*$I$12)/(1+C1114)^2+(('Data Schema'!$C$3*(1+B1114)^3)*((1-$I$4-$I$5+E1114)*(1-$I$10)+$I$6-$I$11)-('Data Schema'!$C$3*(1+B1114)^3-'Data Schema'!$C$3*(1+B1114)^2)*$I$12)/(1+C1114)^3+(('Data Schema'!$C$3*(1+B1114)^4)*((1-$I$4-$I$5+E1114)*(1-$I$10)+$I$6-$I$11)-('Data Schema'!$C$3*(1+B1114)^4-'Data Schema'!$C$3*(1+B1114)^3)*$I$12)/(1+C1114)^4+(('Data Schema'!$C$3*(1+B1114)^5)*((1-$I$4-$I$5+E1114)*(1-$I$10)+$I$6-$I$11)-('Data Schema'!$C$3*(1+B1114)^5-'Data Schema'!$C$3*(1+B1114)^4)*$I$12)/(1+C1114)^5+((('Data Schema'!$C$3*(1+B1114)^5)*((1-$I$4-$I$5+E1114)*(1-$I$10)+$I$6-$I$11)-('Data Schema'!$C$3*(1+B1114)^5-'Data Schema'!$C$3*(1+B1114)^4)*$I$12)*(1+D1114)/(C1114-D1114))/(1+C1114)^5-'Data Schema'!$C$31+'Data Schema'!$C$21)/'Data Schema'!$B$17,0),"INVALID")</f>
        <v>77.214363421680048</v>
      </c>
      <c r="H1114" s="189" t="b">
        <f t="shared" ca="1" si="130"/>
        <v>1</v>
      </c>
      <c r="I1114" s="188">
        <f t="shared" ca="1" si="131"/>
        <v>77.214363421680048</v>
      </c>
      <c r="J1114" s="349">
        <f t="shared" ca="1" si="124"/>
        <v>77.214363421680048</v>
      </c>
    </row>
    <row r="1115" spans="1:10">
      <c r="A1115" s="184">
        <v>936</v>
      </c>
      <c r="B1115" s="190">
        <f t="shared" ca="1" si="125"/>
        <v>0.12893090754813688</v>
      </c>
      <c r="C1115" s="190">
        <f t="shared" ca="1" si="126"/>
        <v>7.7827033906456927E-2</v>
      </c>
      <c r="D1115" s="190">
        <f t="shared" ca="1" si="127"/>
        <v>2.2750022594434732E-2</v>
      </c>
      <c r="E1115" s="190">
        <f t="shared" ca="1" si="128"/>
        <v>-2.8927754154877607E-2</v>
      </c>
      <c r="F1115" s="189" t="b">
        <f t="shared" ca="1" si="129"/>
        <v>1</v>
      </c>
      <c r="G1115" s="188">
        <f ca="1">IF(F1115,IFERROR(((('Data Schema'!$C$3*(1+B1115)^1)*((1-$I$4-$I$5+E1115)*(1-$I$10)+$I$6-$I$11)-('Data Schema'!$C$3*(1+B1115)^1-'Data Schema'!$C$3)*$I$12)/(1+C1115)^1+(('Data Schema'!$C$3*(1+B1115)^2)*((1-$I$4-$I$5+E1115)*(1-$I$10)+$I$6-$I$11)-('Data Schema'!$C$3*(1+B1115)^2-'Data Schema'!$C$3*(1+B1115)^1)*$I$12)/(1+C1115)^2+(('Data Schema'!$C$3*(1+B1115)^3)*((1-$I$4-$I$5+E1115)*(1-$I$10)+$I$6-$I$11)-('Data Schema'!$C$3*(1+B1115)^3-'Data Schema'!$C$3*(1+B1115)^2)*$I$12)/(1+C1115)^3+(('Data Schema'!$C$3*(1+B1115)^4)*((1-$I$4-$I$5+E1115)*(1-$I$10)+$I$6-$I$11)-('Data Schema'!$C$3*(1+B1115)^4-'Data Schema'!$C$3*(1+B1115)^3)*$I$12)/(1+C1115)^4+(('Data Schema'!$C$3*(1+B1115)^5)*((1-$I$4-$I$5+E1115)*(1-$I$10)+$I$6-$I$11)-('Data Schema'!$C$3*(1+B1115)^5-'Data Schema'!$C$3*(1+B1115)^4)*$I$12)/(1+C1115)^5+((('Data Schema'!$C$3*(1+B1115)^5)*((1-$I$4-$I$5+E1115)*(1-$I$10)+$I$6-$I$11)-('Data Schema'!$C$3*(1+B1115)^5-'Data Schema'!$C$3*(1+B1115)^4)*$I$12)*(1+D1115)/(C1115-D1115))/(1+C1115)^5-'Data Schema'!$C$31+'Data Schema'!$C$21)/'Data Schema'!$B$17,0),"INVALID")</f>
        <v>1.4525622541252212</v>
      </c>
      <c r="H1115" s="189" t="b">
        <f t="shared" ca="1" si="130"/>
        <v>0</v>
      </c>
      <c r="I1115" s="188" t="str">
        <f t="shared" ca="1" si="131"/>
        <v/>
      </c>
      <c r="J1115" s="349" t="str">
        <f t="shared" ca="1" si="124"/>
        <v/>
      </c>
    </row>
    <row r="1116" spans="1:10">
      <c r="A1116" s="185">
        <v>937</v>
      </c>
      <c r="B1116" s="190">
        <f t="shared" ca="1" si="125"/>
        <v>9.0205120776506401E-2</v>
      </c>
      <c r="C1116" s="190">
        <f t="shared" ca="1" si="126"/>
        <v>6.1447915137763931E-2</v>
      </c>
      <c r="D1116" s="190">
        <f t="shared" ca="1" si="127"/>
        <v>1.9751647627653818E-2</v>
      </c>
      <c r="E1116" s="190">
        <f t="shared" ca="1" si="128"/>
        <v>-1.1200228889247984E-2</v>
      </c>
      <c r="F1116" s="189" t="b">
        <f t="shared" ca="1" si="129"/>
        <v>1</v>
      </c>
      <c r="G1116" s="188">
        <f ca="1">IF(F1116,IFERROR(((('Data Schema'!$C$3*(1+B1116)^1)*((1-$I$4-$I$5+E1116)*(1-$I$10)+$I$6-$I$11)-('Data Schema'!$C$3*(1+B1116)^1-'Data Schema'!$C$3)*$I$12)/(1+C1116)^1+(('Data Schema'!$C$3*(1+B1116)^2)*((1-$I$4-$I$5+E1116)*(1-$I$10)+$I$6-$I$11)-('Data Schema'!$C$3*(1+B1116)^2-'Data Schema'!$C$3*(1+B1116)^1)*$I$12)/(1+C1116)^2+(('Data Schema'!$C$3*(1+B1116)^3)*((1-$I$4-$I$5+E1116)*(1-$I$10)+$I$6-$I$11)-('Data Schema'!$C$3*(1+B1116)^3-'Data Schema'!$C$3*(1+B1116)^2)*$I$12)/(1+C1116)^3+(('Data Schema'!$C$3*(1+B1116)^4)*((1-$I$4-$I$5+E1116)*(1-$I$10)+$I$6-$I$11)-('Data Schema'!$C$3*(1+B1116)^4-'Data Schema'!$C$3*(1+B1116)^3)*$I$12)/(1+C1116)^4+(('Data Schema'!$C$3*(1+B1116)^5)*((1-$I$4-$I$5+E1116)*(1-$I$10)+$I$6-$I$11)-('Data Schema'!$C$3*(1+B1116)^5-'Data Schema'!$C$3*(1+B1116)^4)*$I$12)/(1+C1116)^5+((('Data Schema'!$C$3*(1+B1116)^5)*((1-$I$4-$I$5+E1116)*(1-$I$10)+$I$6-$I$11)-('Data Schema'!$C$3*(1+B1116)^5-'Data Schema'!$C$3*(1+B1116)^4)*$I$12)*(1+D1116)/(C1116-D1116))/(1+C1116)^5-'Data Schema'!$C$31+'Data Schema'!$C$21)/'Data Schema'!$B$17,0),"INVALID")</f>
        <v>43.992701166886249</v>
      </c>
      <c r="H1116" s="189" t="b">
        <f t="shared" ca="1" si="130"/>
        <v>1</v>
      </c>
      <c r="I1116" s="188">
        <f t="shared" ca="1" si="131"/>
        <v>43.992701166886249</v>
      </c>
      <c r="J1116" s="349">
        <f t="shared" ca="1" si="124"/>
        <v>43.992701166886249</v>
      </c>
    </row>
    <row r="1117" spans="1:10">
      <c r="A1117" s="184">
        <v>938</v>
      </c>
      <c r="B1117" s="190">
        <f t="shared" ca="1" si="125"/>
        <v>6.7980067846322961E-2</v>
      </c>
      <c r="C1117" s="190">
        <f t="shared" ca="1" si="126"/>
        <v>6.9254178619642046E-2</v>
      </c>
      <c r="D1117" s="190">
        <f t="shared" ca="1" si="127"/>
        <v>2.091985896356956E-2</v>
      </c>
      <c r="E1117" s="190">
        <f t="shared" ca="1" si="128"/>
        <v>-7.7638930545588991E-3</v>
      </c>
      <c r="F1117" s="189" t="b">
        <f t="shared" ca="1" si="129"/>
        <v>1</v>
      </c>
      <c r="G1117" s="188">
        <f ca="1">IF(F1117,IFERROR(((('Data Schema'!$C$3*(1+B1117)^1)*((1-$I$4-$I$5+E1117)*(1-$I$10)+$I$6-$I$11)-('Data Schema'!$C$3*(1+B1117)^1-'Data Schema'!$C$3)*$I$12)/(1+C1117)^1+(('Data Schema'!$C$3*(1+B1117)^2)*((1-$I$4-$I$5+E1117)*(1-$I$10)+$I$6-$I$11)-('Data Schema'!$C$3*(1+B1117)^2-'Data Schema'!$C$3*(1+B1117)^1)*$I$12)/(1+C1117)^2+(('Data Schema'!$C$3*(1+B1117)^3)*((1-$I$4-$I$5+E1117)*(1-$I$10)+$I$6-$I$11)-('Data Schema'!$C$3*(1+B1117)^3-'Data Schema'!$C$3*(1+B1117)^2)*$I$12)/(1+C1117)^3+(('Data Schema'!$C$3*(1+B1117)^4)*((1-$I$4-$I$5+E1117)*(1-$I$10)+$I$6-$I$11)-('Data Schema'!$C$3*(1+B1117)^4-'Data Schema'!$C$3*(1+B1117)^3)*$I$12)/(1+C1117)^4+(('Data Schema'!$C$3*(1+B1117)^5)*((1-$I$4-$I$5+E1117)*(1-$I$10)+$I$6-$I$11)-('Data Schema'!$C$3*(1+B1117)^5-'Data Schema'!$C$3*(1+B1117)^4)*$I$12)/(1+C1117)^5+((('Data Schema'!$C$3*(1+B1117)^5)*((1-$I$4-$I$5+E1117)*(1-$I$10)+$I$6-$I$11)-('Data Schema'!$C$3*(1+B1117)^5-'Data Schema'!$C$3*(1+B1117)^4)*$I$12)*(1+D1117)/(C1117-D1117))/(1+C1117)^5-'Data Schema'!$C$31+'Data Schema'!$C$21)/'Data Schema'!$B$17,0),"INVALID")</f>
        <v>39.519561963811313</v>
      </c>
      <c r="H1117" s="189" t="b">
        <f t="shared" ca="1" si="130"/>
        <v>1</v>
      </c>
      <c r="I1117" s="188">
        <f t="shared" ca="1" si="131"/>
        <v>39.519561963811313</v>
      </c>
      <c r="J1117" s="349">
        <f t="shared" ca="1" si="124"/>
        <v>39.519561963811313</v>
      </c>
    </row>
    <row r="1118" spans="1:10">
      <c r="A1118" s="185">
        <v>939</v>
      </c>
      <c r="B1118" s="190">
        <f t="shared" ca="1" si="125"/>
        <v>6.2958526417819655E-2</v>
      </c>
      <c r="C1118" s="190">
        <f t="shared" ca="1" si="126"/>
        <v>6.6287397944457052E-2</v>
      </c>
      <c r="D1118" s="190">
        <f t="shared" ca="1" si="127"/>
        <v>2.2028119195781657E-2</v>
      </c>
      <c r="E1118" s="190">
        <f t="shared" ca="1" si="128"/>
        <v>4.4733095107732761E-2</v>
      </c>
      <c r="F1118" s="189" t="b">
        <f t="shared" ca="1" si="129"/>
        <v>1</v>
      </c>
      <c r="G1118" s="188">
        <f ca="1">IF(F1118,IFERROR(((('Data Schema'!$C$3*(1+B1118)^1)*((1-$I$4-$I$5+E1118)*(1-$I$10)+$I$6-$I$11)-('Data Schema'!$C$3*(1+B1118)^1-'Data Schema'!$C$3)*$I$12)/(1+C1118)^1+(('Data Schema'!$C$3*(1+B1118)^2)*((1-$I$4-$I$5+E1118)*(1-$I$10)+$I$6-$I$11)-('Data Schema'!$C$3*(1+B1118)^2-'Data Schema'!$C$3*(1+B1118)^1)*$I$12)/(1+C1118)^2+(('Data Schema'!$C$3*(1+B1118)^3)*((1-$I$4-$I$5+E1118)*(1-$I$10)+$I$6-$I$11)-('Data Schema'!$C$3*(1+B1118)^3-'Data Schema'!$C$3*(1+B1118)^2)*$I$12)/(1+C1118)^3+(('Data Schema'!$C$3*(1+B1118)^4)*((1-$I$4-$I$5+E1118)*(1-$I$10)+$I$6-$I$11)-('Data Schema'!$C$3*(1+B1118)^4-'Data Schema'!$C$3*(1+B1118)^3)*$I$12)/(1+C1118)^4+(('Data Schema'!$C$3*(1+B1118)^5)*((1-$I$4-$I$5+E1118)*(1-$I$10)+$I$6-$I$11)-('Data Schema'!$C$3*(1+B1118)^5-'Data Schema'!$C$3*(1+B1118)^4)*$I$12)/(1+C1118)^5+((('Data Schema'!$C$3*(1+B1118)^5)*((1-$I$4-$I$5+E1118)*(1-$I$10)+$I$6-$I$11)-('Data Schema'!$C$3*(1+B1118)^5-'Data Schema'!$C$3*(1+B1118)^4)*$I$12)*(1+D1118)/(C1118-D1118))/(1+C1118)^5-'Data Schema'!$C$31+'Data Schema'!$C$21)/'Data Schema'!$B$17,0),"INVALID")</f>
        <v>139.71016245560588</v>
      </c>
      <c r="H1118" s="189" t="b">
        <f t="shared" ca="1" si="130"/>
        <v>1</v>
      </c>
      <c r="I1118" s="188">
        <f t="shared" ca="1" si="131"/>
        <v>139.71016245560588</v>
      </c>
      <c r="J1118" s="349">
        <f t="shared" ca="1" si="124"/>
        <v>139.71016245560588</v>
      </c>
    </row>
    <row r="1119" spans="1:10">
      <c r="A1119" s="184">
        <v>940</v>
      </c>
      <c r="B1119" s="190">
        <f t="shared" ca="1" si="125"/>
        <v>0.1012411072737118</v>
      </c>
      <c r="C1119" s="190">
        <f t="shared" ca="1" si="126"/>
        <v>5.8659841466789847E-2</v>
      </c>
      <c r="D1119" s="190">
        <f t="shared" ca="1" si="127"/>
        <v>2.3147347368294949E-2</v>
      </c>
      <c r="E1119" s="190">
        <f t="shared" ca="1" si="128"/>
        <v>-2.2618572272326568E-2</v>
      </c>
      <c r="F1119" s="189" t="b">
        <f t="shared" ca="1" si="129"/>
        <v>1</v>
      </c>
      <c r="G1119" s="188">
        <f ca="1">IF(F1119,IFERROR(((('Data Schema'!$C$3*(1+B1119)^1)*((1-$I$4-$I$5+E1119)*(1-$I$10)+$I$6-$I$11)-('Data Schema'!$C$3*(1+B1119)^1-'Data Schema'!$C$3)*$I$12)/(1+C1119)^1+(('Data Schema'!$C$3*(1+B1119)^2)*((1-$I$4-$I$5+E1119)*(1-$I$10)+$I$6-$I$11)-('Data Schema'!$C$3*(1+B1119)^2-'Data Schema'!$C$3*(1+B1119)^1)*$I$12)/(1+C1119)^2+(('Data Schema'!$C$3*(1+B1119)^3)*((1-$I$4-$I$5+E1119)*(1-$I$10)+$I$6-$I$11)-('Data Schema'!$C$3*(1+B1119)^3-'Data Schema'!$C$3*(1+B1119)^2)*$I$12)/(1+C1119)^3+(('Data Schema'!$C$3*(1+B1119)^4)*((1-$I$4-$I$5+E1119)*(1-$I$10)+$I$6-$I$11)-('Data Schema'!$C$3*(1+B1119)^4-'Data Schema'!$C$3*(1+B1119)^3)*$I$12)/(1+C1119)^4+(('Data Schema'!$C$3*(1+B1119)^5)*((1-$I$4-$I$5+E1119)*(1-$I$10)+$I$6-$I$11)-('Data Schema'!$C$3*(1+B1119)^5-'Data Schema'!$C$3*(1+B1119)^4)*$I$12)/(1+C1119)^5+((('Data Schema'!$C$3*(1+B1119)^5)*((1-$I$4-$I$5+E1119)*(1-$I$10)+$I$6-$I$11)-('Data Schema'!$C$3*(1+B1119)^5-'Data Schema'!$C$3*(1+B1119)^4)*$I$12)*(1+D1119)/(C1119-D1119))/(1+C1119)^5-'Data Schema'!$C$31+'Data Schema'!$C$21)/'Data Schema'!$B$17,0),"INVALID")</f>
        <v>23.558506853163635</v>
      </c>
      <c r="H1119" s="189" t="b">
        <f t="shared" ca="1" si="130"/>
        <v>1</v>
      </c>
      <c r="I1119" s="188">
        <f t="shared" ca="1" si="131"/>
        <v>23.558506853163635</v>
      </c>
      <c r="J1119" s="349" t="str">
        <f t="shared" ca="1" si="124"/>
        <v/>
      </c>
    </row>
    <row r="1120" spans="1:10">
      <c r="A1120" s="185">
        <v>941</v>
      </c>
      <c r="B1120" s="190">
        <f t="shared" ca="1" si="125"/>
        <v>9.5189732961288173E-2</v>
      </c>
      <c r="C1120" s="190">
        <f t="shared" ca="1" si="126"/>
        <v>5.6892444735633915E-2</v>
      </c>
      <c r="D1120" s="190">
        <f t="shared" ca="1" si="127"/>
        <v>3.3160880045105978E-2</v>
      </c>
      <c r="E1120" s="190">
        <f t="shared" ca="1" si="128"/>
        <v>-8.7162673266625145E-3</v>
      </c>
      <c r="F1120" s="189" t="b">
        <f t="shared" ca="1" si="129"/>
        <v>1</v>
      </c>
      <c r="G1120" s="188">
        <f ca="1">IF(F1120,IFERROR(((('Data Schema'!$C$3*(1+B1120)^1)*((1-$I$4-$I$5+E1120)*(1-$I$10)+$I$6-$I$11)-('Data Schema'!$C$3*(1+B1120)^1-'Data Schema'!$C$3)*$I$12)/(1+C1120)^1+(('Data Schema'!$C$3*(1+B1120)^2)*((1-$I$4-$I$5+E1120)*(1-$I$10)+$I$6-$I$11)-('Data Schema'!$C$3*(1+B1120)^2-'Data Schema'!$C$3*(1+B1120)^1)*$I$12)/(1+C1120)^2+(('Data Schema'!$C$3*(1+B1120)^3)*((1-$I$4-$I$5+E1120)*(1-$I$10)+$I$6-$I$11)-('Data Schema'!$C$3*(1+B1120)^3-'Data Schema'!$C$3*(1+B1120)^2)*$I$12)/(1+C1120)^3+(('Data Schema'!$C$3*(1+B1120)^4)*((1-$I$4-$I$5+E1120)*(1-$I$10)+$I$6-$I$11)-('Data Schema'!$C$3*(1+B1120)^4-'Data Schema'!$C$3*(1+B1120)^3)*$I$12)/(1+C1120)^4+(('Data Schema'!$C$3*(1+B1120)^5)*((1-$I$4-$I$5+E1120)*(1-$I$10)+$I$6-$I$11)-('Data Schema'!$C$3*(1+B1120)^5-'Data Schema'!$C$3*(1+B1120)^4)*$I$12)/(1+C1120)^5+((('Data Schema'!$C$3*(1+B1120)^5)*((1-$I$4-$I$5+E1120)*(1-$I$10)+$I$6-$I$11)-('Data Schema'!$C$3*(1+B1120)^5-'Data Schema'!$C$3*(1+B1120)^4)*$I$12)*(1+D1120)/(C1120-D1120))/(1+C1120)^5-'Data Schema'!$C$31+'Data Schema'!$C$21)/'Data Schema'!$B$17,0),"INVALID")</f>
        <v>90.112515966247159</v>
      </c>
      <c r="H1120" s="189" t="b">
        <f t="shared" ca="1" si="130"/>
        <v>1</v>
      </c>
      <c r="I1120" s="188">
        <f t="shared" ca="1" si="131"/>
        <v>90.112515966247159</v>
      </c>
      <c r="J1120" s="349">
        <f t="shared" ca="1" si="124"/>
        <v>90.112515966247159</v>
      </c>
    </row>
    <row r="1121" spans="1:10">
      <c r="A1121" s="184">
        <v>942</v>
      </c>
      <c r="B1121" s="190">
        <f t="shared" ca="1" si="125"/>
        <v>5.8933737318552191E-2</v>
      </c>
      <c r="C1121" s="190">
        <f t="shared" ca="1" si="126"/>
        <v>6.0285651348403559E-2</v>
      </c>
      <c r="D1121" s="190">
        <f t="shared" ca="1" si="127"/>
        <v>1.7087437921574418E-2</v>
      </c>
      <c r="E1121" s="190">
        <f t="shared" ca="1" si="128"/>
        <v>3.9770079717332985E-2</v>
      </c>
      <c r="F1121" s="189" t="b">
        <f t="shared" ca="1" si="129"/>
        <v>1</v>
      </c>
      <c r="G1121" s="188">
        <f ca="1">IF(F1121,IFERROR(((('Data Schema'!$C$3*(1+B1121)^1)*((1-$I$4-$I$5+E1121)*(1-$I$10)+$I$6-$I$11)-('Data Schema'!$C$3*(1+B1121)^1-'Data Schema'!$C$3)*$I$12)/(1+C1121)^1+(('Data Schema'!$C$3*(1+B1121)^2)*((1-$I$4-$I$5+E1121)*(1-$I$10)+$I$6-$I$11)-('Data Schema'!$C$3*(1+B1121)^2-'Data Schema'!$C$3*(1+B1121)^1)*$I$12)/(1+C1121)^2+(('Data Schema'!$C$3*(1+B1121)^3)*((1-$I$4-$I$5+E1121)*(1-$I$10)+$I$6-$I$11)-('Data Schema'!$C$3*(1+B1121)^3-'Data Schema'!$C$3*(1+B1121)^2)*$I$12)/(1+C1121)^3+(('Data Schema'!$C$3*(1+B1121)^4)*((1-$I$4-$I$5+E1121)*(1-$I$10)+$I$6-$I$11)-('Data Schema'!$C$3*(1+B1121)^4-'Data Schema'!$C$3*(1+B1121)^3)*$I$12)/(1+C1121)^4+(('Data Schema'!$C$3*(1+B1121)^5)*((1-$I$4-$I$5+E1121)*(1-$I$10)+$I$6-$I$11)-('Data Schema'!$C$3*(1+B1121)^5-'Data Schema'!$C$3*(1+B1121)^4)*$I$12)/(1+C1121)^5+((('Data Schema'!$C$3*(1+B1121)^5)*((1-$I$4-$I$5+E1121)*(1-$I$10)+$I$6-$I$11)-('Data Schema'!$C$3*(1+B1121)^5-'Data Schema'!$C$3*(1+B1121)^4)*$I$12)*(1+D1121)/(C1121-D1121))/(1+C1121)^5-'Data Schema'!$C$31+'Data Schema'!$C$21)/'Data Schema'!$B$17,0),"INVALID")</f>
        <v>134.15148772606784</v>
      </c>
      <c r="H1121" s="189" t="b">
        <f t="shared" ca="1" si="130"/>
        <v>1</v>
      </c>
      <c r="I1121" s="188">
        <f t="shared" ca="1" si="131"/>
        <v>134.15148772606784</v>
      </c>
      <c r="J1121" s="349">
        <f t="shared" ca="1" si="124"/>
        <v>134.15148772606784</v>
      </c>
    </row>
    <row r="1122" spans="1:10">
      <c r="A1122" s="185">
        <v>943</v>
      </c>
      <c r="B1122" s="190">
        <f t="shared" ca="1" si="125"/>
        <v>8.8351731611709103E-2</v>
      </c>
      <c r="C1122" s="190">
        <f t="shared" ca="1" si="126"/>
        <v>5.6498264704260476E-2</v>
      </c>
      <c r="D1122" s="190">
        <f t="shared" ca="1" si="127"/>
        <v>3.8070699741600822E-2</v>
      </c>
      <c r="E1122" s="190">
        <f t="shared" ca="1" si="128"/>
        <v>-6.2422783395235252E-3</v>
      </c>
      <c r="F1122" s="189" t="b">
        <f t="shared" ca="1" si="129"/>
        <v>1</v>
      </c>
      <c r="G1122" s="188">
        <f ca="1">IF(F1122,IFERROR(((('Data Schema'!$C$3*(1+B1122)^1)*((1-$I$4-$I$5+E1122)*(1-$I$10)+$I$6-$I$11)-('Data Schema'!$C$3*(1+B1122)^1-'Data Schema'!$C$3)*$I$12)/(1+C1122)^1+(('Data Schema'!$C$3*(1+B1122)^2)*((1-$I$4-$I$5+E1122)*(1-$I$10)+$I$6-$I$11)-('Data Schema'!$C$3*(1+B1122)^2-'Data Schema'!$C$3*(1+B1122)^1)*$I$12)/(1+C1122)^2+(('Data Schema'!$C$3*(1+B1122)^3)*((1-$I$4-$I$5+E1122)*(1-$I$10)+$I$6-$I$11)-('Data Schema'!$C$3*(1+B1122)^3-'Data Schema'!$C$3*(1+B1122)^2)*$I$12)/(1+C1122)^3+(('Data Schema'!$C$3*(1+B1122)^4)*((1-$I$4-$I$5+E1122)*(1-$I$10)+$I$6-$I$11)-('Data Schema'!$C$3*(1+B1122)^4-'Data Schema'!$C$3*(1+B1122)^3)*$I$12)/(1+C1122)^4+(('Data Schema'!$C$3*(1+B1122)^5)*((1-$I$4-$I$5+E1122)*(1-$I$10)+$I$6-$I$11)-('Data Schema'!$C$3*(1+B1122)^5-'Data Schema'!$C$3*(1+B1122)^4)*$I$12)/(1+C1122)^5+((('Data Schema'!$C$3*(1+B1122)^5)*((1-$I$4-$I$5+E1122)*(1-$I$10)+$I$6-$I$11)-('Data Schema'!$C$3*(1+B1122)^5-'Data Schema'!$C$3*(1+B1122)^4)*$I$12)*(1+D1122)/(C1122-D1122))/(1+C1122)^5-'Data Schema'!$C$31+'Data Schema'!$C$21)/'Data Schema'!$B$17,0),"INVALID")</f>
        <v>124.84637904359322</v>
      </c>
      <c r="H1122" s="189" t="b">
        <f t="shared" ca="1" si="130"/>
        <v>1</v>
      </c>
      <c r="I1122" s="188">
        <f t="shared" ca="1" si="131"/>
        <v>124.84637904359322</v>
      </c>
      <c r="J1122" s="349">
        <f t="shared" ca="1" si="124"/>
        <v>124.84637904359322</v>
      </c>
    </row>
    <row r="1123" spans="1:10">
      <c r="A1123" s="184">
        <v>944</v>
      </c>
      <c r="B1123" s="190">
        <f t="shared" ca="1" si="125"/>
        <v>0.13943842372222104</v>
      </c>
      <c r="C1123" s="190">
        <f t="shared" ca="1" si="126"/>
        <v>7.1214763182491675E-2</v>
      </c>
      <c r="D1123" s="190">
        <f t="shared" ca="1" si="127"/>
        <v>2.6719255046980864E-2</v>
      </c>
      <c r="E1123" s="190">
        <f t="shared" ca="1" si="128"/>
        <v>-2.3251773658451547E-2</v>
      </c>
      <c r="F1123" s="189" t="b">
        <f t="shared" ca="1" si="129"/>
        <v>1</v>
      </c>
      <c r="G1123" s="188">
        <f ca="1">IF(F1123,IFERROR(((('Data Schema'!$C$3*(1+B1123)^1)*((1-$I$4-$I$5+E1123)*(1-$I$10)+$I$6-$I$11)-('Data Schema'!$C$3*(1+B1123)^1-'Data Schema'!$C$3)*$I$12)/(1+C1123)^1+(('Data Schema'!$C$3*(1+B1123)^2)*((1-$I$4-$I$5+E1123)*(1-$I$10)+$I$6-$I$11)-('Data Schema'!$C$3*(1+B1123)^2-'Data Schema'!$C$3*(1+B1123)^1)*$I$12)/(1+C1123)^2+(('Data Schema'!$C$3*(1+B1123)^3)*((1-$I$4-$I$5+E1123)*(1-$I$10)+$I$6-$I$11)-('Data Schema'!$C$3*(1+B1123)^3-'Data Schema'!$C$3*(1+B1123)^2)*$I$12)/(1+C1123)^3+(('Data Schema'!$C$3*(1+B1123)^4)*((1-$I$4-$I$5+E1123)*(1-$I$10)+$I$6-$I$11)-('Data Schema'!$C$3*(1+B1123)^4-'Data Schema'!$C$3*(1+B1123)^3)*$I$12)/(1+C1123)^4+(('Data Schema'!$C$3*(1+B1123)^5)*((1-$I$4-$I$5+E1123)*(1-$I$10)+$I$6-$I$11)-('Data Schema'!$C$3*(1+B1123)^5-'Data Schema'!$C$3*(1+B1123)^4)*$I$12)/(1+C1123)^5+((('Data Schema'!$C$3*(1+B1123)^5)*((1-$I$4-$I$5+E1123)*(1-$I$10)+$I$6-$I$11)-('Data Schema'!$C$3*(1+B1123)^5-'Data Schema'!$C$3*(1+B1123)^4)*$I$12)*(1+D1123)/(C1123-D1123))/(1+C1123)^5-'Data Schema'!$C$31+'Data Schema'!$C$21)/'Data Schema'!$B$17,0),"INVALID")</f>
        <v>17.496358626556962</v>
      </c>
      <c r="H1123" s="189" t="b">
        <f t="shared" ca="1" si="130"/>
        <v>1</v>
      </c>
      <c r="I1123" s="188">
        <f t="shared" ca="1" si="131"/>
        <v>17.496358626556962</v>
      </c>
      <c r="J1123" s="349" t="str">
        <f t="shared" ca="1" si="124"/>
        <v/>
      </c>
    </row>
    <row r="1124" spans="1:10">
      <c r="A1124" s="185">
        <v>945</v>
      </c>
      <c r="B1124" s="190">
        <f t="shared" ca="1" si="125"/>
        <v>0.10987453219862946</v>
      </c>
      <c r="C1124" s="190">
        <f t="shared" ca="1" si="126"/>
        <v>4.7077110652010673E-2</v>
      </c>
      <c r="D1124" s="190">
        <f t="shared" ca="1" si="127"/>
        <v>3.3667644971781971E-2</v>
      </c>
      <c r="E1124" s="190">
        <f t="shared" ca="1" si="128"/>
        <v>3.3894641676230852E-2</v>
      </c>
      <c r="F1124" s="189" t="b">
        <f t="shared" ca="1" si="129"/>
        <v>0</v>
      </c>
      <c r="G1124" s="188" t="str">
        <f ca="1">IF(F1124,IFERROR(((('Data Schema'!$C$3*(1+B1124)^1)*((1-$I$4-$I$5+E1124)*(1-$I$10)+$I$6-$I$11)-('Data Schema'!$C$3*(1+B1124)^1-'Data Schema'!$C$3)*$I$12)/(1+C1124)^1+(('Data Schema'!$C$3*(1+B1124)^2)*((1-$I$4-$I$5+E1124)*(1-$I$10)+$I$6-$I$11)-('Data Schema'!$C$3*(1+B1124)^2-'Data Schema'!$C$3*(1+B1124)^1)*$I$12)/(1+C1124)^2+(('Data Schema'!$C$3*(1+B1124)^3)*((1-$I$4-$I$5+E1124)*(1-$I$10)+$I$6-$I$11)-('Data Schema'!$C$3*(1+B1124)^3-'Data Schema'!$C$3*(1+B1124)^2)*$I$12)/(1+C1124)^3+(('Data Schema'!$C$3*(1+B1124)^4)*((1-$I$4-$I$5+E1124)*(1-$I$10)+$I$6-$I$11)-('Data Schema'!$C$3*(1+B1124)^4-'Data Schema'!$C$3*(1+B1124)^3)*$I$12)/(1+C1124)^4+(('Data Schema'!$C$3*(1+B1124)^5)*((1-$I$4-$I$5+E1124)*(1-$I$10)+$I$6-$I$11)-('Data Schema'!$C$3*(1+B1124)^5-'Data Schema'!$C$3*(1+B1124)^4)*$I$12)/(1+C1124)^5+((('Data Schema'!$C$3*(1+B1124)^5)*((1-$I$4-$I$5+E1124)*(1-$I$10)+$I$6-$I$11)-('Data Schema'!$C$3*(1+B1124)^5-'Data Schema'!$C$3*(1+B1124)^4)*$I$12)*(1+D1124)/(C1124-D1124))/(1+C1124)^5-'Data Schema'!$C$31+'Data Schema'!$C$21)/'Data Schema'!$B$17,0),"INVALID")</f>
        <v>INVALID</v>
      </c>
      <c r="H1124" s="189" t="b">
        <f t="shared" ca="1" si="130"/>
        <v>0</v>
      </c>
      <c r="I1124" s="188" t="str">
        <f t="shared" ca="1" si="131"/>
        <v/>
      </c>
      <c r="J1124" s="349" t="str">
        <f t="shared" ca="1" si="124"/>
        <v/>
      </c>
    </row>
    <row r="1125" spans="1:10">
      <c r="A1125" s="184">
        <v>946</v>
      </c>
      <c r="B1125" s="190">
        <f t="shared" ca="1" si="125"/>
        <v>0.13372320463867468</v>
      </c>
      <c r="C1125" s="190">
        <f t="shared" ca="1" si="126"/>
        <v>4.2637148294598151E-2</v>
      </c>
      <c r="D1125" s="190">
        <f t="shared" ca="1" si="127"/>
        <v>3.408069556604585E-2</v>
      </c>
      <c r="E1125" s="190">
        <f t="shared" ca="1" si="128"/>
        <v>2.1234290987853153E-2</v>
      </c>
      <c r="F1125" s="189" t="b">
        <f t="shared" ca="1" si="129"/>
        <v>0</v>
      </c>
      <c r="G1125" s="188" t="str">
        <f ca="1">IF(F1125,IFERROR(((('Data Schema'!$C$3*(1+B1125)^1)*((1-$I$4-$I$5+E1125)*(1-$I$10)+$I$6-$I$11)-('Data Schema'!$C$3*(1+B1125)^1-'Data Schema'!$C$3)*$I$12)/(1+C1125)^1+(('Data Schema'!$C$3*(1+B1125)^2)*((1-$I$4-$I$5+E1125)*(1-$I$10)+$I$6-$I$11)-('Data Schema'!$C$3*(1+B1125)^2-'Data Schema'!$C$3*(1+B1125)^1)*$I$12)/(1+C1125)^2+(('Data Schema'!$C$3*(1+B1125)^3)*((1-$I$4-$I$5+E1125)*(1-$I$10)+$I$6-$I$11)-('Data Schema'!$C$3*(1+B1125)^3-'Data Schema'!$C$3*(1+B1125)^2)*$I$12)/(1+C1125)^3+(('Data Schema'!$C$3*(1+B1125)^4)*((1-$I$4-$I$5+E1125)*(1-$I$10)+$I$6-$I$11)-('Data Schema'!$C$3*(1+B1125)^4-'Data Schema'!$C$3*(1+B1125)^3)*$I$12)/(1+C1125)^4+(('Data Schema'!$C$3*(1+B1125)^5)*((1-$I$4-$I$5+E1125)*(1-$I$10)+$I$6-$I$11)-('Data Schema'!$C$3*(1+B1125)^5-'Data Schema'!$C$3*(1+B1125)^4)*$I$12)/(1+C1125)^5+((('Data Schema'!$C$3*(1+B1125)^5)*((1-$I$4-$I$5+E1125)*(1-$I$10)+$I$6-$I$11)-('Data Schema'!$C$3*(1+B1125)^5-'Data Schema'!$C$3*(1+B1125)^4)*$I$12)*(1+D1125)/(C1125-D1125))/(1+C1125)^5-'Data Schema'!$C$31+'Data Schema'!$C$21)/'Data Schema'!$B$17,0),"INVALID")</f>
        <v>INVALID</v>
      </c>
      <c r="H1125" s="189" t="b">
        <f t="shared" ca="1" si="130"/>
        <v>0</v>
      </c>
      <c r="I1125" s="188" t="str">
        <f t="shared" ca="1" si="131"/>
        <v/>
      </c>
      <c r="J1125" s="349" t="str">
        <f t="shared" ca="1" si="124"/>
        <v/>
      </c>
    </row>
    <row r="1126" spans="1:10">
      <c r="A1126" s="185">
        <v>947</v>
      </c>
      <c r="B1126" s="190">
        <f t="shared" ca="1" si="125"/>
        <v>9.3715889799344726E-2</v>
      </c>
      <c r="C1126" s="190">
        <f t="shared" ca="1" si="126"/>
        <v>6.5592200152470095E-2</v>
      </c>
      <c r="D1126" s="190">
        <f t="shared" ca="1" si="127"/>
        <v>2.4365116976299742E-2</v>
      </c>
      <c r="E1126" s="190">
        <f t="shared" ca="1" si="128"/>
        <v>-3.4707136552829199E-2</v>
      </c>
      <c r="F1126" s="189" t="b">
        <f t="shared" ca="1" si="129"/>
        <v>1</v>
      </c>
      <c r="G1126" s="188">
        <f ca="1">IF(F1126,IFERROR(((('Data Schema'!$C$3*(1+B1126)^1)*((1-$I$4-$I$5+E1126)*(1-$I$10)+$I$6-$I$11)-('Data Schema'!$C$3*(1+B1126)^1-'Data Schema'!$C$3)*$I$12)/(1+C1126)^1+(('Data Schema'!$C$3*(1+B1126)^2)*((1-$I$4-$I$5+E1126)*(1-$I$10)+$I$6-$I$11)-('Data Schema'!$C$3*(1+B1126)^2-'Data Schema'!$C$3*(1+B1126)^1)*$I$12)/(1+C1126)^2+(('Data Schema'!$C$3*(1+B1126)^3)*((1-$I$4-$I$5+E1126)*(1-$I$10)+$I$6-$I$11)-('Data Schema'!$C$3*(1+B1126)^3-'Data Schema'!$C$3*(1+B1126)^2)*$I$12)/(1+C1126)^3+(('Data Schema'!$C$3*(1+B1126)^4)*((1-$I$4-$I$5+E1126)*(1-$I$10)+$I$6-$I$11)-('Data Schema'!$C$3*(1+B1126)^4-'Data Schema'!$C$3*(1+B1126)^3)*$I$12)/(1+C1126)^4+(('Data Schema'!$C$3*(1+B1126)^5)*((1-$I$4-$I$5+E1126)*(1-$I$10)+$I$6-$I$11)-('Data Schema'!$C$3*(1+B1126)^5-'Data Schema'!$C$3*(1+B1126)^4)*$I$12)/(1+C1126)^5+((('Data Schema'!$C$3*(1+B1126)^5)*((1-$I$4-$I$5+E1126)*(1-$I$10)+$I$6-$I$11)-('Data Schema'!$C$3*(1+B1126)^5-'Data Schema'!$C$3*(1+B1126)^4)*$I$12)*(1+D1126)/(C1126-D1126))/(1+C1126)^5-'Data Schema'!$C$31+'Data Schema'!$C$21)/'Data Schema'!$B$17,0),"INVALID")</f>
        <v>-8.5074800219612872</v>
      </c>
      <c r="H1126" s="189" t="b">
        <f t="shared" ca="1" si="130"/>
        <v>0</v>
      </c>
      <c r="I1126" s="188" t="str">
        <f t="shared" ca="1" si="131"/>
        <v/>
      </c>
      <c r="J1126" s="349" t="str">
        <f t="shared" ca="1" si="124"/>
        <v/>
      </c>
    </row>
    <row r="1127" spans="1:10">
      <c r="A1127" s="184">
        <v>948</v>
      </c>
      <c r="B1127" s="190">
        <f t="shared" ca="1" si="125"/>
        <v>0.10743032369015838</v>
      </c>
      <c r="C1127" s="190">
        <f t="shared" ca="1" si="126"/>
        <v>5.6383743073010154E-2</v>
      </c>
      <c r="D1127" s="190">
        <f t="shared" ca="1" si="127"/>
        <v>2.4331025348298917E-2</v>
      </c>
      <c r="E1127" s="190">
        <f t="shared" ca="1" si="128"/>
        <v>1.8419270395046969E-2</v>
      </c>
      <c r="F1127" s="189" t="b">
        <f t="shared" ca="1" si="129"/>
        <v>1</v>
      </c>
      <c r="G1127" s="188">
        <f ca="1">IF(F1127,IFERROR(((('Data Schema'!$C$3*(1+B1127)^1)*((1-$I$4-$I$5+E1127)*(1-$I$10)+$I$6-$I$11)-('Data Schema'!$C$3*(1+B1127)^1-'Data Schema'!$C$3)*$I$12)/(1+C1127)^1+(('Data Schema'!$C$3*(1+B1127)^2)*((1-$I$4-$I$5+E1127)*(1-$I$10)+$I$6-$I$11)-('Data Schema'!$C$3*(1+B1127)^2-'Data Schema'!$C$3*(1+B1127)^1)*$I$12)/(1+C1127)^2+(('Data Schema'!$C$3*(1+B1127)^3)*((1-$I$4-$I$5+E1127)*(1-$I$10)+$I$6-$I$11)-('Data Schema'!$C$3*(1+B1127)^3-'Data Schema'!$C$3*(1+B1127)^2)*$I$12)/(1+C1127)^3+(('Data Schema'!$C$3*(1+B1127)^4)*((1-$I$4-$I$5+E1127)*(1-$I$10)+$I$6-$I$11)-('Data Schema'!$C$3*(1+B1127)^4-'Data Schema'!$C$3*(1+B1127)^3)*$I$12)/(1+C1127)^4+(('Data Schema'!$C$3*(1+B1127)^5)*((1-$I$4-$I$5+E1127)*(1-$I$10)+$I$6-$I$11)-('Data Schema'!$C$3*(1+B1127)^5-'Data Schema'!$C$3*(1+B1127)^4)*$I$12)/(1+C1127)^5+((('Data Schema'!$C$3*(1+B1127)^5)*((1-$I$4-$I$5+E1127)*(1-$I$10)+$I$6-$I$11)-('Data Schema'!$C$3*(1+B1127)^5-'Data Schema'!$C$3*(1+B1127)^4)*$I$12)*(1+D1127)/(C1127-D1127))/(1+C1127)^5-'Data Schema'!$C$31+'Data Schema'!$C$21)/'Data Schema'!$B$17,0),"INVALID")</f>
        <v>153.7885604206582</v>
      </c>
      <c r="H1127" s="189" t="b">
        <f t="shared" ca="1" si="130"/>
        <v>1</v>
      </c>
      <c r="I1127" s="188">
        <f t="shared" ca="1" si="131"/>
        <v>153.7885604206582</v>
      </c>
      <c r="J1127" s="349">
        <f t="shared" ca="1" si="124"/>
        <v>153.7885604206582</v>
      </c>
    </row>
    <row r="1128" spans="1:10">
      <c r="A1128" s="185">
        <v>949</v>
      </c>
      <c r="B1128" s="190">
        <f t="shared" ca="1" si="125"/>
        <v>8.7292622369836842E-2</v>
      </c>
      <c r="C1128" s="190">
        <f t="shared" ca="1" si="126"/>
        <v>6.0724921010762101E-2</v>
      </c>
      <c r="D1128" s="190">
        <f t="shared" ca="1" si="127"/>
        <v>2.6072559458359203E-2</v>
      </c>
      <c r="E1128" s="190">
        <f t="shared" ca="1" si="128"/>
        <v>-9.7345606591622679E-3</v>
      </c>
      <c r="F1128" s="189" t="b">
        <f t="shared" ca="1" si="129"/>
        <v>1</v>
      </c>
      <c r="G1128" s="188">
        <f ca="1">IF(F1128,IFERROR(((('Data Schema'!$C$3*(1+B1128)^1)*((1-$I$4-$I$5+E1128)*(1-$I$10)+$I$6-$I$11)-('Data Schema'!$C$3*(1+B1128)^1-'Data Schema'!$C$3)*$I$12)/(1+C1128)^1+(('Data Schema'!$C$3*(1+B1128)^2)*((1-$I$4-$I$5+E1128)*(1-$I$10)+$I$6-$I$11)-('Data Schema'!$C$3*(1+B1128)^2-'Data Schema'!$C$3*(1+B1128)^1)*$I$12)/(1+C1128)^2+(('Data Schema'!$C$3*(1+B1128)^3)*((1-$I$4-$I$5+E1128)*(1-$I$10)+$I$6-$I$11)-('Data Schema'!$C$3*(1+B1128)^3-'Data Schema'!$C$3*(1+B1128)^2)*$I$12)/(1+C1128)^3+(('Data Schema'!$C$3*(1+B1128)^4)*((1-$I$4-$I$5+E1128)*(1-$I$10)+$I$6-$I$11)-('Data Schema'!$C$3*(1+B1128)^4-'Data Schema'!$C$3*(1+B1128)^3)*$I$12)/(1+C1128)^4+(('Data Schema'!$C$3*(1+B1128)^5)*((1-$I$4-$I$5+E1128)*(1-$I$10)+$I$6-$I$11)-('Data Schema'!$C$3*(1+B1128)^5-'Data Schema'!$C$3*(1+B1128)^4)*$I$12)/(1+C1128)^5+((('Data Schema'!$C$3*(1+B1128)^5)*((1-$I$4-$I$5+E1128)*(1-$I$10)+$I$6-$I$11)-('Data Schema'!$C$3*(1+B1128)^5-'Data Schema'!$C$3*(1+B1128)^4)*$I$12)*(1+D1128)/(C1128-D1128))/(1+C1128)^5-'Data Schema'!$C$31+'Data Schema'!$C$21)/'Data Schema'!$B$17,0),"INVALID")</f>
        <v>56.405430649264524</v>
      </c>
      <c r="H1128" s="189" t="b">
        <f t="shared" ca="1" si="130"/>
        <v>1</v>
      </c>
      <c r="I1128" s="188">
        <f t="shared" ca="1" si="131"/>
        <v>56.405430649264524</v>
      </c>
      <c r="J1128" s="349">
        <f t="shared" ca="1" si="124"/>
        <v>56.405430649264524</v>
      </c>
    </row>
    <row r="1129" spans="1:10">
      <c r="A1129" s="184">
        <v>950</v>
      </c>
      <c r="B1129" s="190">
        <f t="shared" ca="1" si="125"/>
        <v>9.3368735895981117E-2</v>
      </c>
      <c r="C1129" s="190">
        <f t="shared" ca="1" si="126"/>
        <v>4.8306968840452338E-2</v>
      </c>
      <c r="D1129" s="190">
        <f t="shared" ca="1" si="127"/>
        <v>2.260110630404405E-2</v>
      </c>
      <c r="E1129" s="190">
        <f t="shared" ca="1" si="128"/>
        <v>1.0336179951125811E-2</v>
      </c>
      <c r="F1129" s="189" t="b">
        <f t="shared" ca="1" si="129"/>
        <v>1</v>
      </c>
      <c r="G1129" s="188">
        <f ca="1">IF(F1129,IFERROR(((('Data Schema'!$C$3*(1+B1129)^1)*((1-$I$4-$I$5+E1129)*(1-$I$10)+$I$6-$I$11)-('Data Schema'!$C$3*(1+B1129)^1-'Data Schema'!$C$3)*$I$12)/(1+C1129)^1+(('Data Schema'!$C$3*(1+B1129)^2)*((1-$I$4-$I$5+E1129)*(1-$I$10)+$I$6-$I$11)-('Data Schema'!$C$3*(1+B1129)^2-'Data Schema'!$C$3*(1+B1129)^1)*$I$12)/(1+C1129)^2+(('Data Schema'!$C$3*(1+B1129)^3)*((1-$I$4-$I$5+E1129)*(1-$I$10)+$I$6-$I$11)-('Data Schema'!$C$3*(1+B1129)^3-'Data Schema'!$C$3*(1+B1129)^2)*$I$12)/(1+C1129)^3+(('Data Schema'!$C$3*(1+B1129)^4)*((1-$I$4-$I$5+E1129)*(1-$I$10)+$I$6-$I$11)-('Data Schema'!$C$3*(1+B1129)^4-'Data Schema'!$C$3*(1+B1129)^3)*$I$12)/(1+C1129)^4+(('Data Schema'!$C$3*(1+B1129)^5)*((1-$I$4-$I$5+E1129)*(1-$I$10)+$I$6-$I$11)-('Data Schema'!$C$3*(1+B1129)^5-'Data Schema'!$C$3*(1+B1129)^4)*$I$12)/(1+C1129)^5+((('Data Schema'!$C$3*(1+B1129)^5)*((1-$I$4-$I$5+E1129)*(1-$I$10)+$I$6-$I$11)-('Data Schema'!$C$3*(1+B1129)^5-'Data Schema'!$C$3*(1+B1129)^4)*$I$12)*(1+D1129)/(C1129-D1129))/(1+C1129)^5-'Data Schema'!$C$31+'Data Schema'!$C$21)/'Data Schema'!$B$17,0),"INVALID")</f>
        <v>155.11909854328886</v>
      </c>
      <c r="H1129" s="189" t="b">
        <f t="shared" ca="1" si="130"/>
        <v>1</v>
      </c>
      <c r="I1129" s="188">
        <f t="shared" ca="1" si="131"/>
        <v>155.11909854328886</v>
      </c>
      <c r="J1129" s="349">
        <f t="shared" ca="1" si="124"/>
        <v>155.11909854328886</v>
      </c>
    </row>
    <row r="1130" spans="1:10">
      <c r="A1130" s="185">
        <v>951</v>
      </c>
      <c r="B1130" s="190">
        <f t="shared" ca="1" si="125"/>
        <v>0.13259882033793363</v>
      </c>
      <c r="C1130" s="190">
        <f t="shared" ca="1" si="126"/>
        <v>7.1237003127848891E-2</v>
      </c>
      <c r="D1130" s="190">
        <f t="shared" ca="1" si="127"/>
        <v>2.8819641413509813E-2</v>
      </c>
      <c r="E1130" s="190">
        <f t="shared" ca="1" si="128"/>
        <v>1.7785077920276633E-2</v>
      </c>
      <c r="F1130" s="189" t="b">
        <f t="shared" ca="1" si="129"/>
        <v>1</v>
      </c>
      <c r="G1130" s="188">
        <f ca="1">IF(F1130,IFERROR(((('Data Schema'!$C$3*(1+B1130)^1)*((1-$I$4-$I$5+E1130)*(1-$I$10)+$I$6-$I$11)-('Data Schema'!$C$3*(1+B1130)^1-'Data Schema'!$C$3)*$I$12)/(1+C1130)^1+(('Data Schema'!$C$3*(1+B1130)^2)*((1-$I$4-$I$5+E1130)*(1-$I$10)+$I$6-$I$11)-('Data Schema'!$C$3*(1+B1130)^2-'Data Schema'!$C$3*(1+B1130)^1)*$I$12)/(1+C1130)^2+(('Data Schema'!$C$3*(1+B1130)^3)*((1-$I$4-$I$5+E1130)*(1-$I$10)+$I$6-$I$11)-('Data Schema'!$C$3*(1+B1130)^3-'Data Schema'!$C$3*(1+B1130)^2)*$I$12)/(1+C1130)^3+(('Data Schema'!$C$3*(1+B1130)^4)*((1-$I$4-$I$5+E1130)*(1-$I$10)+$I$6-$I$11)-('Data Schema'!$C$3*(1+B1130)^4-'Data Schema'!$C$3*(1+B1130)^3)*$I$12)/(1+C1130)^4+(('Data Schema'!$C$3*(1+B1130)^5)*((1-$I$4-$I$5+E1130)*(1-$I$10)+$I$6-$I$11)-('Data Schema'!$C$3*(1+B1130)^5-'Data Schema'!$C$3*(1+B1130)^4)*$I$12)/(1+C1130)^5+((('Data Schema'!$C$3*(1+B1130)^5)*((1-$I$4-$I$5+E1130)*(1-$I$10)+$I$6-$I$11)-('Data Schema'!$C$3*(1+B1130)^5-'Data Schema'!$C$3*(1+B1130)^4)*$I$12)*(1+D1130)/(C1130-D1130))/(1+C1130)^5-'Data Schema'!$C$31+'Data Schema'!$C$21)/'Data Schema'!$B$17,0),"INVALID")</f>
        <v>122.08595284086361</v>
      </c>
      <c r="H1130" s="189" t="b">
        <f t="shared" ca="1" si="130"/>
        <v>1</v>
      </c>
      <c r="I1130" s="188">
        <f t="shared" ca="1" si="131"/>
        <v>122.08595284086361</v>
      </c>
      <c r="J1130" s="349">
        <f t="shared" ca="1" si="124"/>
        <v>122.08595284086361</v>
      </c>
    </row>
    <row r="1131" spans="1:10">
      <c r="A1131" s="184">
        <v>952</v>
      </c>
      <c r="B1131" s="190">
        <f t="shared" ca="1" si="125"/>
        <v>8.6030012820629345E-2</v>
      </c>
      <c r="C1131" s="190">
        <f t="shared" ca="1" si="126"/>
        <v>7.6673750473518154E-2</v>
      </c>
      <c r="D1131" s="190">
        <f t="shared" ca="1" si="127"/>
        <v>2.2926891359084437E-2</v>
      </c>
      <c r="E1131" s="190">
        <f t="shared" ca="1" si="128"/>
        <v>-5.96522046895279E-3</v>
      </c>
      <c r="F1131" s="189" t="b">
        <f t="shared" ca="1" si="129"/>
        <v>1</v>
      </c>
      <c r="G1131" s="188">
        <f ca="1">IF(F1131,IFERROR(((('Data Schema'!$C$3*(1+B1131)^1)*((1-$I$4-$I$5+E1131)*(1-$I$10)+$I$6-$I$11)-('Data Schema'!$C$3*(1+B1131)^1-'Data Schema'!$C$3)*$I$12)/(1+C1131)^1+(('Data Schema'!$C$3*(1+B1131)^2)*((1-$I$4-$I$5+E1131)*(1-$I$10)+$I$6-$I$11)-('Data Schema'!$C$3*(1+B1131)^2-'Data Schema'!$C$3*(1+B1131)^1)*$I$12)/(1+C1131)^2+(('Data Schema'!$C$3*(1+B1131)^3)*((1-$I$4-$I$5+E1131)*(1-$I$10)+$I$6-$I$11)-('Data Schema'!$C$3*(1+B1131)^3-'Data Schema'!$C$3*(1+B1131)^2)*$I$12)/(1+C1131)^3+(('Data Schema'!$C$3*(1+B1131)^4)*((1-$I$4-$I$5+E1131)*(1-$I$10)+$I$6-$I$11)-('Data Schema'!$C$3*(1+B1131)^4-'Data Schema'!$C$3*(1+B1131)^3)*$I$12)/(1+C1131)^4+(('Data Schema'!$C$3*(1+B1131)^5)*((1-$I$4-$I$5+E1131)*(1-$I$10)+$I$6-$I$11)-('Data Schema'!$C$3*(1+B1131)^5-'Data Schema'!$C$3*(1+B1131)^4)*$I$12)/(1+C1131)^5+((('Data Schema'!$C$3*(1+B1131)^5)*((1-$I$4-$I$5+E1131)*(1-$I$10)+$I$6-$I$11)-('Data Schema'!$C$3*(1+B1131)^5-'Data Schema'!$C$3*(1+B1131)^4)*$I$12)*(1+D1131)/(C1131-D1131))/(1+C1131)^5-'Data Schema'!$C$31+'Data Schema'!$C$21)/'Data Schema'!$B$17,0),"INVALID")</f>
        <v>40.083138527600639</v>
      </c>
      <c r="H1131" s="189" t="b">
        <f t="shared" ca="1" si="130"/>
        <v>1</v>
      </c>
      <c r="I1131" s="188">
        <f t="shared" ca="1" si="131"/>
        <v>40.083138527600639</v>
      </c>
      <c r="J1131" s="349">
        <f t="shared" ca="1" si="124"/>
        <v>40.083138527600639</v>
      </c>
    </row>
    <row r="1132" spans="1:10">
      <c r="A1132" s="185">
        <v>953</v>
      </c>
      <c r="B1132" s="190">
        <f t="shared" ca="1" si="125"/>
        <v>0.1314416062314307</v>
      </c>
      <c r="C1132" s="190">
        <f t="shared" ca="1" si="126"/>
        <v>5.4382029270626457E-2</v>
      </c>
      <c r="D1132" s="190">
        <f t="shared" ca="1" si="127"/>
        <v>2.9508401815424024E-2</v>
      </c>
      <c r="E1132" s="190">
        <f t="shared" ca="1" si="128"/>
        <v>2.3577589307960767E-2</v>
      </c>
      <c r="F1132" s="189" t="b">
        <f t="shared" ca="1" si="129"/>
        <v>1</v>
      </c>
      <c r="G1132" s="188">
        <f ca="1">IF(F1132,IFERROR(((('Data Schema'!$C$3*(1+B1132)^1)*((1-$I$4-$I$5+E1132)*(1-$I$10)+$I$6-$I$11)-('Data Schema'!$C$3*(1+B1132)^1-'Data Schema'!$C$3)*$I$12)/(1+C1132)^1+(('Data Schema'!$C$3*(1+B1132)^2)*((1-$I$4-$I$5+E1132)*(1-$I$10)+$I$6-$I$11)-('Data Schema'!$C$3*(1+B1132)^2-'Data Schema'!$C$3*(1+B1132)^1)*$I$12)/(1+C1132)^2+(('Data Schema'!$C$3*(1+B1132)^3)*((1-$I$4-$I$5+E1132)*(1-$I$10)+$I$6-$I$11)-('Data Schema'!$C$3*(1+B1132)^3-'Data Schema'!$C$3*(1+B1132)^2)*$I$12)/(1+C1132)^3+(('Data Schema'!$C$3*(1+B1132)^4)*((1-$I$4-$I$5+E1132)*(1-$I$10)+$I$6-$I$11)-('Data Schema'!$C$3*(1+B1132)^4-'Data Schema'!$C$3*(1+B1132)^3)*$I$12)/(1+C1132)^4+(('Data Schema'!$C$3*(1+B1132)^5)*((1-$I$4-$I$5+E1132)*(1-$I$10)+$I$6-$I$11)-('Data Schema'!$C$3*(1+B1132)^5-'Data Schema'!$C$3*(1+B1132)^4)*$I$12)/(1+C1132)^5+((('Data Schema'!$C$3*(1+B1132)^5)*((1-$I$4-$I$5+E1132)*(1-$I$10)+$I$6-$I$11)-('Data Schema'!$C$3*(1+B1132)^5-'Data Schema'!$C$3*(1+B1132)^4)*$I$12)*(1+D1132)/(C1132-D1132))/(1+C1132)^5-'Data Schema'!$C$31+'Data Schema'!$C$21)/'Data Schema'!$B$17,0),"INVALID")</f>
        <v>239.58206095446022</v>
      </c>
      <c r="H1132" s="189" t="b">
        <f t="shared" ca="1" si="130"/>
        <v>1</v>
      </c>
      <c r="I1132" s="188">
        <f t="shared" ca="1" si="131"/>
        <v>239.58206095446022</v>
      </c>
      <c r="J1132" s="349" t="str">
        <f t="shared" ca="1" si="124"/>
        <v/>
      </c>
    </row>
    <row r="1133" spans="1:10">
      <c r="A1133" s="184">
        <v>954</v>
      </c>
      <c r="B1133" s="190">
        <f t="shared" ca="1" si="125"/>
        <v>0.10699860149632143</v>
      </c>
      <c r="C1133" s="190">
        <f t="shared" ca="1" si="126"/>
        <v>6.1490889979916516E-2</v>
      </c>
      <c r="D1133" s="190">
        <f t="shared" ca="1" si="127"/>
        <v>2.8463439821102925E-2</v>
      </c>
      <c r="E1133" s="190">
        <f t="shared" ca="1" si="128"/>
        <v>-5.4605468212381896E-3</v>
      </c>
      <c r="F1133" s="189" t="b">
        <f t="shared" ca="1" si="129"/>
        <v>1</v>
      </c>
      <c r="G1133" s="188">
        <f ca="1">IF(F1133,IFERROR(((('Data Schema'!$C$3*(1+B1133)^1)*((1-$I$4-$I$5+E1133)*(1-$I$10)+$I$6-$I$11)-('Data Schema'!$C$3*(1+B1133)^1-'Data Schema'!$C$3)*$I$12)/(1+C1133)^1+(('Data Schema'!$C$3*(1+B1133)^2)*((1-$I$4-$I$5+E1133)*(1-$I$10)+$I$6-$I$11)-('Data Schema'!$C$3*(1+B1133)^2-'Data Schema'!$C$3*(1+B1133)^1)*$I$12)/(1+C1133)^2+(('Data Schema'!$C$3*(1+B1133)^3)*((1-$I$4-$I$5+E1133)*(1-$I$10)+$I$6-$I$11)-('Data Schema'!$C$3*(1+B1133)^3-'Data Schema'!$C$3*(1+B1133)^2)*$I$12)/(1+C1133)^3+(('Data Schema'!$C$3*(1+B1133)^4)*((1-$I$4-$I$5+E1133)*(1-$I$10)+$I$6-$I$11)-('Data Schema'!$C$3*(1+B1133)^4-'Data Schema'!$C$3*(1+B1133)^3)*$I$12)/(1+C1133)^4+(('Data Schema'!$C$3*(1+B1133)^5)*((1-$I$4-$I$5+E1133)*(1-$I$10)+$I$6-$I$11)-('Data Schema'!$C$3*(1+B1133)^5-'Data Schema'!$C$3*(1+B1133)^4)*$I$12)/(1+C1133)^5+((('Data Schema'!$C$3*(1+B1133)^5)*((1-$I$4-$I$5+E1133)*(1-$I$10)+$I$6-$I$11)-('Data Schema'!$C$3*(1+B1133)^5-'Data Schema'!$C$3*(1+B1133)^4)*$I$12)*(1+D1133)/(C1133-D1133))/(1+C1133)^5-'Data Schema'!$C$31+'Data Schema'!$C$21)/'Data Schema'!$B$17,0),"INVALID")</f>
        <v>76.159693176367313</v>
      </c>
      <c r="H1133" s="189" t="b">
        <f t="shared" ca="1" si="130"/>
        <v>1</v>
      </c>
      <c r="I1133" s="188">
        <f t="shared" ca="1" si="131"/>
        <v>76.159693176367313</v>
      </c>
      <c r="J1133" s="349">
        <f t="shared" ca="1" si="124"/>
        <v>76.159693176367313</v>
      </c>
    </row>
    <row r="1134" spans="1:10">
      <c r="A1134" s="185">
        <v>955</v>
      </c>
      <c r="B1134" s="190">
        <f t="shared" ca="1" si="125"/>
        <v>0.11509888794980191</v>
      </c>
      <c r="C1134" s="190">
        <f t="shared" ca="1" si="126"/>
        <v>5.1481714643703547E-2</v>
      </c>
      <c r="D1134" s="190">
        <f t="shared" ca="1" si="127"/>
        <v>2.3807899055095592E-2</v>
      </c>
      <c r="E1134" s="190">
        <f t="shared" ca="1" si="128"/>
        <v>1.3028240779613454E-2</v>
      </c>
      <c r="F1134" s="189" t="b">
        <f t="shared" ca="1" si="129"/>
        <v>1</v>
      </c>
      <c r="G1134" s="188">
        <f ca="1">IF(F1134,IFERROR(((('Data Schema'!$C$3*(1+B1134)^1)*((1-$I$4-$I$5+E1134)*(1-$I$10)+$I$6-$I$11)-('Data Schema'!$C$3*(1+B1134)^1-'Data Schema'!$C$3)*$I$12)/(1+C1134)^1+(('Data Schema'!$C$3*(1+B1134)^2)*((1-$I$4-$I$5+E1134)*(1-$I$10)+$I$6-$I$11)-('Data Schema'!$C$3*(1+B1134)^2-'Data Schema'!$C$3*(1+B1134)^1)*$I$12)/(1+C1134)^2+(('Data Schema'!$C$3*(1+B1134)^3)*((1-$I$4-$I$5+E1134)*(1-$I$10)+$I$6-$I$11)-('Data Schema'!$C$3*(1+B1134)^3-'Data Schema'!$C$3*(1+B1134)^2)*$I$12)/(1+C1134)^3+(('Data Schema'!$C$3*(1+B1134)^4)*((1-$I$4-$I$5+E1134)*(1-$I$10)+$I$6-$I$11)-('Data Schema'!$C$3*(1+B1134)^4-'Data Schema'!$C$3*(1+B1134)^3)*$I$12)/(1+C1134)^4+(('Data Schema'!$C$3*(1+B1134)^5)*((1-$I$4-$I$5+E1134)*(1-$I$10)+$I$6-$I$11)-('Data Schema'!$C$3*(1+B1134)^5-'Data Schema'!$C$3*(1+B1134)^4)*$I$12)/(1+C1134)^5+((('Data Schema'!$C$3*(1+B1134)^5)*((1-$I$4-$I$5+E1134)*(1-$I$10)+$I$6-$I$11)-('Data Schema'!$C$3*(1+B1134)^5-'Data Schema'!$C$3*(1+B1134)^4)*$I$12)*(1+D1134)/(C1134-D1134))/(1+C1134)^5-'Data Schema'!$C$31+'Data Schema'!$C$21)/'Data Schema'!$B$17,0),"INVALID")</f>
        <v>165.79197878050385</v>
      </c>
      <c r="H1134" s="189" t="b">
        <f t="shared" ca="1" si="130"/>
        <v>1</v>
      </c>
      <c r="I1134" s="188">
        <f t="shared" ca="1" si="131"/>
        <v>165.79197878050385</v>
      </c>
      <c r="J1134" s="349">
        <f t="shared" ca="1" si="124"/>
        <v>165.79197878050385</v>
      </c>
    </row>
    <row r="1135" spans="1:10">
      <c r="A1135" s="184">
        <v>956</v>
      </c>
      <c r="B1135" s="190">
        <f t="shared" ca="1" si="125"/>
        <v>0.12934525237448419</v>
      </c>
      <c r="C1135" s="190">
        <f t="shared" ca="1" si="126"/>
        <v>4.6798914003705047E-2</v>
      </c>
      <c r="D1135" s="190">
        <f t="shared" ca="1" si="127"/>
        <v>2.4657563755640682E-2</v>
      </c>
      <c r="E1135" s="190">
        <f t="shared" ca="1" si="128"/>
        <v>7.3325960711813814E-3</v>
      </c>
      <c r="F1135" s="189" t="b">
        <f t="shared" ca="1" si="129"/>
        <v>1</v>
      </c>
      <c r="G1135" s="188">
        <f ca="1">IF(F1135,IFERROR(((('Data Schema'!$C$3*(1+B1135)^1)*((1-$I$4-$I$5+E1135)*(1-$I$10)+$I$6-$I$11)-('Data Schema'!$C$3*(1+B1135)^1-'Data Schema'!$C$3)*$I$12)/(1+C1135)^1+(('Data Schema'!$C$3*(1+B1135)^2)*((1-$I$4-$I$5+E1135)*(1-$I$10)+$I$6-$I$11)-('Data Schema'!$C$3*(1+B1135)^2-'Data Schema'!$C$3*(1+B1135)^1)*$I$12)/(1+C1135)^2+(('Data Schema'!$C$3*(1+B1135)^3)*((1-$I$4-$I$5+E1135)*(1-$I$10)+$I$6-$I$11)-('Data Schema'!$C$3*(1+B1135)^3-'Data Schema'!$C$3*(1+B1135)^2)*$I$12)/(1+C1135)^3+(('Data Schema'!$C$3*(1+B1135)^4)*((1-$I$4-$I$5+E1135)*(1-$I$10)+$I$6-$I$11)-('Data Schema'!$C$3*(1+B1135)^4-'Data Schema'!$C$3*(1+B1135)^3)*$I$12)/(1+C1135)^4+(('Data Schema'!$C$3*(1+B1135)^5)*((1-$I$4-$I$5+E1135)*(1-$I$10)+$I$6-$I$11)-('Data Schema'!$C$3*(1+B1135)^5-'Data Schema'!$C$3*(1+B1135)^4)*$I$12)/(1+C1135)^5+((('Data Schema'!$C$3*(1+B1135)^5)*((1-$I$4-$I$5+E1135)*(1-$I$10)+$I$6-$I$11)-('Data Schema'!$C$3*(1+B1135)^5-'Data Schema'!$C$3*(1+B1135)^4)*$I$12)*(1+D1135)/(C1135-D1135))/(1+C1135)^5-'Data Schema'!$C$31+'Data Schema'!$C$21)/'Data Schema'!$B$17,0),"INVALID")</f>
        <v>193.22445602142867</v>
      </c>
      <c r="H1135" s="189" t="b">
        <f t="shared" ca="1" si="130"/>
        <v>1</v>
      </c>
      <c r="I1135" s="188">
        <f t="shared" ca="1" si="131"/>
        <v>193.22445602142867</v>
      </c>
      <c r="J1135" s="349">
        <f t="shared" ca="1" si="124"/>
        <v>193.22445602142867</v>
      </c>
    </row>
    <row r="1136" spans="1:10">
      <c r="A1136" s="185">
        <v>957</v>
      </c>
      <c r="B1136" s="190">
        <f t="shared" ca="1" si="125"/>
        <v>8.2768630636172069E-2</v>
      </c>
      <c r="C1136" s="190">
        <f t="shared" ca="1" si="126"/>
        <v>5.5973654192133002E-2</v>
      </c>
      <c r="D1136" s="190">
        <f t="shared" ca="1" si="127"/>
        <v>1.7747033364160142E-2</v>
      </c>
      <c r="E1136" s="190">
        <f t="shared" ca="1" si="128"/>
        <v>-3.5261948927078367E-2</v>
      </c>
      <c r="F1136" s="189" t="b">
        <f t="shared" ca="1" si="129"/>
        <v>1</v>
      </c>
      <c r="G1136" s="188">
        <f ca="1">IF(F1136,IFERROR(((('Data Schema'!$C$3*(1+B1136)^1)*((1-$I$4-$I$5+E1136)*(1-$I$10)+$I$6-$I$11)-('Data Schema'!$C$3*(1+B1136)^1-'Data Schema'!$C$3)*$I$12)/(1+C1136)^1+(('Data Schema'!$C$3*(1+B1136)^2)*((1-$I$4-$I$5+E1136)*(1-$I$10)+$I$6-$I$11)-('Data Schema'!$C$3*(1+B1136)^2-'Data Schema'!$C$3*(1+B1136)^1)*$I$12)/(1+C1136)^2+(('Data Schema'!$C$3*(1+B1136)^3)*((1-$I$4-$I$5+E1136)*(1-$I$10)+$I$6-$I$11)-('Data Schema'!$C$3*(1+B1136)^3-'Data Schema'!$C$3*(1+B1136)^2)*$I$12)/(1+C1136)^3+(('Data Schema'!$C$3*(1+B1136)^4)*((1-$I$4-$I$5+E1136)*(1-$I$10)+$I$6-$I$11)-('Data Schema'!$C$3*(1+B1136)^4-'Data Schema'!$C$3*(1+B1136)^3)*$I$12)/(1+C1136)^4+(('Data Schema'!$C$3*(1+B1136)^5)*((1-$I$4-$I$5+E1136)*(1-$I$10)+$I$6-$I$11)-('Data Schema'!$C$3*(1+B1136)^5-'Data Schema'!$C$3*(1+B1136)^4)*$I$12)/(1+C1136)^5+((('Data Schema'!$C$3*(1+B1136)^5)*((1-$I$4-$I$5+E1136)*(1-$I$10)+$I$6-$I$11)-('Data Schema'!$C$3*(1+B1136)^5-'Data Schema'!$C$3*(1+B1136)^4)*$I$12)*(1+D1136)/(C1136-D1136))/(1+C1136)^5-'Data Schema'!$C$31+'Data Schema'!$C$21)/'Data Schema'!$B$17,0),"INVALID")</f>
        <v>-9.3203040325781572</v>
      </c>
      <c r="H1136" s="189" t="b">
        <f t="shared" ca="1" si="130"/>
        <v>0</v>
      </c>
      <c r="I1136" s="188" t="str">
        <f t="shared" ca="1" si="131"/>
        <v/>
      </c>
      <c r="J1136" s="349" t="str">
        <f t="shared" ca="1" si="124"/>
        <v/>
      </c>
    </row>
    <row r="1137" spans="1:10">
      <c r="A1137" s="184">
        <v>958</v>
      </c>
      <c r="B1137" s="190">
        <f t="shared" ca="1" si="125"/>
        <v>9.6558829932195764E-2</v>
      </c>
      <c r="C1137" s="190">
        <f t="shared" ca="1" si="126"/>
        <v>5.8225656337718097E-2</v>
      </c>
      <c r="D1137" s="190">
        <f t="shared" ca="1" si="127"/>
        <v>2.6666491212247498E-2</v>
      </c>
      <c r="E1137" s="190">
        <f t="shared" ca="1" si="128"/>
        <v>1.1736091186917513E-2</v>
      </c>
      <c r="F1137" s="189" t="b">
        <f t="shared" ca="1" si="129"/>
        <v>1</v>
      </c>
      <c r="G1137" s="188">
        <f ca="1">IF(F1137,IFERROR(((('Data Schema'!$C$3*(1+B1137)^1)*((1-$I$4-$I$5+E1137)*(1-$I$10)+$I$6-$I$11)-('Data Schema'!$C$3*(1+B1137)^1-'Data Schema'!$C$3)*$I$12)/(1+C1137)^1+(('Data Schema'!$C$3*(1+B1137)^2)*((1-$I$4-$I$5+E1137)*(1-$I$10)+$I$6-$I$11)-('Data Schema'!$C$3*(1+B1137)^2-'Data Schema'!$C$3*(1+B1137)^1)*$I$12)/(1+C1137)^2+(('Data Schema'!$C$3*(1+B1137)^3)*((1-$I$4-$I$5+E1137)*(1-$I$10)+$I$6-$I$11)-('Data Schema'!$C$3*(1+B1137)^3-'Data Schema'!$C$3*(1+B1137)^2)*$I$12)/(1+C1137)^3+(('Data Schema'!$C$3*(1+B1137)^4)*((1-$I$4-$I$5+E1137)*(1-$I$10)+$I$6-$I$11)-('Data Schema'!$C$3*(1+B1137)^4-'Data Schema'!$C$3*(1+B1137)^3)*$I$12)/(1+C1137)^4+(('Data Schema'!$C$3*(1+B1137)^5)*((1-$I$4-$I$5+E1137)*(1-$I$10)+$I$6-$I$11)-('Data Schema'!$C$3*(1+B1137)^5-'Data Schema'!$C$3*(1+B1137)^4)*$I$12)/(1+C1137)^5+((('Data Schema'!$C$3*(1+B1137)^5)*((1-$I$4-$I$5+E1137)*(1-$I$10)+$I$6-$I$11)-('Data Schema'!$C$3*(1+B1137)^5-'Data Schema'!$C$3*(1+B1137)^4)*$I$12)*(1+D1137)/(C1137-D1137))/(1+C1137)^5-'Data Schema'!$C$31+'Data Schema'!$C$21)/'Data Schema'!$B$17,0),"INVALID")</f>
        <v>128.43789803327849</v>
      </c>
      <c r="H1137" s="189" t="b">
        <f t="shared" ca="1" si="130"/>
        <v>1</v>
      </c>
      <c r="I1137" s="188">
        <f t="shared" ca="1" si="131"/>
        <v>128.43789803327849</v>
      </c>
      <c r="J1137" s="349">
        <f t="shared" ca="1" si="124"/>
        <v>128.43789803327849</v>
      </c>
    </row>
    <row r="1138" spans="1:10">
      <c r="A1138" s="185">
        <v>959</v>
      </c>
      <c r="B1138" s="190">
        <f t="shared" ca="1" si="125"/>
        <v>7.988986443809673E-2</v>
      </c>
      <c r="C1138" s="190">
        <f t="shared" ca="1" si="126"/>
        <v>5.741406491315202E-2</v>
      </c>
      <c r="D1138" s="190">
        <f t="shared" ca="1" si="127"/>
        <v>2.6790910630646775E-2</v>
      </c>
      <c r="E1138" s="190">
        <f t="shared" ca="1" si="128"/>
        <v>1.2655161294108191E-2</v>
      </c>
      <c r="F1138" s="189" t="b">
        <f t="shared" ca="1" si="129"/>
        <v>1</v>
      </c>
      <c r="G1138" s="188">
        <f ca="1">IF(F1138,IFERROR(((('Data Schema'!$C$3*(1+B1138)^1)*((1-$I$4-$I$5+E1138)*(1-$I$10)+$I$6-$I$11)-('Data Schema'!$C$3*(1+B1138)^1-'Data Schema'!$C$3)*$I$12)/(1+C1138)^1+(('Data Schema'!$C$3*(1+B1138)^2)*((1-$I$4-$I$5+E1138)*(1-$I$10)+$I$6-$I$11)-('Data Schema'!$C$3*(1+B1138)^2-'Data Schema'!$C$3*(1+B1138)^1)*$I$12)/(1+C1138)^2+(('Data Schema'!$C$3*(1+B1138)^3)*((1-$I$4-$I$5+E1138)*(1-$I$10)+$I$6-$I$11)-('Data Schema'!$C$3*(1+B1138)^3-'Data Schema'!$C$3*(1+B1138)^2)*$I$12)/(1+C1138)^3+(('Data Schema'!$C$3*(1+B1138)^4)*((1-$I$4-$I$5+E1138)*(1-$I$10)+$I$6-$I$11)-('Data Schema'!$C$3*(1+B1138)^4-'Data Schema'!$C$3*(1+B1138)^3)*$I$12)/(1+C1138)^4+(('Data Schema'!$C$3*(1+B1138)^5)*((1-$I$4-$I$5+E1138)*(1-$I$10)+$I$6-$I$11)-('Data Schema'!$C$3*(1+B1138)^5-'Data Schema'!$C$3*(1+B1138)^4)*$I$12)/(1+C1138)^5+((('Data Schema'!$C$3*(1+B1138)^5)*((1-$I$4-$I$5+E1138)*(1-$I$10)+$I$6-$I$11)-('Data Schema'!$C$3*(1+B1138)^5-'Data Schema'!$C$3*(1+B1138)^4)*$I$12)*(1+D1138)/(C1138-D1138))/(1+C1138)^5-'Data Schema'!$C$31+'Data Schema'!$C$21)/'Data Schema'!$B$17,0),"INVALID")</f>
        <v>126.44104788027504</v>
      </c>
      <c r="H1138" s="189" t="b">
        <f t="shared" ca="1" si="130"/>
        <v>1</v>
      </c>
      <c r="I1138" s="188">
        <f t="shared" ca="1" si="131"/>
        <v>126.44104788027504</v>
      </c>
      <c r="J1138" s="349">
        <f t="shared" ca="1" si="124"/>
        <v>126.44104788027504</v>
      </c>
    </row>
    <row r="1139" spans="1:10">
      <c r="A1139" s="184">
        <v>960</v>
      </c>
      <c r="B1139" s="190">
        <f t="shared" ca="1" si="125"/>
        <v>0.10942236899865683</v>
      </c>
      <c r="C1139" s="190">
        <f t="shared" ca="1" si="126"/>
        <v>6.1406784785847671E-2</v>
      </c>
      <c r="D1139" s="190">
        <f t="shared" ca="1" si="127"/>
        <v>1.9594744331695304E-2</v>
      </c>
      <c r="E1139" s="190">
        <f t="shared" ca="1" si="128"/>
        <v>2.4986447897747299E-2</v>
      </c>
      <c r="F1139" s="189" t="b">
        <f t="shared" ca="1" si="129"/>
        <v>1</v>
      </c>
      <c r="G1139" s="188">
        <f ca="1">IF(F1139,IFERROR(((('Data Schema'!$C$3*(1+B1139)^1)*((1-$I$4-$I$5+E1139)*(1-$I$10)+$I$6-$I$11)-('Data Schema'!$C$3*(1+B1139)^1-'Data Schema'!$C$3)*$I$12)/(1+C1139)^1+(('Data Schema'!$C$3*(1+B1139)^2)*((1-$I$4-$I$5+E1139)*(1-$I$10)+$I$6-$I$11)-('Data Schema'!$C$3*(1+B1139)^2-'Data Schema'!$C$3*(1+B1139)^1)*$I$12)/(1+C1139)^2+(('Data Schema'!$C$3*(1+B1139)^3)*((1-$I$4-$I$5+E1139)*(1-$I$10)+$I$6-$I$11)-('Data Schema'!$C$3*(1+B1139)^3-'Data Schema'!$C$3*(1+B1139)^2)*$I$12)/(1+C1139)^3+(('Data Schema'!$C$3*(1+B1139)^4)*((1-$I$4-$I$5+E1139)*(1-$I$10)+$I$6-$I$11)-('Data Schema'!$C$3*(1+B1139)^4-'Data Schema'!$C$3*(1+B1139)^3)*$I$12)/(1+C1139)^4+(('Data Schema'!$C$3*(1+B1139)^5)*((1-$I$4-$I$5+E1139)*(1-$I$10)+$I$6-$I$11)-('Data Schema'!$C$3*(1+B1139)^5-'Data Schema'!$C$3*(1+B1139)^4)*$I$12)/(1+C1139)^5+((('Data Schema'!$C$3*(1+B1139)^5)*((1-$I$4-$I$5+E1139)*(1-$I$10)+$I$6-$I$11)-('Data Schema'!$C$3*(1+B1139)^5-'Data Schema'!$C$3*(1+B1139)^4)*$I$12)*(1+D1139)/(C1139-D1139))/(1+C1139)^5-'Data Schema'!$C$31+'Data Schema'!$C$21)/'Data Schema'!$B$17,0),"INVALID")</f>
        <v>134.41050071204057</v>
      </c>
      <c r="H1139" s="189" t="b">
        <f t="shared" ca="1" si="130"/>
        <v>1</v>
      </c>
      <c r="I1139" s="188">
        <f t="shared" ca="1" si="131"/>
        <v>134.41050071204057</v>
      </c>
      <c r="J1139" s="349">
        <f t="shared" ca="1" si="124"/>
        <v>134.41050071204057</v>
      </c>
    </row>
    <row r="1140" spans="1:10">
      <c r="A1140" s="185">
        <v>961</v>
      </c>
      <c r="B1140" s="190">
        <f t="shared" ca="1" si="125"/>
        <v>9.918341809250654E-2</v>
      </c>
      <c r="C1140" s="190">
        <f t="shared" ca="1" si="126"/>
        <v>4.0983671137943295E-2</v>
      </c>
      <c r="D1140" s="190">
        <f t="shared" ca="1" si="127"/>
        <v>1.9705209704202479E-2</v>
      </c>
      <c r="E1140" s="190">
        <f t="shared" ca="1" si="128"/>
        <v>-1.4236213562056264E-2</v>
      </c>
      <c r="F1140" s="189" t="b">
        <f t="shared" ca="1" si="129"/>
        <v>1</v>
      </c>
      <c r="G1140" s="188">
        <f ca="1">IF(F1140,IFERROR(((('Data Schema'!$C$3*(1+B1140)^1)*((1-$I$4-$I$5+E1140)*(1-$I$10)+$I$6-$I$11)-('Data Schema'!$C$3*(1+B1140)^1-'Data Schema'!$C$3)*$I$12)/(1+C1140)^1+(('Data Schema'!$C$3*(1+B1140)^2)*((1-$I$4-$I$5+E1140)*(1-$I$10)+$I$6-$I$11)-('Data Schema'!$C$3*(1+B1140)^2-'Data Schema'!$C$3*(1+B1140)^1)*$I$12)/(1+C1140)^2+(('Data Schema'!$C$3*(1+B1140)^3)*((1-$I$4-$I$5+E1140)*(1-$I$10)+$I$6-$I$11)-('Data Schema'!$C$3*(1+B1140)^3-'Data Schema'!$C$3*(1+B1140)^2)*$I$12)/(1+C1140)^3+(('Data Schema'!$C$3*(1+B1140)^4)*((1-$I$4-$I$5+E1140)*(1-$I$10)+$I$6-$I$11)-('Data Schema'!$C$3*(1+B1140)^4-'Data Schema'!$C$3*(1+B1140)^3)*$I$12)/(1+C1140)^4+(('Data Schema'!$C$3*(1+B1140)^5)*((1-$I$4-$I$5+E1140)*(1-$I$10)+$I$6-$I$11)-('Data Schema'!$C$3*(1+B1140)^5-'Data Schema'!$C$3*(1+B1140)^4)*$I$12)/(1+C1140)^5+((('Data Schema'!$C$3*(1+B1140)^5)*((1-$I$4-$I$5+E1140)*(1-$I$10)+$I$6-$I$11)-('Data Schema'!$C$3*(1+B1140)^5-'Data Schema'!$C$3*(1+B1140)^4)*$I$12)*(1+D1140)/(C1140-D1140))/(1+C1140)^5-'Data Schema'!$C$31+'Data Schema'!$C$21)/'Data Schema'!$B$17,0),"INVALID")</f>
        <v>83.308934439259914</v>
      </c>
      <c r="H1140" s="189" t="b">
        <f t="shared" ca="1" si="130"/>
        <v>1</v>
      </c>
      <c r="I1140" s="188">
        <f t="shared" ca="1" si="131"/>
        <v>83.308934439259914</v>
      </c>
      <c r="J1140" s="349">
        <f t="shared" ref="J1140:J1179" ca="1" si="132">IF(AND(F1140=TRUE,H1140=TRUE,ISNUMBER(G1140),G1140&gt;=$B$153,G1140&lt;=$B$154),G1140,"")</f>
        <v>83.308934439259914</v>
      </c>
    </row>
    <row r="1141" spans="1:10">
      <c r="A1141" s="184">
        <v>962</v>
      </c>
      <c r="B1141" s="190">
        <f t="shared" ref="B1141:B1179" ca="1" si="133">MAX($D$139,MIN($E$139,NORMINV(RAND(),$B$139,$C$139)))</f>
        <v>7.2904996333486363E-2</v>
      </c>
      <c r="C1141" s="190">
        <f t="shared" ref="C1141:C1179" ca="1" si="134">MAX($D$140,MIN($E$140,NORMINV(RAND(),$B$140,$C$140)))</f>
        <v>6.1417273784293097E-2</v>
      </c>
      <c r="D1141" s="190">
        <f t="shared" ref="D1141:D1179" ca="1" si="135">MAX($D$141,MIN($E$141,NORMINV(RAND(),$B$141,$C$141)))</f>
        <v>2.7338039659525769E-2</v>
      </c>
      <c r="E1141" s="190">
        <f t="shared" ref="E1141:E1179" ca="1" si="136">MAX($D$142,MIN($E$142,NORMINV(RAND(),$B$142,$C$142)))</f>
        <v>-3.5570573223923018E-3</v>
      </c>
      <c r="F1141" s="189" t="b">
        <f t="shared" ref="F1141:F1179" ca="1" si="137">C1141&gt;D1141+$B$144</f>
        <v>1</v>
      </c>
      <c r="G1141" s="188">
        <f ca="1">IF(F1141,IFERROR(((('Data Schema'!$C$3*(1+B1141)^1)*((1-$I$4-$I$5+E1141)*(1-$I$10)+$I$6-$I$11)-('Data Schema'!$C$3*(1+B1141)^1-'Data Schema'!$C$3)*$I$12)/(1+C1141)^1+(('Data Schema'!$C$3*(1+B1141)^2)*((1-$I$4-$I$5+E1141)*(1-$I$10)+$I$6-$I$11)-('Data Schema'!$C$3*(1+B1141)^2-'Data Schema'!$C$3*(1+B1141)^1)*$I$12)/(1+C1141)^2+(('Data Schema'!$C$3*(1+B1141)^3)*((1-$I$4-$I$5+E1141)*(1-$I$10)+$I$6-$I$11)-('Data Schema'!$C$3*(1+B1141)^3-'Data Schema'!$C$3*(1+B1141)^2)*$I$12)/(1+C1141)^3+(('Data Schema'!$C$3*(1+B1141)^4)*((1-$I$4-$I$5+E1141)*(1-$I$10)+$I$6-$I$11)-('Data Schema'!$C$3*(1+B1141)^4-'Data Schema'!$C$3*(1+B1141)^3)*$I$12)/(1+C1141)^4+(('Data Schema'!$C$3*(1+B1141)^5)*((1-$I$4-$I$5+E1141)*(1-$I$10)+$I$6-$I$11)-('Data Schema'!$C$3*(1+B1141)^5-'Data Schema'!$C$3*(1+B1141)^4)*$I$12)/(1+C1141)^5+((('Data Schema'!$C$3*(1+B1141)^5)*((1-$I$4-$I$5+E1141)*(1-$I$10)+$I$6-$I$11)-('Data Schema'!$C$3*(1+B1141)^5-'Data Schema'!$C$3*(1+B1141)^4)*$I$12)*(1+D1141)/(C1141-D1141))/(1+C1141)^5-'Data Schema'!$C$31+'Data Schema'!$C$21)/'Data Schema'!$B$17,0),"INVALID")</f>
        <v>69.315264601619234</v>
      </c>
      <c r="H1141" s="189" t="b">
        <f t="shared" ref="H1141:H1179" ca="1" si="138">AND(ISNUMBER(G1141),G1141&gt;$F$29*$B$145,G1141&lt;$F$29*$B$146)</f>
        <v>1</v>
      </c>
      <c r="I1141" s="188">
        <f t="shared" ref="I1141:I1179" ca="1" si="139">IF(AND(F1141=TRUE,H1141=TRUE),G1141,"")</f>
        <v>69.315264601619234</v>
      </c>
      <c r="J1141" s="349">
        <f t="shared" ca="1" si="132"/>
        <v>69.315264601619234</v>
      </c>
    </row>
    <row r="1142" spans="1:10">
      <c r="A1142" s="185">
        <v>963</v>
      </c>
      <c r="B1142" s="190">
        <f t="shared" ca="1" si="133"/>
        <v>0.11419941062656304</v>
      </c>
      <c r="C1142" s="190">
        <f t="shared" ca="1" si="134"/>
        <v>4.3992600606091226E-2</v>
      </c>
      <c r="D1142" s="190">
        <f t="shared" ca="1" si="135"/>
        <v>2.7582127443462036E-2</v>
      </c>
      <c r="E1142" s="190">
        <f t="shared" ca="1" si="136"/>
        <v>6.210011639380203E-3</v>
      </c>
      <c r="F1142" s="189" t="b">
        <f t="shared" ca="1" si="137"/>
        <v>1</v>
      </c>
      <c r="G1142" s="188">
        <f ca="1">IF(F1142,IFERROR(((('Data Schema'!$C$3*(1+B1142)^1)*((1-$I$4-$I$5+E1142)*(1-$I$10)+$I$6-$I$11)-('Data Schema'!$C$3*(1+B1142)^1-'Data Schema'!$C$3)*$I$12)/(1+C1142)^1+(('Data Schema'!$C$3*(1+B1142)^2)*((1-$I$4-$I$5+E1142)*(1-$I$10)+$I$6-$I$11)-('Data Schema'!$C$3*(1+B1142)^2-'Data Schema'!$C$3*(1+B1142)^1)*$I$12)/(1+C1142)^2+(('Data Schema'!$C$3*(1+B1142)^3)*((1-$I$4-$I$5+E1142)*(1-$I$10)+$I$6-$I$11)-('Data Schema'!$C$3*(1+B1142)^3-'Data Schema'!$C$3*(1+B1142)^2)*$I$12)/(1+C1142)^3+(('Data Schema'!$C$3*(1+B1142)^4)*((1-$I$4-$I$5+E1142)*(1-$I$10)+$I$6-$I$11)-('Data Schema'!$C$3*(1+B1142)^4-'Data Schema'!$C$3*(1+B1142)^3)*$I$12)/(1+C1142)^4+(('Data Schema'!$C$3*(1+B1142)^5)*((1-$I$4-$I$5+E1142)*(1-$I$10)+$I$6-$I$11)-('Data Schema'!$C$3*(1+B1142)^5-'Data Schema'!$C$3*(1+B1142)^4)*$I$12)/(1+C1142)^5+((('Data Schema'!$C$3*(1+B1142)^5)*((1-$I$4-$I$5+E1142)*(1-$I$10)+$I$6-$I$11)-('Data Schema'!$C$3*(1+B1142)^5-'Data Schema'!$C$3*(1+B1142)^4)*$I$12)*(1+D1142)/(C1142-D1142))/(1+C1142)^5-'Data Schema'!$C$31+'Data Schema'!$C$21)/'Data Schema'!$B$17,0),"INVALID")</f>
        <v>239.31104891708941</v>
      </c>
      <c r="H1142" s="189" t="b">
        <f t="shared" ca="1" si="138"/>
        <v>1</v>
      </c>
      <c r="I1142" s="188">
        <f t="shared" ca="1" si="139"/>
        <v>239.31104891708941</v>
      </c>
      <c r="J1142" s="349" t="str">
        <f t="shared" ca="1" si="132"/>
        <v/>
      </c>
    </row>
    <row r="1143" spans="1:10">
      <c r="A1143" s="184">
        <v>964</v>
      </c>
      <c r="B1143" s="190">
        <f t="shared" ca="1" si="133"/>
        <v>7.270209294158303E-2</v>
      </c>
      <c r="C1143" s="190">
        <f t="shared" ca="1" si="134"/>
        <v>5.5628565049563282E-2</v>
      </c>
      <c r="D1143" s="190">
        <f t="shared" ca="1" si="135"/>
        <v>2.063371187823405E-2</v>
      </c>
      <c r="E1143" s="190">
        <f t="shared" ca="1" si="136"/>
        <v>1.2876257364674227E-2</v>
      </c>
      <c r="F1143" s="189" t="b">
        <f t="shared" ca="1" si="137"/>
        <v>1</v>
      </c>
      <c r="G1143" s="188">
        <f ca="1">IF(F1143,IFERROR(((('Data Schema'!$C$3*(1+B1143)^1)*((1-$I$4-$I$5+E1143)*(1-$I$10)+$I$6-$I$11)-('Data Schema'!$C$3*(1+B1143)^1-'Data Schema'!$C$3)*$I$12)/(1+C1143)^1+(('Data Schema'!$C$3*(1+B1143)^2)*((1-$I$4-$I$5+E1143)*(1-$I$10)+$I$6-$I$11)-('Data Schema'!$C$3*(1+B1143)^2-'Data Schema'!$C$3*(1+B1143)^1)*$I$12)/(1+C1143)^2+(('Data Schema'!$C$3*(1+B1143)^3)*((1-$I$4-$I$5+E1143)*(1-$I$10)+$I$6-$I$11)-('Data Schema'!$C$3*(1+B1143)^3-'Data Schema'!$C$3*(1+B1143)^2)*$I$12)/(1+C1143)^3+(('Data Schema'!$C$3*(1+B1143)^4)*((1-$I$4-$I$5+E1143)*(1-$I$10)+$I$6-$I$11)-('Data Schema'!$C$3*(1+B1143)^4-'Data Schema'!$C$3*(1+B1143)^3)*$I$12)/(1+C1143)^4+(('Data Schema'!$C$3*(1+B1143)^5)*((1-$I$4-$I$5+E1143)*(1-$I$10)+$I$6-$I$11)-('Data Schema'!$C$3*(1+B1143)^5-'Data Schema'!$C$3*(1+B1143)^4)*$I$12)/(1+C1143)^5+((('Data Schema'!$C$3*(1+B1143)^5)*((1-$I$4-$I$5+E1143)*(1-$I$10)+$I$6-$I$11)-('Data Schema'!$C$3*(1+B1143)^5-'Data Schema'!$C$3*(1+B1143)^4)*$I$12)*(1+D1143)/(C1143-D1143))/(1+C1143)^5-'Data Schema'!$C$31+'Data Schema'!$C$21)/'Data Schema'!$B$17,0),"INVALID")</f>
        <v>109.43827323726758</v>
      </c>
      <c r="H1143" s="189" t="b">
        <f t="shared" ca="1" si="138"/>
        <v>1</v>
      </c>
      <c r="I1143" s="188">
        <f t="shared" ca="1" si="139"/>
        <v>109.43827323726758</v>
      </c>
      <c r="J1143" s="349">
        <f t="shared" ca="1" si="132"/>
        <v>109.43827323726758</v>
      </c>
    </row>
    <row r="1144" spans="1:10">
      <c r="A1144" s="185">
        <v>965</v>
      </c>
      <c r="B1144" s="190">
        <f t="shared" ca="1" si="133"/>
        <v>9.2196256960487236E-2</v>
      </c>
      <c r="C1144" s="190">
        <f t="shared" ca="1" si="134"/>
        <v>4.3332402715011112E-2</v>
      </c>
      <c r="D1144" s="190">
        <f t="shared" ca="1" si="135"/>
        <v>2.7532659204604765E-2</v>
      </c>
      <c r="E1144" s="190">
        <f t="shared" ca="1" si="136"/>
        <v>4.985915238473424E-4</v>
      </c>
      <c r="F1144" s="189" t="b">
        <f t="shared" ca="1" si="137"/>
        <v>1</v>
      </c>
      <c r="G1144" s="188">
        <f ca="1">IF(F1144,IFERROR(((('Data Schema'!$C$3*(1+B1144)^1)*((1-$I$4-$I$5+E1144)*(1-$I$10)+$I$6-$I$11)-('Data Schema'!$C$3*(1+B1144)^1-'Data Schema'!$C$3)*$I$12)/(1+C1144)^1+(('Data Schema'!$C$3*(1+B1144)^2)*((1-$I$4-$I$5+E1144)*(1-$I$10)+$I$6-$I$11)-('Data Schema'!$C$3*(1+B1144)^2-'Data Schema'!$C$3*(1+B1144)^1)*$I$12)/(1+C1144)^2+(('Data Schema'!$C$3*(1+B1144)^3)*((1-$I$4-$I$5+E1144)*(1-$I$10)+$I$6-$I$11)-('Data Schema'!$C$3*(1+B1144)^3-'Data Schema'!$C$3*(1+B1144)^2)*$I$12)/(1+C1144)^3+(('Data Schema'!$C$3*(1+B1144)^4)*((1-$I$4-$I$5+E1144)*(1-$I$10)+$I$6-$I$11)-('Data Schema'!$C$3*(1+B1144)^4-'Data Schema'!$C$3*(1+B1144)^3)*$I$12)/(1+C1144)^4+(('Data Schema'!$C$3*(1+B1144)^5)*((1-$I$4-$I$5+E1144)*(1-$I$10)+$I$6-$I$11)-('Data Schema'!$C$3*(1+B1144)^5-'Data Schema'!$C$3*(1+B1144)^4)*$I$12)/(1+C1144)^5+((('Data Schema'!$C$3*(1+B1144)^5)*((1-$I$4-$I$5+E1144)*(1-$I$10)+$I$6-$I$11)-('Data Schema'!$C$3*(1+B1144)^5-'Data Schema'!$C$3*(1+B1144)^4)*$I$12)*(1+D1144)/(C1144-D1144))/(1+C1144)^5-'Data Schema'!$C$31+'Data Schema'!$C$21)/'Data Schema'!$B$17,0),"INVALID")</f>
        <v>194.7384838649605</v>
      </c>
      <c r="H1144" s="189" t="b">
        <f t="shared" ca="1" si="138"/>
        <v>1</v>
      </c>
      <c r="I1144" s="188">
        <f t="shared" ca="1" si="139"/>
        <v>194.7384838649605</v>
      </c>
      <c r="J1144" s="349">
        <f t="shared" ca="1" si="132"/>
        <v>194.7384838649605</v>
      </c>
    </row>
    <row r="1145" spans="1:10">
      <c r="A1145" s="184">
        <v>966</v>
      </c>
      <c r="B1145" s="190">
        <f t="shared" ca="1" si="133"/>
        <v>5.3661906363712063E-2</v>
      </c>
      <c r="C1145" s="190">
        <f t="shared" ca="1" si="134"/>
        <v>6.7508268460224036E-2</v>
      </c>
      <c r="D1145" s="190">
        <f t="shared" ca="1" si="135"/>
        <v>1.3360625280865632E-2</v>
      </c>
      <c r="E1145" s="190">
        <f t="shared" ca="1" si="136"/>
        <v>3.0057794078897335E-2</v>
      </c>
      <c r="F1145" s="189" t="b">
        <f t="shared" ca="1" si="137"/>
        <v>1</v>
      </c>
      <c r="G1145" s="188">
        <f ca="1">IF(F1145,IFERROR(((('Data Schema'!$C$3*(1+B1145)^1)*((1-$I$4-$I$5+E1145)*(1-$I$10)+$I$6-$I$11)-('Data Schema'!$C$3*(1+B1145)^1-'Data Schema'!$C$3)*$I$12)/(1+C1145)^1+(('Data Schema'!$C$3*(1+B1145)^2)*((1-$I$4-$I$5+E1145)*(1-$I$10)+$I$6-$I$11)-('Data Schema'!$C$3*(1+B1145)^2-'Data Schema'!$C$3*(1+B1145)^1)*$I$12)/(1+C1145)^2+(('Data Schema'!$C$3*(1+B1145)^3)*((1-$I$4-$I$5+E1145)*(1-$I$10)+$I$6-$I$11)-('Data Schema'!$C$3*(1+B1145)^3-'Data Schema'!$C$3*(1+B1145)^2)*$I$12)/(1+C1145)^3+(('Data Schema'!$C$3*(1+B1145)^4)*((1-$I$4-$I$5+E1145)*(1-$I$10)+$I$6-$I$11)-('Data Schema'!$C$3*(1+B1145)^4-'Data Schema'!$C$3*(1+B1145)^3)*$I$12)/(1+C1145)^4+(('Data Schema'!$C$3*(1+B1145)^5)*((1-$I$4-$I$5+E1145)*(1-$I$10)+$I$6-$I$11)-('Data Schema'!$C$3*(1+B1145)^5-'Data Schema'!$C$3*(1+B1145)^4)*$I$12)/(1+C1145)^5+((('Data Schema'!$C$3*(1+B1145)^5)*((1-$I$4-$I$5+E1145)*(1-$I$10)+$I$6-$I$11)-('Data Schema'!$C$3*(1+B1145)^5-'Data Schema'!$C$3*(1+B1145)^4)*$I$12)*(1+D1145)/(C1145-D1145))/(1+C1145)^5-'Data Schema'!$C$31+'Data Schema'!$C$21)/'Data Schema'!$B$17,0),"INVALID")</f>
        <v>89.846153353381666</v>
      </c>
      <c r="H1145" s="189" t="b">
        <f t="shared" ca="1" si="138"/>
        <v>1</v>
      </c>
      <c r="I1145" s="188">
        <f t="shared" ca="1" si="139"/>
        <v>89.846153353381666</v>
      </c>
      <c r="J1145" s="349">
        <f t="shared" ca="1" si="132"/>
        <v>89.846153353381666</v>
      </c>
    </row>
    <row r="1146" spans="1:10">
      <c r="A1146" s="185">
        <v>967</v>
      </c>
      <c r="B1146" s="190">
        <f t="shared" ca="1" si="133"/>
        <v>9.1443422569260524E-2</v>
      </c>
      <c r="C1146" s="190">
        <f t="shared" ca="1" si="134"/>
        <v>6.3051857055676036E-2</v>
      </c>
      <c r="D1146" s="190">
        <f t="shared" ca="1" si="135"/>
        <v>2.682774581826345E-2</v>
      </c>
      <c r="E1146" s="190">
        <f t="shared" ca="1" si="136"/>
        <v>1.4357087115797369E-2</v>
      </c>
      <c r="F1146" s="189" t="b">
        <f t="shared" ca="1" si="137"/>
        <v>1</v>
      </c>
      <c r="G1146" s="188">
        <f ca="1">IF(F1146,IFERROR(((('Data Schema'!$C$3*(1+B1146)^1)*((1-$I$4-$I$5+E1146)*(1-$I$10)+$I$6-$I$11)-('Data Schema'!$C$3*(1+B1146)^1-'Data Schema'!$C$3)*$I$12)/(1+C1146)^1+(('Data Schema'!$C$3*(1+B1146)^2)*((1-$I$4-$I$5+E1146)*(1-$I$10)+$I$6-$I$11)-('Data Schema'!$C$3*(1+B1146)^2-'Data Schema'!$C$3*(1+B1146)^1)*$I$12)/(1+C1146)^2+(('Data Schema'!$C$3*(1+B1146)^3)*((1-$I$4-$I$5+E1146)*(1-$I$10)+$I$6-$I$11)-('Data Schema'!$C$3*(1+B1146)^3-'Data Schema'!$C$3*(1+B1146)^2)*$I$12)/(1+C1146)^3+(('Data Schema'!$C$3*(1+B1146)^4)*((1-$I$4-$I$5+E1146)*(1-$I$10)+$I$6-$I$11)-('Data Schema'!$C$3*(1+B1146)^4-'Data Schema'!$C$3*(1+B1146)^3)*$I$12)/(1+C1146)^4+(('Data Schema'!$C$3*(1+B1146)^5)*((1-$I$4-$I$5+E1146)*(1-$I$10)+$I$6-$I$11)-('Data Schema'!$C$3*(1+B1146)^5-'Data Schema'!$C$3*(1+B1146)^4)*$I$12)/(1+C1146)^5+((('Data Schema'!$C$3*(1+B1146)^5)*((1-$I$4-$I$5+E1146)*(1-$I$10)+$I$6-$I$11)-('Data Schema'!$C$3*(1+B1146)^5-'Data Schema'!$C$3*(1+B1146)^4)*$I$12)*(1+D1146)/(C1146-D1146))/(1+C1146)^5-'Data Schema'!$C$31+'Data Schema'!$C$21)/'Data Schema'!$B$17,0),"INVALID")</f>
        <v>114.95317047337313</v>
      </c>
      <c r="H1146" s="189" t="b">
        <f t="shared" ca="1" si="138"/>
        <v>1</v>
      </c>
      <c r="I1146" s="188">
        <f t="shared" ca="1" si="139"/>
        <v>114.95317047337313</v>
      </c>
      <c r="J1146" s="349">
        <f t="shared" ca="1" si="132"/>
        <v>114.95317047337313</v>
      </c>
    </row>
    <row r="1147" spans="1:10">
      <c r="A1147" s="184">
        <v>968</v>
      </c>
      <c r="B1147" s="190">
        <f t="shared" ca="1" si="133"/>
        <v>9.9453841172998381E-2</v>
      </c>
      <c r="C1147" s="190">
        <f t="shared" ca="1" si="134"/>
        <v>4.1389793991956469E-2</v>
      </c>
      <c r="D1147" s="190">
        <f t="shared" ca="1" si="135"/>
        <v>2.7004119538999331E-2</v>
      </c>
      <c r="E1147" s="190">
        <f t="shared" ca="1" si="136"/>
        <v>3.257200095123417E-3</v>
      </c>
      <c r="F1147" s="189" t="b">
        <f t="shared" ca="1" si="137"/>
        <v>0</v>
      </c>
      <c r="G1147" s="188" t="str">
        <f ca="1">IF(F1147,IFERROR(((('Data Schema'!$C$3*(1+B1147)^1)*((1-$I$4-$I$5+E1147)*(1-$I$10)+$I$6-$I$11)-('Data Schema'!$C$3*(1+B1147)^1-'Data Schema'!$C$3)*$I$12)/(1+C1147)^1+(('Data Schema'!$C$3*(1+B1147)^2)*((1-$I$4-$I$5+E1147)*(1-$I$10)+$I$6-$I$11)-('Data Schema'!$C$3*(1+B1147)^2-'Data Schema'!$C$3*(1+B1147)^1)*$I$12)/(1+C1147)^2+(('Data Schema'!$C$3*(1+B1147)^3)*((1-$I$4-$I$5+E1147)*(1-$I$10)+$I$6-$I$11)-('Data Schema'!$C$3*(1+B1147)^3-'Data Schema'!$C$3*(1+B1147)^2)*$I$12)/(1+C1147)^3+(('Data Schema'!$C$3*(1+B1147)^4)*((1-$I$4-$I$5+E1147)*(1-$I$10)+$I$6-$I$11)-('Data Schema'!$C$3*(1+B1147)^4-'Data Schema'!$C$3*(1+B1147)^3)*$I$12)/(1+C1147)^4+(('Data Schema'!$C$3*(1+B1147)^5)*((1-$I$4-$I$5+E1147)*(1-$I$10)+$I$6-$I$11)-('Data Schema'!$C$3*(1+B1147)^5-'Data Schema'!$C$3*(1+B1147)^4)*$I$12)/(1+C1147)^5+((('Data Schema'!$C$3*(1+B1147)^5)*((1-$I$4-$I$5+E1147)*(1-$I$10)+$I$6-$I$11)-('Data Schema'!$C$3*(1+B1147)^5-'Data Schema'!$C$3*(1+B1147)^4)*$I$12)*(1+D1147)/(C1147-D1147))/(1+C1147)^5-'Data Schema'!$C$31+'Data Schema'!$C$21)/'Data Schema'!$B$17,0),"INVALID")</f>
        <v>INVALID</v>
      </c>
      <c r="H1147" s="189" t="b">
        <f t="shared" ca="1" si="138"/>
        <v>0</v>
      </c>
      <c r="I1147" s="188" t="str">
        <f t="shared" ca="1" si="139"/>
        <v/>
      </c>
      <c r="J1147" s="349" t="str">
        <f t="shared" ca="1" si="132"/>
        <v/>
      </c>
    </row>
    <row r="1148" spans="1:10">
      <c r="A1148" s="185">
        <v>969</v>
      </c>
      <c r="B1148" s="190">
        <f t="shared" ca="1" si="133"/>
        <v>0.11766797210815726</v>
      </c>
      <c r="C1148" s="190">
        <f t="shared" ca="1" si="134"/>
        <v>5.4884270338494502E-2</v>
      </c>
      <c r="D1148" s="190">
        <f t="shared" ca="1" si="135"/>
        <v>2.3500030998337047E-2</v>
      </c>
      <c r="E1148" s="190">
        <f t="shared" ca="1" si="136"/>
        <v>1.9595437300840052E-3</v>
      </c>
      <c r="F1148" s="189" t="b">
        <f t="shared" ca="1" si="137"/>
        <v>1</v>
      </c>
      <c r="G1148" s="188">
        <f ca="1">IF(F1148,IFERROR(((('Data Schema'!$C$3*(1+B1148)^1)*((1-$I$4-$I$5+E1148)*(1-$I$10)+$I$6-$I$11)-('Data Schema'!$C$3*(1+B1148)^1-'Data Schema'!$C$3)*$I$12)/(1+C1148)^1+(('Data Schema'!$C$3*(1+B1148)^2)*((1-$I$4-$I$5+E1148)*(1-$I$10)+$I$6-$I$11)-('Data Schema'!$C$3*(1+B1148)^2-'Data Schema'!$C$3*(1+B1148)^1)*$I$12)/(1+C1148)^2+(('Data Schema'!$C$3*(1+B1148)^3)*((1-$I$4-$I$5+E1148)*(1-$I$10)+$I$6-$I$11)-('Data Schema'!$C$3*(1+B1148)^3-'Data Schema'!$C$3*(1+B1148)^2)*$I$12)/(1+C1148)^3+(('Data Schema'!$C$3*(1+B1148)^4)*((1-$I$4-$I$5+E1148)*(1-$I$10)+$I$6-$I$11)-('Data Schema'!$C$3*(1+B1148)^4-'Data Schema'!$C$3*(1+B1148)^3)*$I$12)/(1+C1148)^4+(('Data Schema'!$C$3*(1+B1148)^5)*((1-$I$4-$I$5+E1148)*(1-$I$10)+$I$6-$I$11)-('Data Schema'!$C$3*(1+B1148)^5-'Data Schema'!$C$3*(1+B1148)^4)*$I$12)/(1+C1148)^5+((('Data Schema'!$C$3*(1+B1148)^5)*((1-$I$4-$I$5+E1148)*(1-$I$10)+$I$6-$I$11)-('Data Schema'!$C$3*(1+B1148)^5-'Data Schema'!$C$3*(1+B1148)^4)*$I$12)*(1+D1148)/(C1148-D1148))/(1+C1148)^5-'Data Schema'!$C$31+'Data Schema'!$C$21)/'Data Schema'!$B$17,0),"INVALID")</f>
        <v>110.11378230339314</v>
      </c>
      <c r="H1148" s="189" t="b">
        <f t="shared" ca="1" si="138"/>
        <v>1</v>
      </c>
      <c r="I1148" s="188">
        <f t="shared" ca="1" si="139"/>
        <v>110.11378230339314</v>
      </c>
      <c r="J1148" s="349">
        <f t="shared" ca="1" si="132"/>
        <v>110.11378230339314</v>
      </c>
    </row>
    <row r="1149" spans="1:10">
      <c r="A1149" s="184">
        <v>970</v>
      </c>
      <c r="B1149" s="190">
        <f t="shared" ca="1" si="133"/>
        <v>9.4104181926459959E-2</v>
      </c>
      <c r="C1149" s="190">
        <f t="shared" ca="1" si="134"/>
        <v>5.6296996092077237E-2</v>
      </c>
      <c r="D1149" s="190">
        <f t="shared" ca="1" si="135"/>
        <v>3.2488297759405663E-2</v>
      </c>
      <c r="E1149" s="190">
        <f t="shared" ca="1" si="136"/>
        <v>1.7508874836049959E-2</v>
      </c>
      <c r="F1149" s="189" t="b">
        <f t="shared" ca="1" si="137"/>
        <v>1</v>
      </c>
      <c r="G1149" s="188">
        <f ca="1">IF(F1149,IFERROR(((('Data Schema'!$C$3*(1+B1149)^1)*((1-$I$4-$I$5+E1149)*(1-$I$10)+$I$6-$I$11)-('Data Schema'!$C$3*(1+B1149)^1-'Data Schema'!$C$3)*$I$12)/(1+C1149)^1+(('Data Schema'!$C$3*(1+B1149)^2)*((1-$I$4-$I$5+E1149)*(1-$I$10)+$I$6-$I$11)-('Data Schema'!$C$3*(1+B1149)^2-'Data Schema'!$C$3*(1+B1149)^1)*$I$12)/(1+C1149)^2+(('Data Schema'!$C$3*(1+B1149)^3)*((1-$I$4-$I$5+E1149)*(1-$I$10)+$I$6-$I$11)-('Data Schema'!$C$3*(1+B1149)^3-'Data Schema'!$C$3*(1+B1149)^2)*$I$12)/(1+C1149)^3+(('Data Schema'!$C$3*(1+B1149)^4)*((1-$I$4-$I$5+E1149)*(1-$I$10)+$I$6-$I$11)-('Data Schema'!$C$3*(1+B1149)^4-'Data Schema'!$C$3*(1+B1149)^3)*$I$12)/(1+C1149)^4+(('Data Schema'!$C$3*(1+B1149)^5)*((1-$I$4-$I$5+E1149)*(1-$I$10)+$I$6-$I$11)-('Data Schema'!$C$3*(1+B1149)^5-'Data Schema'!$C$3*(1+B1149)^4)*$I$12)/(1+C1149)^5+((('Data Schema'!$C$3*(1+B1149)^5)*((1-$I$4-$I$5+E1149)*(1-$I$10)+$I$6-$I$11)-('Data Schema'!$C$3*(1+B1149)^5-'Data Schema'!$C$3*(1+B1149)^4)*$I$12)*(1+D1149)/(C1149-D1149))/(1+C1149)^5-'Data Schema'!$C$31+'Data Schema'!$C$21)/'Data Schema'!$B$17,0),"INVALID")</f>
        <v>189.79815404363023</v>
      </c>
      <c r="H1149" s="189" t="b">
        <f t="shared" ca="1" si="138"/>
        <v>1</v>
      </c>
      <c r="I1149" s="188">
        <f t="shared" ca="1" si="139"/>
        <v>189.79815404363023</v>
      </c>
      <c r="J1149" s="349">
        <f t="shared" ca="1" si="132"/>
        <v>189.79815404363023</v>
      </c>
    </row>
    <row r="1150" spans="1:10">
      <c r="A1150" s="185">
        <v>971</v>
      </c>
      <c r="B1150" s="190">
        <f t="shared" ca="1" si="133"/>
        <v>8.5350125614871597E-2</v>
      </c>
      <c r="C1150" s="190">
        <f t="shared" ca="1" si="134"/>
        <v>5.1306672583286257E-2</v>
      </c>
      <c r="D1150" s="190">
        <f t="shared" ca="1" si="135"/>
        <v>1.3252250157076692E-2</v>
      </c>
      <c r="E1150" s="190">
        <f t="shared" ca="1" si="136"/>
        <v>3.5802005652626957E-2</v>
      </c>
      <c r="F1150" s="189" t="b">
        <f t="shared" ca="1" si="137"/>
        <v>1</v>
      </c>
      <c r="G1150" s="188">
        <f ca="1">IF(F1150,IFERROR(((('Data Schema'!$C$3*(1+B1150)^1)*((1-$I$4-$I$5+E1150)*(1-$I$10)+$I$6-$I$11)-('Data Schema'!$C$3*(1+B1150)^1-'Data Schema'!$C$3)*$I$12)/(1+C1150)^1+(('Data Schema'!$C$3*(1+B1150)^2)*((1-$I$4-$I$5+E1150)*(1-$I$10)+$I$6-$I$11)-('Data Schema'!$C$3*(1+B1150)^2-'Data Schema'!$C$3*(1+B1150)^1)*$I$12)/(1+C1150)^2+(('Data Schema'!$C$3*(1+B1150)^3)*((1-$I$4-$I$5+E1150)*(1-$I$10)+$I$6-$I$11)-('Data Schema'!$C$3*(1+B1150)^3-'Data Schema'!$C$3*(1+B1150)^2)*$I$12)/(1+C1150)^3+(('Data Schema'!$C$3*(1+B1150)^4)*((1-$I$4-$I$5+E1150)*(1-$I$10)+$I$6-$I$11)-('Data Schema'!$C$3*(1+B1150)^4-'Data Schema'!$C$3*(1+B1150)^3)*$I$12)/(1+C1150)^4+(('Data Schema'!$C$3*(1+B1150)^5)*((1-$I$4-$I$5+E1150)*(1-$I$10)+$I$6-$I$11)-('Data Schema'!$C$3*(1+B1150)^5-'Data Schema'!$C$3*(1+B1150)^4)*$I$12)/(1+C1150)^5+((('Data Schema'!$C$3*(1+B1150)^5)*((1-$I$4-$I$5+E1150)*(1-$I$10)+$I$6-$I$11)-('Data Schema'!$C$3*(1+B1150)^5-'Data Schema'!$C$3*(1+B1150)^4)*$I$12)*(1+D1150)/(C1150-D1150))/(1+C1150)^5-'Data Schema'!$C$31+'Data Schema'!$C$21)/'Data Schema'!$B$17,0),"INVALID")</f>
        <v>164.51143871410048</v>
      </c>
      <c r="H1150" s="189" t="b">
        <f t="shared" ca="1" si="138"/>
        <v>1</v>
      </c>
      <c r="I1150" s="188">
        <f t="shared" ca="1" si="139"/>
        <v>164.51143871410048</v>
      </c>
      <c r="J1150" s="349">
        <f t="shared" ca="1" si="132"/>
        <v>164.51143871410048</v>
      </c>
    </row>
    <row r="1151" spans="1:10">
      <c r="A1151" s="184">
        <v>972</v>
      </c>
      <c r="B1151" s="190">
        <f t="shared" ca="1" si="133"/>
        <v>8.7189698411266531E-2</v>
      </c>
      <c r="C1151" s="190">
        <f t="shared" ca="1" si="134"/>
        <v>4.5389824962812853E-2</v>
      </c>
      <c r="D1151" s="190">
        <f t="shared" ca="1" si="135"/>
        <v>3.5251588904035173E-2</v>
      </c>
      <c r="E1151" s="190">
        <f t="shared" ca="1" si="136"/>
        <v>1.7110893468698241E-4</v>
      </c>
      <c r="F1151" s="189" t="b">
        <f t="shared" ca="1" si="137"/>
        <v>0</v>
      </c>
      <c r="G1151" s="188" t="str">
        <f ca="1">IF(F1151,IFERROR(((('Data Schema'!$C$3*(1+B1151)^1)*((1-$I$4-$I$5+E1151)*(1-$I$10)+$I$6-$I$11)-('Data Schema'!$C$3*(1+B1151)^1-'Data Schema'!$C$3)*$I$12)/(1+C1151)^1+(('Data Schema'!$C$3*(1+B1151)^2)*((1-$I$4-$I$5+E1151)*(1-$I$10)+$I$6-$I$11)-('Data Schema'!$C$3*(1+B1151)^2-'Data Schema'!$C$3*(1+B1151)^1)*$I$12)/(1+C1151)^2+(('Data Schema'!$C$3*(1+B1151)^3)*((1-$I$4-$I$5+E1151)*(1-$I$10)+$I$6-$I$11)-('Data Schema'!$C$3*(1+B1151)^3-'Data Schema'!$C$3*(1+B1151)^2)*$I$12)/(1+C1151)^3+(('Data Schema'!$C$3*(1+B1151)^4)*((1-$I$4-$I$5+E1151)*(1-$I$10)+$I$6-$I$11)-('Data Schema'!$C$3*(1+B1151)^4-'Data Schema'!$C$3*(1+B1151)^3)*$I$12)/(1+C1151)^4+(('Data Schema'!$C$3*(1+B1151)^5)*((1-$I$4-$I$5+E1151)*(1-$I$10)+$I$6-$I$11)-('Data Schema'!$C$3*(1+B1151)^5-'Data Schema'!$C$3*(1+B1151)^4)*$I$12)/(1+C1151)^5+((('Data Schema'!$C$3*(1+B1151)^5)*((1-$I$4-$I$5+E1151)*(1-$I$10)+$I$6-$I$11)-('Data Schema'!$C$3*(1+B1151)^5-'Data Schema'!$C$3*(1+B1151)^4)*$I$12)*(1+D1151)/(C1151-D1151))/(1+C1151)^5-'Data Schema'!$C$31+'Data Schema'!$C$21)/'Data Schema'!$B$17,0),"INVALID")</f>
        <v>INVALID</v>
      </c>
      <c r="H1151" s="189" t="b">
        <f t="shared" ca="1" si="138"/>
        <v>0</v>
      </c>
      <c r="I1151" s="188" t="str">
        <f t="shared" ca="1" si="139"/>
        <v/>
      </c>
      <c r="J1151" s="349" t="str">
        <f t="shared" ca="1" si="132"/>
        <v/>
      </c>
    </row>
    <row r="1152" spans="1:10">
      <c r="A1152" s="185">
        <v>973</v>
      </c>
      <c r="B1152" s="190">
        <f t="shared" ca="1" si="133"/>
        <v>0.10912688471484498</v>
      </c>
      <c r="C1152" s="190">
        <f t="shared" ca="1" si="134"/>
        <v>6.7613458632625495E-2</v>
      </c>
      <c r="D1152" s="190">
        <f t="shared" ca="1" si="135"/>
        <v>2.603347635276778E-2</v>
      </c>
      <c r="E1152" s="190">
        <f t="shared" ca="1" si="136"/>
        <v>1.7321504552158329E-3</v>
      </c>
      <c r="F1152" s="189" t="b">
        <f t="shared" ca="1" si="137"/>
        <v>1</v>
      </c>
      <c r="G1152" s="188">
        <f ca="1">IF(F1152,IFERROR(((('Data Schema'!$C$3*(1+B1152)^1)*((1-$I$4-$I$5+E1152)*(1-$I$10)+$I$6-$I$11)-('Data Schema'!$C$3*(1+B1152)^1-'Data Schema'!$C$3)*$I$12)/(1+C1152)^1+(('Data Schema'!$C$3*(1+B1152)^2)*((1-$I$4-$I$5+E1152)*(1-$I$10)+$I$6-$I$11)-('Data Schema'!$C$3*(1+B1152)^2-'Data Schema'!$C$3*(1+B1152)^1)*$I$12)/(1+C1152)^2+(('Data Schema'!$C$3*(1+B1152)^3)*((1-$I$4-$I$5+E1152)*(1-$I$10)+$I$6-$I$11)-('Data Schema'!$C$3*(1+B1152)^3-'Data Schema'!$C$3*(1+B1152)^2)*$I$12)/(1+C1152)^3+(('Data Schema'!$C$3*(1+B1152)^4)*((1-$I$4-$I$5+E1152)*(1-$I$10)+$I$6-$I$11)-('Data Schema'!$C$3*(1+B1152)^4-'Data Schema'!$C$3*(1+B1152)^3)*$I$12)/(1+C1152)^4+(('Data Schema'!$C$3*(1+B1152)^5)*((1-$I$4-$I$5+E1152)*(1-$I$10)+$I$6-$I$11)-('Data Schema'!$C$3*(1+B1152)^5-'Data Schema'!$C$3*(1+B1152)^4)*$I$12)/(1+C1152)^5+((('Data Schema'!$C$3*(1+B1152)^5)*((1-$I$4-$I$5+E1152)*(1-$I$10)+$I$6-$I$11)-('Data Schema'!$C$3*(1+B1152)^5-'Data Schema'!$C$3*(1+B1152)^4)*$I$12)*(1+D1152)/(C1152-D1152))/(1+C1152)^5-'Data Schema'!$C$31+'Data Schema'!$C$21)/'Data Schema'!$B$17,0),"INVALID")</f>
        <v>76.806776597253617</v>
      </c>
      <c r="H1152" s="189" t="b">
        <f t="shared" ca="1" si="138"/>
        <v>1</v>
      </c>
      <c r="I1152" s="188">
        <f t="shared" ca="1" si="139"/>
        <v>76.806776597253617</v>
      </c>
      <c r="J1152" s="349">
        <f t="shared" ca="1" si="132"/>
        <v>76.806776597253617</v>
      </c>
    </row>
    <row r="1153" spans="1:10">
      <c r="A1153" s="184">
        <v>974</v>
      </c>
      <c r="B1153" s="190">
        <f t="shared" ca="1" si="133"/>
        <v>0.11602159468278546</v>
      </c>
      <c r="C1153" s="190">
        <f t="shared" ca="1" si="134"/>
        <v>4.6577726085055636E-2</v>
      </c>
      <c r="D1153" s="190">
        <f t="shared" ca="1" si="135"/>
        <v>2.358067778989998E-2</v>
      </c>
      <c r="E1153" s="190">
        <f t="shared" ca="1" si="136"/>
        <v>-8.0862123280037324E-3</v>
      </c>
      <c r="F1153" s="189" t="b">
        <f t="shared" ca="1" si="137"/>
        <v>1</v>
      </c>
      <c r="G1153" s="188">
        <f ca="1">IF(F1153,IFERROR(((('Data Schema'!$C$3*(1+B1153)^1)*((1-$I$4-$I$5+E1153)*(1-$I$10)+$I$6-$I$11)-('Data Schema'!$C$3*(1+B1153)^1-'Data Schema'!$C$3)*$I$12)/(1+C1153)^1+(('Data Schema'!$C$3*(1+B1153)^2)*((1-$I$4-$I$5+E1153)*(1-$I$10)+$I$6-$I$11)-('Data Schema'!$C$3*(1+B1153)^2-'Data Schema'!$C$3*(1+B1153)^1)*$I$12)/(1+C1153)^2+(('Data Schema'!$C$3*(1+B1153)^3)*((1-$I$4-$I$5+E1153)*(1-$I$10)+$I$6-$I$11)-('Data Schema'!$C$3*(1+B1153)^3-'Data Schema'!$C$3*(1+B1153)^2)*$I$12)/(1+C1153)^3+(('Data Schema'!$C$3*(1+B1153)^4)*((1-$I$4-$I$5+E1153)*(1-$I$10)+$I$6-$I$11)-('Data Schema'!$C$3*(1+B1153)^4-'Data Schema'!$C$3*(1+B1153)^3)*$I$12)/(1+C1153)^4+(('Data Schema'!$C$3*(1+B1153)^5)*((1-$I$4-$I$5+E1153)*(1-$I$10)+$I$6-$I$11)-('Data Schema'!$C$3*(1+B1153)^5-'Data Schema'!$C$3*(1+B1153)^4)*$I$12)/(1+C1153)^5+((('Data Schema'!$C$3*(1+B1153)^5)*((1-$I$4-$I$5+E1153)*(1-$I$10)+$I$6-$I$11)-('Data Schema'!$C$3*(1+B1153)^5-'Data Schema'!$C$3*(1+B1153)^4)*$I$12)*(1+D1153)/(C1153-D1153))/(1+C1153)^5-'Data Schema'!$C$31+'Data Schema'!$C$21)/'Data Schema'!$B$17,0),"INVALID")</f>
        <v>107.55392773975828</v>
      </c>
      <c r="H1153" s="189" t="b">
        <f t="shared" ca="1" si="138"/>
        <v>1</v>
      </c>
      <c r="I1153" s="188">
        <f t="shared" ca="1" si="139"/>
        <v>107.55392773975828</v>
      </c>
      <c r="J1153" s="349">
        <f t="shared" ca="1" si="132"/>
        <v>107.55392773975828</v>
      </c>
    </row>
    <row r="1154" spans="1:10">
      <c r="A1154" s="185">
        <v>975</v>
      </c>
      <c r="B1154" s="190">
        <f t="shared" ca="1" si="133"/>
        <v>9.3028238270742691E-2</v>
      </c>
      <c r="C1154" s="190">
        <f t="shared" ca="1" si="134"/>
        <v>6.0737074039643506E-2</v>
      </c>
      <c r="D1154" s="190">
        <f t="shared" ca="1" si="135"/>
        <v>2.1784718510794832E-2</v>
      </c>
      <c r="E1154" s="190">
        <f t="shared" ca="1" si="136"/>
        <v>-3.0320867343756303E-2</v>
      </c>
      <c r="F1154" s="189" t="b">
        <f t="shared" ca="1" si="137"/>
        <v>1</v>
      </c>
      <c r="G1154" s="188">
        <f ca="1">IF(F1154,IFERROR(((('Data Schema'!$C$3*(1+B1154)^1)*((1-$I$4-$I$5+E1154)*(1-$I$10)+$I$6-$I$11)-('Data Schema'!$C$3*(1+B1154)^1-'Data Schema'!$C$3)*$I$12)/(1+C1154)^1+(('Data Schema'!$C$3*(1+B1154)^2)*((1-$I$4-$I$5+E1154)*(1-$I$10)+$I$6-$I$11)-('Data Schema'!$C$3*(1+B1154)^2-'Data Schema'!$C$3*(1+B1154)^1)*$I$12)/(1+C1154)^2+(('Data Schema'!$C$3*(1+B1154)^3)*((1-$I$4-$I$5+E1154)*(1-$I$10)+$I$6-$I$11)-('Data Schema'!$C$3*(1+B1154)^3-'Data Schema'!$C$3*(1+B1154)^2)*$I$12)/(1+C1154)^3+(('Data Schema'!$C$3*(1+B1154)^4)*((1-$I$4-$I$5+E1154)*(1-$I$10)+$I$6-$I$11)-('Data Schema'!$C$3*(1+B1154)^4-'Data Schema'!$C$3*(1+B1154)^3)*$I$12)/(1+C1154)^4+(('Data Schema'!$C$3*(1+B1154)^5)*((1-$I$4-$I$5+E1154)*(1-$I$10)+$I$6-$I$11)-('Data Schema'!$C$3*(1+B1154)^5-'Data Schema'!$C$3*(1+B1154)^4)*$I$12)/(1+C1154)^5+((('Data Schema'!$C$3*(1+B1154)^5)*((1-$I$4-$I$5+E1154)*(1-$I$10)+$I$6-$I$11)-('Data Schema'!$C$3*(1+B1154)^5-'Data Schema'!$C$3*(1+B1154)^4)*$I$12)*(1+D1154)/(C1154-D1154))/(1+C1154)^5-'Data Schema'!$C$31+'Data Schema'!$C$21)/'Data Schema'!$B$17,0),"INVALID")</f>
        <v>1.9450530276148286</v>
      </c>
      <c r="H1154" s="189" t="b">
        <f t="shared" ca="1" si="138"/>
        <v>0</v>
      </c>
      <c r="I1154" s="188" t="str">
        <f t="shared" ca="1" si="139"/>
        <v/>
      </c>
      <c r="J1154" s="349" t="str">
        <f t="shared" ca="1" si="132"/>
        <v/>
      </c>
    </row>
    <row r="1155" spans="1:10">
      <c r="A1155" s="184">
        <v>976</v>
      </c>
      <c r="B1155" s="190">
        <f t="shared" ca="1" si="133"/>
        <v>0.10837252372889675</v>
      </c>
      <c r="C1155" s="190">
        <f t="shared" ca="1" si="134"/>
        <v>5.8836310176991258E-2</v>
      </c>
      <c r="D1155" s="190">
        <f t="shared" ca="1" si="135"/>
        <v>2.7137362406070592E-2</v>
      </c>
      <c r="E1155" s="190">
        <f t="shared" ca="1" si="136"/>
        <v>8.0889218008238992E-3</v>
      </c>
      <c r="F1155" s="189" t="b">
        <f t="shared" ca="1" si="137"/>
        <v>1</v>
      </c>
      <c r="G1155" s="188">
        <f ca="1">IF(F1155,IFERROR(((('Data Schema'!$C$3*(1+B1155)^1)*((1-$I$4-$I$5+E1155)*(1-$I$10)+$I$6-$I$11)-('Data Schema'!$C$3*(1+B1155)^1-'Data Schema'!$C$3)*$I$12)/(1+C1155)^1+(('Data Schema'!$C$3*(1+B1155)^2)*((1-$I$4-$I$5+E1155)*(1-$I$10)+$I$6-$I$11)-('Data Schema'!$C$3*(1+B1155)^2-'Data Schema'!$C$3*(1+B1155)^1)*$I$12)/(1+C1155)^2+(('Data Schema'!$C$3*(1+B1155)^3)*((1-$I$4-$I$5+E1155)*(1-$I$10)+$I$6-$I$11)-('Data Schema'!$C$3*(1+B1155)^3-'Data Schema'!$C$3*(1+B1155)^2)*$I$12)/(1+C1155)^3+(('Data Schema'!$C$3*(1+B1155)^4)*((1-$I$4-$I$5+E1155)*(1-$I$10)+$I$6-$I$11)-('Data Schema'!$C$3*(1+B1155)^4-'Data Schema'!$C$3*(1+B1155)^3)*$I$12)/(1+C1155)^4+(('Data Schema'!$C$3*(1+B1155)^5)*((1-$I$4-$I$5+E1155)*(1-$I$10)+$I$6-$I$11)-('Data Schema'!$C$3*(1+B1155)^5-'Data Schema'!$C$3*(1+B1155)^4)*$I$12)/(1+C1155)^5+((('Data Schema'!$C$3*(1+B1155)^5)*((1-$I$4-$I$5+E1155)*(1-$I$10)+$I$6-$I$11)-('Data Schema'!$C$3*(1+B1155)^5-'Data Schema'!$C$3*(1+B1155)^4)*$I$12)*(1+D1155)/(C1155-D1155))/(1+C1155)^5-'Data Schema'!$C$31+'Data Schema'!$C$21)/'Data Schema'!$B$17,0),"INVALID")</f>
        <v>122.54107076782741</v>
      </c>
      <c r="H1155" s="189" t="b">
        <f t="shared" ca="1" si="138"/>
        <v>1</v>
      </c>
      <c r="I1155" s="188">
        <f t="shared" ca="1" si="139"/>
        <v>122.54107076782741</v>
      </c>
      <c r="J1155" s="349">
        <f t="shared" ca="1" si="132"/>
        <v>122.54107076782741</v>
      </c>
    </row>
    <row r="1156" spans="1:10">
      <c r="A1156" s="185">
        <v>977</v>
      </c>
      <c r="B1156" s="190">
        <f t="shared" ca="1" si="133"/>
        <v>0.10492675036693051</v>
      </c>
      <c r="C1156" s="190">
        <f t="shared" ca="1" si="134"/>
        <v>6.0949747098306216E-2</v>
      </c>
      <c r="D1156" s="190">
        <f t="shared" ca="1" si="135"/>
        <v>2.0199448253775634E-2</v>
      </c>
      <c r="E1156" s="190">
        <f t="shared" ca="1" si="136"/>
        <v>6.6225515053463927E-4</v>
      </c>
      <c r="F1156" s="189" t="b">
        <f t="shared" ca="1" si="137"/>
        <v>1</v>
      </c>
      <c r="G1156" s="188">
        <f ca="1">IF(F1156,IFERROR(((('Data Schema'!$C$3*(1+B1156)^1)*((1-$I$4-$I$5+E1156)*(1-$I$10)+$I$6-$I$11)-('Data Schema'!$C$3*(1+B1156)^1-'Data Schema'!$C$3)*$I$12)/(1+C1156)^1+(('Data Schema'!$C$3*(1+B1156)^2)*((1-$I$4-$I$5+E1156)*(1-$I$10)+$I$6-$I$11)-('Data Schema'!$C$3*(1+B1156)^2-'Data Schema'!$C$3*(1+B1156)^1)*$I$12)/(1+C1156)^2+(('Data Schema'!$C$3*(1+B1156)^3)*((1-$I$4-$I$5+E1156)*(1-$I$10)+$I$6-$I$11)-('Data Schema'!$C$3*(1+B1156)^3-'Data Schema'!$C$3*(1+B1156)^2)*$I$12)/(1+C1156)^3+(('Data Schema'!$C$3*(1+B1156)^4)*((1-$I$4-$I$5+E1156)*(1-$I$10)+$I$6-$I$11)-('Data Schema'!$C$3*(1+B1156)^4-'Data Schema'!$C$3*(1+B1156)^3)*$I$12)/(1+C1156)^4+(('Data Schema'!$C$3*(1+B1156)^5)*((1-$I$4-$I$5+E1156)*(1-$I$10)+$I$6-$I$11)-('Data Schema'!$C$3*(1+B1156)^5-'Data Schema'!$C$3*(1+B1156)^4)*$I$12)/(1+C1156)^5+((('Data Schema'!$C$3*(1+B1156)^5)*((1-$I$4-$I$5+E1156)*(1-$I$10)+$I$6-$I$11)-('Data Schema'!$C$3*(1+B1156)^5-'Data Schema'!$C$3*(1+B1156)^4)*$I$12)*(1+D1156)/(C1156-D1156))/(1+C1156)^5-'Data Schema'!$C$31+'Data Schema'!$C$21)/'Data Schema'!$B$17,0),"INVALID")</f>
        <v>76.453678695885614</v>
      </c>
      <c r="H1156" s="189" t="b">
        <f t="shared" ca="1" si="138"/>
        <v>1</v>
      </c>
      <c r="I1156" s="188">
        <f t="shared" ca="1" si="139"/>
        <v>76.453678695885614</v>
      </c>
      <c r="J1156" s="349">
        <f t="shared" ca="1" si="132"/>
        <v>76.453678695885614</v>
      </c>
    </row>
    <row r="1157" spans="1:10">
      <c r="A1157" s="184">
        <v>978</v>
      </c>
      <c r="B1157" s="190">
        <f t="shared" ca="1" si="133"/>
        <v>9.7990586088254339E-2</v>
      </c>
      <c r="C1157" s="190">
        <f t="shared" ca="1" si="134"/>
        <v>4.6901342101294201E-2</v>
      </c>
      <c r="D1157" s="190">
        <f t="shared" ca="1" si="135"/>
        <v>1.8789402339978663E-2</v>
      </c>
      <c r="E1157" s="190">
        <f t="shared" ca="1" si="136"/>
        <v>-2.607881822395923E-2</v>
      </c>
      <c r="F1157" s="189" t="b">
        <f t="shared" ca="1" si="137"/>
        <v>1</v>
      </c>
      <c r="G1157" s="188">
        <f ca="1">IF(F1157,IFERROR(((('Data Schema'!$C$3*(1+B1157)^1)*((1-$I$4-$I$5+E1157)*(1-$I$10)+$I$6-$I$11)-('Data Schema'!$C$3*(1+B1157)^1-'Data Schema'!$C$3)*$I$12)/(1+C1157)^1+(('Data Schema'!$C$3*(1+B1157)^2)*((1-$I$4-$I$5+E1157)*(1-$I$10)+$I$6-$I$11)-('Data Schema'!$C$3*(1+B1157)^2-'Data Schema'!$C$3*(1+B1157)^1)*$I$12)/(1+C1157)^2+(('Data Schema'!$C$3*(1+B1157)^3)*((1-$I$4-$I$5+E1157)*(1-$I$10)+$I$6-$I$11)-('Data Schema'!$C$3*(1+B1157)^3-'Data Schema'!$C$3*(1+B1157)^2)*$I$12)/(1+C1157)^3+(('Data Schema'!$C$3*(1+B1157)^4)*((1-$I$4-$I$5+E1157)*(1-$I$10)+$I$6-$I$11)-('Data Schema'!$C$3*(1+B1157)^4-'Data Schema'!$C$3*(1+B1157)^3)*$I$12)/(1+C1157)^4+(('Data Schema'!$C$3*(1+B1157)^5)*((1-$I$4-$I$5+E1157)*(1-$I$10)+$I$6-$I$11)-('Data Schema'!$C$3*(1+B1157)^5-'Data Schema'!$C$3*(1+B1157)^4)*$I$12)/(1+C1157)^5+((('Data Schema'!$C$3*(1+B1157)^5)*((1-$I$4-$I$5+E1157)*(1-$I$10)+$I$6-$I$11)-('Data Schema'!$C$3*(1+B1157)^5-'Data Schema'!$C$3*(1+B1157)^4)*$I$12)*(1+D1157)/(C1157-D1157))/(1+C1157)^5-'Data Schema'!$C$31+'Data Schema'!$C$21)/'Data Schema'!$B$17,0),"INVALID")</f>
        <v>20.155433072573302</v>
      </c>
      <c r="H1157" s="189" t="b">
        <f t="shared" ca="1" si="138"/>
        <v>1</v>
      </c>
      <c r="I1157" s="188">
        <f t="shared" ca="1" si="139"/>
        <v>20.155433072573302</v>
      </c>
      <c r="J1157" s="349" t="str">
        <f t="shared" ca="1" si="132"/>
        <v/>
      </c>
    </row>
    <row r="1158" spans="1:10">
      <c r="A1158" s="185">
        <v>979</v>
      </c>
      <c r="B1158" s="190">
        <f t="shared" ca="1" si="133"/>
        <v>9.5422776140828863E-2</v>
      </c>
      <c r="C1158" s="190">
        <f t="shared" ca="1" si="134"/>
        <v>5.529635977826218E-2</v>
      </c>
      <c r="D1158" s="190">
        <f t="shared" ca="1" si="135"/>
        <v>2.7929978824901967E-2</v>
      </c>
      <c r="E1158" s="190">
        <f t="shared" ca="1" si="136"/>
        <v>-1.1965034563196869E-2</v>
      </c>
      <c r="F1158" s="189" t="b">
        <f t="shared" ca="1" si="137"/>
        <v>1</v>
      </c>
      <c r="G1158" s="188">
        <f ca="1">IF(F1158,IFERROR(((('Data Schema'!$C$3*(1+B1158)^1)*((1-$I$4-$I$5+E1158)*(1-$I$10)+$I$6-$I$11)-('Data Schema'!$C$3*(1+B1158)^1-'Data Schema'!$C$3)*$I$12)/(1+C1158)^1+(('Data Schema'!$C$3*(1+B1158)^2)*((1-$I$4-$I$5+E1158)*(1-$I$10)+$I$6-$I$11)-('Data Schema'!$C$3*(1+B1158)^2-'Data Schema'!$C$3*(1+B1158)^1)*$I$12)/(1+C1158)^2+(('Data Schema'!$C$3*(1+B1158)^3)*((1-$I$4-$I$5+E1158)*(1-$I$10)+$I$6-$I$11)-('Data Schema'!$C$3*(1+B1158)^3-'Data Schema'!$C$3*(1+B1158)^2)*$I$12)/(1+C1158)^3+(('Data Schema'!$C$3*(1+B1158)^4)*((1-$I$4-$I$5+E1158)*(1-$I$10)+$I$6-$I$11)-('Data Schema'!$C$3*(1+B1158)^4-'Data Schema'!$C$3*(1+B1158)^3)*$I$12)/(1+C1158)^4+(('Data Schema'!$C$3*(1+B1158)^5)*((1-$I$4-$I$5+E1158)*(1-$I$10)+$I$6-$I$11)-('Data Schema'!$C$3*(1+B1158)^5-'Data Schema'!$C$3*(1+B1158)^4)*$I$12)/(1+C1158)^5+((('Data Schema'!$C$3*(1+B1158)^5)*((1-$I$4-$I$5+E1158)*(1-$I$10)+$I$6-$I$11)-('Data Schema'!$C$3*(1+B1158)^5-'Data Schema'!$C$3*(1+B1158)^4)*$I$12)*(1+D1158)/(C1158-D1158))/(1+C1158)^5-'Data Schema'!$C$31+'Data Schema'!$C$21)/'Data Schema'!$B$17,0),"INVALID")</f>
        <v>67.742484701643662</v>
      </c>
      <c r="H1158" s="189" t="b">
        <f t="shared" ca="1" si="138"/>
        <v>1</v>
      </c>
      <c r="I1158" s="188">
        <f t="shared" ca="1" si="139"/>
        <v>67.742484701643662</v>
      </c>
      <c r="J1158" s="349">
        <f t="shared" ca="1" si="132"/>
        <v>67.742484701643662</v>
      </c>
    </row>
    <row r="1159" spans="1:10">
      <c r="A1159" s="184">
        <v>980</v>
      </c>
      <c r="B1159" s="190">
        <f t="shared" ca="1" si="133"/>
        <v>0.10199083597448907</v>
      </c>
      <c r="C1159" s="190">
        <f t="shared" ca="1" si="134"/>
        <v>6.0538543227059802E-2</v>
      </c>
      <c r="D1159" s="190">
        <f t="shared" ca="1" si="135"/>
        <v>1.9812665257890584E-2</v>
      </c>
      <c r="E1159" s="190">
        <f t="shared" ca="1" si="136"/>
        <v>-9.6820021987328603E-3</v>
      </c>
      <c r="F1159" s="189" t="b">
        <f t="shared" ca="1" si="137"/>
        <v>1</v>
      </c>
      <c r="G1159" s="188">
        <f ca="1">IF(F1159,IFERROR(((('Data Schema'!$C$3*(1+B1159)^1)*((1-$I$4-$I$5+E1159)*(1-$I$10)+$I$6-$I$11)-('Data Schema'!$C$3*(1+B1159)^1-'Data Schema'!$C$3)*$I$12)/(1+C1159)^1+(('Data Schema'!$C$3*(1+B1159)^2)*((1-$I$4-$I$5+E1159)*(1-$I$10)+$I$6-$I$11)-('Data Schema'!$C$3*(1+B1159)^2-'Data Schema'!$C$3*(1+B1159)^1)*$I$12)/(1+C1159)^2+(('Data Schema'!$C$3*(1+B1159)^3)*((1-$I$4-$I$5+E1159)*(1-$I$10)+$I$6-$I$11)-('Data Schema'!$C$3*(1+B1159)^3-'Data Schema'!$C$3*(1+B1159)^2)*$I$12)/(1+C1159)^3+(('Data Schema'!$C$3*(1+B1159)^4)*((1-$I$4-$I$5+E1159)*(1-$I$10)+$I$6-$I$11)-('Data Schema'!$C$3*(1+B1159)^4-'Data Schema'!$C$3*(1+B1159)^3)*$I$12)/(1+C1159)^4+(('Data Schema'!$C$3*(1+B1159)^5)*((1-$I$4-$I$5+E1159)*(1-$I$10)+$I$6-$I$11)-('Data Schema'!$C$3*(1+B1159)^5-'Data Schema'!$C$3*(1+B1159)^4)*$I$12)/(1+C1159)^5+((('Data Schema'!$C$3*(1+B1159)^5)*((1-$I$4-$I$5+E1159)*(1-$I$10)+$I$6-$I$11)-('Data Schema'!$C$3*(1+B1159)^5-'Data Schema'!$C$3*(1+B1159)^4)*$I$12)*(1+D1159)/(C1159-D1159))/(1+C1159)^5-'Data Schema'!$C$31+'Data Schema'!$C$21)/'Data Schema'!$B$17,0),"INVALID")</f>
        <v>50.940786176621067</v>
      </c>
      <c r="H1159" s="189" t="b">
        <f t="shared" ca="1" si="138"/>
        <v>1</v>
      </c>
      <c r="I1159" s="188">
        <f t="shared" ca="1" si="139"/>
        <v>50.940786176621067</v>
      </c>
      <c r="J1159" s="349">
        <f t="shared" ca="1" si="132"/>
        <v>50.940786176621067</v>
      </c>
    </row>
    <row r="1160" spans="1:10">
      <c r="A1160" s="185">
        <v>981</v>
      </c>
      <c r="B1160" s="190">
        <f t="shared" ca="1" si="133"/>
        <v>0.14063326644326038</v>
      </c>
      <c r="C1160" s="190">
        <f t="shared" ca="1" si="134"/>
        <v>5.3388835732297177E-2</v>
      </c>
      <c r="D1160" s="190">
        <f t="shared" ca="1" si="135"/>
        <v>2.4490726195960825E-2</v>
      </c>
      <c r="E1160" s="190">
        <f t="shared" ca="1" si="136"/>
        <v>5.6887139181065662E-3</v>
      </c>
      <c r="F1160" s="189" t="b">
        <f t="shared" ca="1" si="137"/>
        <v>1</v>
      </c>
      <c r="G1160" s="188">
        <f ca="1">IF(F1160,IFERROR(((('Data Schema'!$C$3*(1+B1160)^1)*((1-$I$4-$I$5+E1160)*(1-$I$10)+$I$6-$I$11)-('Data Schema'!$C$3*(1+B1160)^1-'Data Schema'!$C$3)*$I$12)/(1+C1160)^1+(('Data Schema'!$C$3*(1+B1160)^2)*((1-$I$4-$I$5+E1160)*(1-$I$10)+$I$6-$I$11)-('Data Schema'!$C$3*(1+B1160)^2-'Data Schema'!$C$3*(1+B1160)^1)*$I$12)/(1+C1160)^2+(('Data Schema'!$C$3*(1+B1160)^3)*((1-$I$4-$I$5+E1160)*(1-$I$10)+$I$6-$I$11)-('Data Schema'!$C$3*(1+B1160)^3-'Data Schema'!$C$3*(1+B1160)^2)*$I$12)/(1+C1160)^3+(('Data Schema'!$C$3*(1+B1160)^4)*((1-$I$4-$I$5+E1160)*(1-$I$10)+$I$6-$I$11)-('Data Schema'!$C$3*(1+B1160)^4-'Data Schema'!$C$3*(1+B1160)^3)*$I$12)/(1+C1160)^4+(('Data Schema'!$C$3*(1+B1160)^5)*((1-$I$4-$I$5+E1160)*(1-$I$10)+$I$6-$I$11)-('Data Schema'!$C$3*(1+B1160)^5-'Data Schema'!$C$3*(1+B1160)^4)*$I$12)/(1+C1160)^5+((('Data Schema'!$C$3*(1+B1160)^5)*((1-$I$4-$I$5+E1160)*(1-$I$10)+$I$6-$I$11)-('Data Schema'!$C$3*(1+B1160)^5-'Data Schema'!$C$3*(1+B1160)^4)*$I$12)*(1+D1160)/(C1160-D1160))/(1+C1160)^5-'Data Schema'!$C$31+'Data Schema'!$C$21)/'Data Schema'!$B$17,0),"INVALID")</f>
        <v>145.76934543534765</v>
      </c>
      <c r="H1160" s="189" t="b">
        <f t="shared" ca="1" si="138"/>
        <v>1</v>
      </c>
      <c r="I1160" s="188">
        <f t="shared" ca="1" si="139"/>
        <v>145.76934543534765</v>
      </c>
      <c r="J1160" s="349">
        <f t="shared" ca="1" si="132"/>
        <v>145.76934543534765</v>
      </c>
    </row>
    <row r="1161" spans="1:10">
      <c r="A1161" s="184">
        <v>982</v>
      </c>
      <c r="B1161" s="190">
        <f t="shared" ca="1" si="133"/>
        <v>8.3912275176126774E-2</v>
      </c>
      <c r="C1161" s="190">
        <f t="shared" ca="1" si="134"/>
        <v>4.4231838807101097E-2</v>
      </c>
      <c r="D1161" s="190">
        <f t="shared" ca="1" si="135"/>
        <v>2.4343962494981563E-2</v>
      </c>
      <c r="E1161" s="190">
        <f t="shared" ca="1" si="136"/>
        <v>-1.8330920031012731E-2</v>
      </c>
      <c r="F1161" s="189" t="b">
        <f t="shared" ca="1" si="137"/>
        <v>1</v>
      </c>
      <c r="G1161" s="188">
        <f ca="1">IF(F1161,IFERROR(((('Data Schema'!$C$3*(1+B1161)^1)*((1-$I$4-$I$5+E1161)*(1-$I$10)+$I$6-$I$11)-('Data Schema'!$C$3*(1+B1161)^1-'Data Schema'!$C$3)*$I$12)/(1+C1161)^1+(('Data Schema'!$C$3*(1+B1161)^2)*((1-$I$4-$I$5+E1161)*(1-$I$10)+$I$6-$I$11)-('Data Schema'!$C$3*(1+B1161)^2-'Data Schema'!$C$3*(1+B1161)^1)*$I$12)/(1+C1161)^2+(('Data Schema'!$C$3*(1+B1161)^3)*((1-$I$4-$I$5+E1161)*(1-$I$10)+$I$6-$I$11)-('Data Schema'!$C$3*(1+B1161)^3-'Data Schema'!$C$3*(1+B1161)^2)*$I$12)/(1+C1161)^3+(('Data Schema'!$C$3*(1+B1161)^4)*((1-$I$4-$I$5+E1161)*(1-$I$10)+$I$6-$I$11)-('Data Schema'!$C$3*(1+B1161)^4-'Data Schema'!$C$3*(1+B1161)^3)*$I$12)/(1+C1161)^4+(('Data Schema'!$C$3*(1+B1161)^5)*((1-$I$4-$I$5+E1161)*(1-$I$10)+$I$6-$I$11)-('Data Schema'!$C$3*(1+B1161)^5-'Data Schema'!$C$3*(1+B1161)^4)*$I$12)/(1+C1161)^5+((('Data Schema'!$C$3*(1+B1161)^5)*((1-$I$4-$I$5+E1161)*(1-$I$10)+$I$6-$I$11)-('Data Schema'!$C$3*(1+B1161)^5-'Data Schema'!$C$3*(1+B1161)^4)*$I$12)*(1+D1161)/(C1161-D1161))/(1+C1161)^5-'Data Schema'!$C$31+'Data Schema'!$C$21)/'Data Schema'!$B$17,0),"INVALID")</f>
        <v>64.878464972494172</v>
      </c>
      <c r="H1161" s="189" t="b">
        <f t="shared" ca="1" si="138"/>
        <v>1</v>
      </c>
      <c r="I1161" s="188">
        <f t="shared" ca="1" si="139"/>
        <v>64.878464972494172</v>
      </c>
      <c r="J1161" s="349">
        <f t="shared" ca="1" si="132"/>
        <v>64.878464972494172</v>
      </c>
    </row>
    <row r="1162" spans="1:10">
      <c r="A1162" s="185">
        <v>983</v>
      </c>
      <c r="B1162" s="190">
        <f t="shared" ca="1" si="133"/>
        <v>0.14642312114664671</v>
      </c>
      <c r="C1162" s="190">
        <f t="shared" ca="1" si="134"/>
        <v>6.4546011393842515E-2</v>
      </c>
      <c r="D1162" s="190">
        <f t="shared" ca="1" si="135"/>
        <v>2.513427215757567E-2</v>
      </c>
      <c r="E1162" s="190">
        <f t="shared" ca="1" si="136"/>
        <v>2.8412892455606489E-2</v>
      </c>
      <c r="F1162" s="189" t="b">
        <f t="shared" ca="1" si="137"/>
        <v>1</v>
      </c>
      <c r="G1162" s="188">
        <f ca="1">IF(F1162,IFERROR(((('Data Schema'!$C$3*(1+B1162)^1)*((1-$I$4-$I$5+E1162)*(1-$I$10)+$I$6-$I$11)-('Data Schema'!$C$3*(1+B1162)^1-'Data Schema'!$C$3)*$I$12)/(1+C1162)^1+(('Data Schema'!$C$3*(1+B1162)^2)*((1-$I$4-$I$5+E1162)*(1-$I$10)+$I$6-$I$11)-('Data Schema'!$C$3*(1+B1162)^2-'Data Schema'!$C$3*(1+B1162)^1)*$I$12)/(1+C1162)^2+(('Data Schema'!$C$3*(1+B1162)^3)*((1-$I$4-$I$5+E1162)*(1-$I$10)+$I$6-$I$11)-('Data Schema'!$C$3*(1+B1162)^3-'Data Schema'!$C$3*(1+B1162)^2)*$I$12)/(1+C1162)^3+(('Data Schema'!$C$3*(1+B1162)^4)*((1-$I$4-$I$5+E1162)*(1-$I$10)+$I$6-$I$11)-('Data Schema'!$C$3*(1+B1162)^4-'Data Schema'!$C$3*(1+B1162)^3)*$I$12)/(1+C1162)^4+(('Data Schema'!$C$3*(1+B1162)^5)*((1-$I$4-$I$5+E1162)*(1-$I$10)+$I$6-$I$11)-('Data Schema'!$C$3*(1+B1162)^5-'Data Schema'!$C$3*(1+B1162)^4)*$I$12)/(1+C1162)^5+((('Data Schema'!$C$3*(1+B1162)^5)*((1-$I$4-$I$5+E1162)*(1-$I$10)+$I$6-$I$11)-('Data Schema'!$C$3*(1+B1162)^5-'Data Schema'!$C$3*(1+B1162)^4)*$I$12)*(1+D1162)/(C1162-D1162))/(1+C1162)^5-'Data Schema'!$C$31+'Data Schema'!$C$21)/'Data Schema'!$B$17,0),"INVALID")</f>
        <v>172.74279929568874</v>
      </c>
      <c r="H1162" s="189" t="b">
        <f t="shared" ca="1" si="138"/>
        <v>1</v>
      </c>
      <c r="I1162" s="188">
        <f t="shared" ca="1" si="139"/>
        <v>172.74279929568874</v>
      </c>
      <c r="J1162" s="349">
        <f t="shared" ca="1" si="132"/>
        <v>172.74279929568874</v>
      </c>
    </row>
    <row r="1163" spans="1:10">
      <c r="A1163" s="184">
        <v>984</v>
      </c>
      <c r="B1163" s="190">
        <f t="shared" ca="1" si="133"/>
        <v>0.12134927953327503</v>
      </c>
      <c r="C1163" s="190">
        <f t="shared" ca="1" si="134"/>
        <v>5.7013609715459011E-2</v>
      </c>
      <c r="D1163" s="190">
        <f t="shared" ca="1" si="135"/>
        <v>2.6745971717858016E-2</v>
      </c>
      <c r="E1163" s="190">
        <f t="shared" ca="1" si="136"/>
        <v>-3.8395605485955211E-3</v>
      </c>
      <c r="F1163" s="189" t="b">
        <f t="shared" ca="1" si="137"/>
        <v>1</v>
      </c>
      <c r="G1163" s="188">
        <f ca="1">IF(F1163,IFERROR(((('Data Schema'!$C$3*(1+B1163)^1)*((1-$I$4-$I$5+E1163)*(1-$I$10)+$I$6-$I$11)-('Data Schema'!$C$3*(1+B1163)^1-'Data Schema'!$C$3)*$I$12)/(1+C1163)^1+(('Data Schema'!$C$3*(1+B1163)^2)*((1-$I$4-$I$5+E1163)*(1-$I$10)+$I$6-$I$11)-('Data Schema'!$C$3*(1+B1163)^2-'Data Schema'!$C$3*(1+B1163)^1)*$I$12)/(1+C1163)^2+(('Data Schema'!$C$3*(1+B1163)^3)*((1-$I$4-$I$5+E1163)*(1-$I$10)+$I$6-$I$11)-('Data Schema'!$C$3*(1+B1163)^3-'Data Schema'!$C$3*(1+B1163)^2)*$I$12)/(1+C1163)^3+(('Data Schema'!$C$3*(1+B1163)^4)*((1-$I$4-$I$5+E1163)*(1-$I$10)+$I$6-$I$11)-('Data Schema'!$C$3*(1+B1163)^4-'Data Schema'!$C$3*(1+B1163)^3)*$I$12)/(1+C1163)^4+(('Data Schema'!$C$3*(1+B1163)^5)*((1-$I$4-$I$5+E1163)*(1-$I$10)+$I$6-$I$11)-('Data Schema'!$C$3*(1+B1163)^5-'Data Schema'!$C$3*(1+B1163)^4)*$I$12)/(1+C1163)^5+((('Data Schema'!$C$3*(1+B1163)^5)*((1-$I$4-$I$5+E1163)*(1-$I$10)+$I$6-$I$11)-('Data Schema'!$C$3*(1+B1163)^5-'Data Schema'!$C$3*(1+B1163)^4)*$I$12)*(1+D1163)/(C1163-D1163))/(1+C1163)^5-'Data Schema'!$C$31+'Data Schema'!$C$21)/'Data Schema'!$B$17,0),"INVALID")</f>
        <v>94.782824825820967</v>
      </c>
      <c r="H1163" s="189" t="b">
        <f t="shared" ca="1" si="138"/>
        <v>1</v>
      </c>
      <c r="I1163" s="188">
        <f t="shared" ca="1" si="139"/>
        <v>94.782824825820967</v>
      </c>
      <c r="J1163" s="349">
        <f t="shared" ca="1" si="132"/>
        <v>94.782824825820967</v>
      </c>
    </row>
    <row r="1164" spans="1:10">
      <c r="A1164" s="185">
        <v>985</v>
      </c>
      <c r="B1164" s="190">
        <f t="shared" ca="1" si="133"/>
        <v>0.10707333939691326</v>
      </c>
      <c r="C1164" s="190">
        <f t="shared" ca="1" si="134"/>
        <v>3.6441052179523988E-2</v>
      </c>
      <c r="D1164" s="190">
        <f t="shared" ca="1" si="135"/>
        <v>2.8997038695512255E-2</v>
      </c>
      <c r="E1164" s="190">
        <f t="shared" ca="1" si="136"/>
        <v>9.0004483393511109E-4</v>
      </c>
      <c r="F1164" s="189" t="b">
        <f t="shared" ca="1" si="137"/>
        <v>0</v>
      </c>
      <c r="G1164" s="188" t="str">
        <f ca="1">IF(F1164,IFERROR(((('Data Schema'!$C$3*(1+B1164)^1)*((1-$I$4-$I$5+E1164)*(1-$I$10)+$I$6-$I$11)-('Data Schema'!$C$3*(1+B1164)^1-'Data Schema'!$C$3)*$I$12)/(1+C1164)^1+(('Data Schema'!$C$3*(1+B1164)^2)*((1-$I$4-$I$5+E1164)*(1-$I$10)+$I$6-$I$11)-('Data Schema'!$C$3*(1+B1164)^2-'Data Schema'!$C$3*(1+B1164)^1)*$I$12)/(1+C1164)^2+(('Data Schema'!$C$3*(1+B1164)^3)*((1-$I$4-$I$5+E1164)*(1-$I$10)+$I$6-$I$11)-('Data Schema'!$C$3*(1+B1164)^3-'Data Schema'!$C$3*(1+B1164)^2)*$I$12)/(1+C1164)^3+(('Data Schema'!$C$3*(1+B1164)^4)*((1-$I$4-$I$5+E1164)*(1-$I$10)+$I$6-$I$11)-('Data Schema'!$C$3*(1+B1164)^4-'Data Schema'!$C$3*(1+B1164)^3)*$I$12)/(1+C1164)^4+(('Data Schema'!$C$3*(1+B1164)^5)*((1-$I$4-$I$5+E1164)*(1-$I$10)+$I$6-$I$11)-('Data Schema'!$C$3*(1+B1164)^5-'Data Schema'!$C$3*(1+B1164)^4)*$I$12)/(1+C1164)^5+((('Data Schema'!$C$3*(1+B1164)^5)*((1-$I$4-$I$5+E1164)*(1-$I$10)+$I$6-$I$11)-('Data Schema'!$C$3*(1+B1164)^5-'Data Schema'!$C$3*(1+B1164)^4)*$I$12)*(1+D1164)/(C1164-D1164))/(1+C1164)^5-'Data Schema'!$C$31+'Data Schema'!$C$21)/'Data Schema'!$B$17,0),"INVALID")</f>
        <v>INVALID</v>
      </c>
      <c r="H1164" s="189" t="b">
        <f t="shared" ca="1" si="138"/>
        <v>0</v>
      </c>
      <c r="I1164" s="188" t="str">
        <f t="shared" ca="1" si="139"/>
        <v/>
      </c>
      <c r="J1164" s="349" t="str">
        <f t="shared" ca="1" si="132"/>
        <v/>
      </c>
    </row>
    <row r="1165" spans="1:10">
      <c r="A1165" s="184">
        <v>986</v>
      </c>
      <c r="B1165" s="190">
        <f t="shared" ca="1" si="133"/>
        <v>6.3768755081391237E-2</v>
      </c>
      <c r="C1165" s="190">
        <f t="shared" ca="1" si="134"/>
        <v>6.6212781227163259E-2</v>
      </c>
      <c r="D1165" s="190">
        <f t="shared" ca="1" si="135"/>
        <v>3.1545582957104121E-2</v>
      </c>
      <c r="E1165" s="190">
        <f t="shared" ca="1" si="136"/>
        <v>-1.4769733603890866E-2</v>
      </c>
      <c r="F1165" s="189" t="b">
        <f t="shared" ca="1" si="137"/>
        <v>1</v>
      </c>
      <c r="G1165" s="188">
        <f ca="1">IF(F1165,IFERROR(((('Data Schema'!$C$3*(1+B1165)^1)*((1-$I$4-$I$5+E1165)*(1-$I$10)+$I$6-$I$11)-('Data Schema'!$C$3*(1+B1165)^1-'Data Schema'!$C$3)*$I$12)/(1+C1165)^1+(('Data Schema'!$C$3*(1+B1165)^2)*((1-$I$4-$I$5+E1165)*(1-$I$10)+$I$6-$I$11)-('Data Schema'!$C$3*(1+B1165)^2-'Data Schema'!$C$3*(1+B1165)^1)*$I$12)/(1+C1165)^2+(('Data Schema'!$C$3*(1+B1165)^3)*((1-$I$4-$I$5+E1165)*(1-$I$10)+$I$6-$I$11)-('Data Schema'!$C$3*(1+B1165)^3-'Data Schema'!$C$3*(1+B1165)^2)*$I$12)/(1+C1165)^3+(('Data Schema'!$C$3*(1+B1165)^4)*((1-$I$4-$I$5+E1165)*(1-$I$10)+$I$6-$I$11)-('Data Schema'!$C$3*(1+B1165)^4-'Data Schema'!$C$3*(1+B1165)^3)*$I$12)/(1+C1165)^4+(('Data Schema'!$C$3*(1+B1165)^5)*((1-$I$4-$I$5+E1165)*(1-$I$10)+$I$6-$I$11)-('Data Schema'!$C$3*(1+B1165)^5-'Data Schema'!$C$3*(1+B1165)^4)*$I$12)/(1+C1165)^5+((('Data Schema'!$C$3*(1+B1165)^5)*((1-$I$4-$I$5+E1165)*(1-$I$10)+$I$6-$I$11)-('Data Schema'!$C$3*(1+B1165)^5-'Data Schema'!$C$3*(1+B1165)^4)*$I$12)*(1+D1165)/(C1165-D1165))/(1+C1165)^5-'Data Schema'!$C$31+'Data Schema'!$C$21)/'Data Schema'!$B$17,0),"INVALID")</f>
        <v>38.74191511696133</v>
      </c>
      <c r="H1165" s="189" t="b">
        <f t="shared" ca="1" si="138"/>
        <v>1</v>
      </c>
      <c r="I1165" s="188">
        <f t="shared" ca="1" si="139"/>
        <v>38.74191511696133</v>
      </c>
      <c r="J1165" s="349">
        <f t="shared" ca="1" si="132"/>
        <v>38.74191511696133</v>
      </c>
    </row>
    <row r="1166" spans="1:10">
      <c r="A1166" s="185">
        <v>987</v>
      </c>
      <c r="B1166" s="190">
        <f t="shared" ca="1" si="133"/>
        <v>7.9966305889100531E-2</v>
      </c>
      <c r="C1166" s="190">
        <f t="shared" ca="1" si="134"/>
        <v>5.824403341640854E-2</v>
      </c>
      <c r="D1166" s="190">
        <f t="shared" ca="1" si="135"/>
        <v>2.376997460772947E-2</v>
      </c>
      <c r="E1166" s="190">
        <f t="shared" ca="1" si="136"/>
        <v>8.4199872527981699E-3</v>
      </c>
      <c r="F1166" s="189" t="b">
        <f t="shared" ca="1" si="137"/>
        <v>1</v>
      </c>
      <c r="G1166" s="188">
        <f ca="1">IF(F1166,IFERROR(((('Data Schema'!$C$3*(1+B1166)^1)*((1-$I$4-$I$5+E1166)*(1-$I$10)+$I$6-$I$11)-('Data Schema'!$C$3*(1+B1166)^1-'Data Schema'!$C$3)*$I$12)/(1+C1166)^1+(('Data Schema'!$C$3*(1+B1166)^2)*((1-$I$4-$I$5+E1166)*(1-$I$10)+$I$6-$I$11)-('Data Schema'!$C$3*(1+B1166)^2-'Data Schema'!$C$3*(1+B1166)^1)*$I$12)/(1+C1166)^2+(('Data Schema'!$C$3*(1+B1166)^3)*((1-$I$4-$I$5+E1166)*(1-$I$10)+$I$6-$I$11)-('Data Schema'!$C$3*(1+B1166)^3-'Data Schema'!$C$3*(1+B1166)^2)*$I$12)/(1+C1166)^3+(('Data Schema'!$C$3*(1+B1166)^4)*((1-$I$4-$I$5+E1166)*(1-$I$10)+$I$6-$I$11)-('Data Schema'!$C$3*(1+B1166)^4-'Data Schema'!$C$3*(1+B1166)^3)*$I$12)/(1+C1166)^4+(('Data Schema'!$C$3*(1+B1166)^5)*((1-$I$4-$I$5+E1166)*(1-$I$10)+$I$6-$I$11)-('Data Schema'!$C$3*(1+B1166)^5-'Data Schema'!$C$3*(1+B1166)^4)*$I$12)/(1+C1166)^5+((('Data Schema'!$C$3*(1+B1166)^5)*((1-$I$4-$I$5+E1166)*(1-$I$10)+$I$6-$I$11)-('Data Schema'!$C$3*(1+B1166)^5-'Data Schema'!$C$3*(1+B1166)^4)*$I$12)*(1+D1166)/(C1166-D1166))/(1+C1166)^5-'Data Schema'!$C$31+'Data Schema'!$C$21)/'Data Schema'!$B$17,0),"INVALID")</f>
        <v>101.89965711675381</v>
      </c>
      <c r="H1166" s="189" t="b">
        <f t="shared" ca="1" si="138"/>
        <v>1</v>
      </c>
      <c r="I1166" s="188">
        <f t="shared" ca="1" si="139"/>
        <v>101.89965711675381</v>
      </c>
      <c r="J1166" s="349">
        <f t="shared" ca="1" si="132"/>
        <v>101.89965711675381</v>
      </c>
    </row>
    <row r="1167" spans="1:10">
      <c r="A1167" s="184">
        <v>988</v>
      </c>
      <c r="B1167" s="190">
        <f t="shared" ca="1" si="133"/>
        <v>0.10620560027976492</v>
      </c>
      <c r="C1167" s="190">
        <f t="shared" ca="1" si="134"/>
        <v>6.2957001469751819E-2</v>
      </c>
      <c r="D1167" s="190">
        <f t="shared" ca="1" si="135"/>
        <v>2.8659949600086818E-2</v>
      </c>
      <c r="E1167" s="190">
        <f t="shared" ca="1" si="136"/>
        <v>2.4798857010279934E-2</v>
      </c>
      <c r="F1167" s="189" t="b">
        <f t="shared" ca="1" si="137"/>
        <v>1</v>
      </c>
      <c r="G1167" s="188">
        <f ca="1">IF(F1167,IFERROR(((('Data Schema'!$C$3*(1+B1167)^1)*((1-$I$4-$I$5+E1167)*(1-$I$10)+$I$6-$I$11)-('Data Schema'!$C$3*(1+B1167)^1-'Data Schema'!$C$3)*$I$12)/(1+C1167)^1+(('Data Schema'!$C$3*(1+B1167)^2)*((1-$I$4-$I$5+E1167)*(1-$I$10)+$I$6-$I$11)-('Data Schema'!$C$3*(1+B1167)^2-'Data Schema'!$C$3*(1+B1167)^1)*$I$12)/(1+C1167)^2+(('Data Schema'!$C$3*(1+B1167)^3)*((1-$I$4-$I$5+E1167)*(1-$I$10)+$I$6-$I$11)-('Data Schema'!$C$3*(1+B1167)^3-'Data Schema'!$C$3*(1+B1167)^2)*$I$12)/(1+C1167)^3+(('Data Schema'!$C$3*(1+B1167)^4)*((1-$I$4-$I$5+E1167)*(1-$I$10)+$I$6-$I$11)-('Data Schema'!$C$3*(1+B1167)^4-'Data Schema'!$C$3*(1+B1167)^3)*$I$12)/(1+C1167)^4+(('Data Schema'!$C$3*(1+B1167)^5)*((1-$I$4-$I$5+E1167)*(1-$I$10)+$I$6-$I$11)-('Data Schema'!$C$3*(1+B1167)^5-'Data Schema'!$C$3*(1+B1167)^4)*$I$12)/(1+C1167)^5+((('Data Schema'!$C$3*(1+B1167)^5)*((1-$I$4-$I$5+E1167)*(1-$I$10)+$I$6-$I$11)-('Data Schema'!$C$3*(1+B1167)^5-'Data Schema'!$C$3*(1+B1167)^4)*$I$12)*(1+D1167)/(C1167-D1167))/(1+C1167)^5-'Data Schema'!$C$31+'Data Schema'!$C$21)/'Data Schema'!$B$17,0),"INVALID")</f>
        <v>157.99592121257956</v>
      </c>
      <c r="H1167" s="189" t="b">
        <f t="shared" ca="1" si="138"/>
        <v>1</v>
      </c>
      <c r="I1167" s="188">
        <f t="shared" ca="1" si="139"/>
        <v>157.99592121257956</v>
      </c>
      <c r="J1167" s="349">
        <f t="shared" ca="1" si="132"/>
        <v>157.99592121257956</v>
      </c>
    </row>
    <row r="1168" spans="1:10">
      <c r="A1168" s="185">
        <v>989</v>
      </c>
      <c r="B1168" s="190">
        <f t="shared" ca="1" si="133"/>
        <v>9.2692829459521536E-2</v>
      </c>
      <c r="C1168" s="190">
        <f t="shared" ca="1" si="134"/>
        <v>6.5387105578041976E-2</v>
      </c>
      <c r="D1168" s="190">
        <f t="shared" ca="1" si="135"/>
        <v>2.6260466748667093E-2</v>
      </c>
      <c r="E1168" s="190">
        <f t="shared" ca="1" si="136"/>
        <v>1.0354426368555259E-2</v>
      </c>
      <c r="F1168" s="189" t="b">
        <f t="shared" ca="1" si="137"/>
        <v>1</v>
      </c>
      <c r="G1168" s="188">
        <f ca="1">IF(F1168,IFERROR(((('Data Schema'!$C$3*(1+B1168)^1)*((1-$I$4-$I$5+E1168)*(1-$I$10)+$I$6-$I$11)-('Data Schema'!$C$3*(1+B1168)^1-'Data Schema'!$C$3)*$I$12)/(1+C1168)^1+(('Data Schema'!$C$3*(1+B1168)^2)*((1-$I$4-$I$5+E1168)*(1-$I$10)+$I$6-$I$11)-('Data Schema'!$C$3*(1+B1168)^2-'Data Schema'!$C$3*(1+B1168)^1)*$I$12)/(1+C1168)^2+(('Data Schema'!$C$3*(1+B1168)^3)*((1-$I$4-$I$5+E1168)*(1-$I$10)+$I$6-$I$11)-('Data Schema'!$C$3*(1+B1168)^3-'Data Schema'!$C$3*(1+B1168)^2)*$I$12)/(1+C1168)^3+(('Data Schema'!$C$3*(1+B1168)^4)*((1-$I$4-$I$5+E1168)*(1-$I$10)+$I$6-$I$11)-('Data Schema'!$C$3*(1+B1168)^4-'Data Schema'!$C$3*(1+B1168)^3)*$I$12)/(1+C1168)^4+(('Data Schema'!$C$3*(1+B1168)^5)*((1-$I$4-$I$5+E1168)*(1-$I$10)+$I$6-$I$11)-('Data Schema'!$C$3*(1+B1168)^5-'Data Schema'!$C$3*(1+B1168)^4)*$I$12)/(1+C1168)^5+((('Data Schema'!$C$3*(1+B1168)^5)*((1-$I$4-$I$5+E1168)*(1-$I$10)+$I$6-$I$11)-('Data Schema'!$C$3*(1+B1168)^5-'Data Schema'!$C$3*(1+B1168)^4)*$I$12)*(1+D1168)/(C1168-D1168))/(1+C1168)^5-'Data Schema'!$C$31+'Data Schema'!$C$21)/'Data Schema'!$B$17,0),"INVALID")</f>
        <v>97.136081193212618</v>
      </c>
      <c r="H1168" s="189" t="b">
        <f t="shared" ca="1" si="138"/>
        <v>1</v>
      </c>
      <c r="I1168" s="188">
        <f t="shared" ca="1" si="139"/>
        <v>97.136081193212618</v>
      </c>
      <c r="J1168" s="349">
        <f t="shared" ca="1" si="132"/>
        <v>97.136081193212618</v>
      </c>
    </row>
    <row r="1169" spans="1:10">
      <c r="A1169" s="184">
        <v>990</v>
      </c>
      <c r="B1169" s="190">
        <f t="shared" ca="1" si="133"/>
        <v>8.9655931078918422E-2</v>
      </c>
      <c r="C1169" s="190">
        <f t="shared" ca="1" si="134"/>
        <v>7.3252854132198508E-2</v>
      </c>
      <c r="D1169" s="190">
        <f t="shared" ca="1" si="135"/>
        <v>3.3455213408200395E-2</v>
      </c>
      <c r="E1169" s="190">
        <f t="shared" ca="1" si="136"/>
        <v>3.5728625364164594E-2</v>
      </c>
      <c r="F1169" s="189" t="b">
        <f t="shared" ca="1" si="137"/>
        <v>1</v>
      </c>
      <c r="G1169" s="188">
        <f ca="1">IF(F1169,IFERROR(((('Data Schema'!$C$3*(1+B1169)^1)*((1-$I$4-$I$5+E1169)*(1-$I$10)+$I$6-$I$11)-('Data Schema'!$C$3*(1+B1169)^1-'Data Schema'!$C$3)*$I$12)/(1+C1169)^1+(('Data Schema'!$C$3*(1+B1169)^2)*((1-$I$4-$I$5+E1169)*(1-$I$10)+$I$6-$I$11)-('Data Schema'!$C$3*(1+B1169)^2-'Data Schema'!$C$3*(1+B1169)^1)*$I$12)/(1+C1169)^2+(('Data Schema'!$C$3*(1+B1169)^3)*((1-$I$4-$I$5+E1169)*(1-$I$10)+$I$6-$I$11)-('Data Schema'!$C$3*(1+B1169)^3-'Data Schema'!$C$3*(1+B1169)^2)*$I$12)/(1+C1169)^3+(('Data Schema'!$C$3*(1+B1169)^4)*((1-$I$4-$I$5+E1169)*(1-$I$10)+$I$6-$I$11)-('Data Schema'!$C$3*(1+B1169)^4-'Data Schema'!$C$3*(1+B1169)^3)*$I$12)/(1+C1169)^4+(('Data Schema'!$C$3*(1+B1169)^5)*((1-$I$4-$I$5+E1169)*(1-$I$10)+$I$6-$I$11)-('Data Schema'!$C$3*(1+B1169)^5-'Data Schema'!$C$3*(1+B1169)^4)*$I$12)/(1+C1169)^5+((('Data Schema'!$C$3*(1+B1169)^5)*((1-$I$4-$I$5+E1169)*(1-$I$10)+$I$6-$I$11)-('Data Schema'!$C$3*(1+B1169)^5-'Data Schema'!$C$3*(1+B1169)^4)*$I$12)*(1+D1169)/(C1169-D1169))/(1+C1169)^5-'Data Schema'!$C$31+'Data Schema'!$C$21)/'Data Schema'!$B$17,0),"INVALID")</f>
        <v>147.85732324783137</v>
      </c>
      <c r="H1169" s="189" t="b">
        <f t="shared" ca="1" si="138"/>
        <v>1</v>
      </c>
      <c r="I1169" s="188">
        <f t="shared" ca="1" si="139"/>
        <v>147.85732324783137</v>
      </c>
      <c r="J1169" s="349">
        <f t="shared" ca="1" si="132"/>
        <v>147.85732324783137</v>
      </c>
    </row>
    <row r="1170" spans="1:10">
      <c r="A1170" s="185">
        <v>991</v>
      </c>
      <c r="B1170" s="190">
        <f t="shared" ca="1" si="133"/>
        <v>9.6278466106800756E-2</v>
      </c>
      <c r="C1170" s="190">
        <f t="shared" ca="1" si="134"/>
        <v>4.79047639808515E-2</v>
      </c>
      <c r="D1170" s="190">
        <f t="shared" ca="1" si="135"/>
        <v>2.5260387831749286E-2</v>
      </c>
      <c r="E1170" s="190">
        <f t="shared" ca="1" si="136"/>
        <v>-8.7255604954444496E-3</v>
      </c>
      <c r="F1170" s="189" t="b">
        <f t="shared" ca="1" si="137"/>
        <v>1</v>
      </c>
      <c r="G1170" s="188">
        <f ca="1">IF(F1170,IFERROR(((('Data Schema'!$C$3*(1+B1170)^1)*((1-$I$4-$I$5+E1170)*(1-$I$10)+$I$6-$I$11)-('Data Schema'!$C$3*(1+B1170)^1-'Data Schema'!$C$3)*$I$12)/(1+C1170)^1+(('Data Schema'!$C$3*(1+B1170)^2)*((1-$I$4-$I$5+E1170)*(1-$I$10)+$I$6-$I$11)-('Data Schema'!$C$3*(1+B1170)^2-'Data Schema'!$C$3*(1+B1170)^1)*$I$12)/(1+C1170)^2+(('Data Schema'!$C$3*(1+B1170)^3)*((1-$I$4-$I$5+E1170)*(1-$I$10)+$I$6-$I$11)-('Data Schema'!$C$3*(1+B1170)^3-'Data Schema'!$C$3*(1+B1170)^2)*$I$12)/(1+C1170)^3+(('Data Schema'!$C$3*(1+B1170)^4)*((1-$I$4-$I$5+E1170)*(1-$I$10)+$I$6-$I$11)-('Data Schema'!$C$3*(1+B1170)^4-'Data Schema'!$C$3*(1+B1170)^3)*$I$12)/(1+C1170)^4+(('Data Schema'!$C$3*(1+B1170)^5)*((1-$I$4-$I$5+E1170)*(1-$I$10)+$I$6-$I$11)-('Data Schema'!$C$3*(1+B1170)^5-'Data Schema'!$C$3*(1+B1170)^4)*$I$12)/(1+C1170)^5+((('Data Schema'!$C$3*(1+B1170)^5)*((1-$I$4-$I$5+E1170)*(1-$I$10)+$I$6-$I$11)-('Data Schema'!$C$3*(1+B1170)^5-'Data Schema'!$C$3*(1+B1170)^4)*$I$12)*(1+D1170)/(C1170-D1170))/(1+C1170)^5-'Data Schema'!$C$31+'Data Schema'!$C$21)/'Data Schema'!$B$17,0),"INVALID")</f>
        <v>98.217889110749937</v>
      </c>
      <c r="H1170" s="189" t="b">
        <f t="shared" ca="1" si="138"/>
        <v>1</v>
      </c>
      <c r="I1170" s="188">
        <f t="shared" ca="1" si="139"/>
        <v>98.217889110749937</v>
      </c>
      <c r="J1170" s="349">
        <f t="shared" ca="1" si="132"/>
        <v>98.217889110749937</v>
      </c>
    </row>
    <row r="1171" spans="1:10">
      <c r="A1171" s="184">
        <v>992</v>
      </c>
      <c r="B1171" s="190">
        <f t="shared" ca="1" si="133"/>
        <v>0.12196408056581343</v>
      </c>
      <c r="C1171" s="190">
        <f t="shared" ca="1" si="134"/>
        <v>6.1676310051789397E-2</v>
      </c>
      <c r="D1171" s="190">
        <f t="shared" ca="1" si="135"/>
        <v>3.360300393978332E-2</v>
      </c>
      <c r="E1171" s="190">
        <f t="shared" ca="1" si="136"/>
        <v>3.9551035617006132E-2</v>
      </c>
      <c r="F1171" s="189" t="b">
        <f t="shared" ca="1" si="137"/>
        <v>1</v>
      </c>
      <c r="G1171" s="188">
        <f ca="1">IF(F1171,IFERROR(((('Data Schema'!$C$3*(1+B1171)^1)*((1-$I$4-$I$5+E1171)*(1-$I$10)+$I$6-$I$11)-('Data Schema'!$C$3*(1+B1171)^1-'Data Schema'!$C$3)*$I$12)/(1+C1171)^1+(('Data Schema'!$C$3*(1+B1171)^2)*((1-$I$4-$I$5+E1171)*(1-$I$10)+$I$6-$I$11)-('Data Schema'!$C$3*(1+B1171)^2-'Data Schema'!$C$3*(1+B1171)^1)*$I$12)/(1+C1171)^2+(('Data Schema'!$C$3*(1+B1171)^3)*((1-$I$4-$I$5+E1171)*(1-$I$10)+$I$6-$I$11)-('Data Schema'!$C$3*(1+B1171)^3-'Data Schema'!$C$3*(1+B1171)^2)*$I$12)/(1+C1171)^3+(('Data Schema'!$C$3*(1+B1171)^4)*((1-$I$4-$I$5+E1171)*(1-$I$10)+$I$6-$I$11)-('Data Schema'!$C$3*(1+B1171)^4-'Data Schema'!$C$3*(1+B1171)^3)*$I$12)/(1+C1171)^4+(('Data Schema'!$C$3*(1+B1171)^5)*((1-$I$4-$I$5+E1171)*(1-$I$10)+$I$6-$I$11)-('Data Schema'!$C$3*(1+B1171)^5-'Data Schema'!$C$3*(1+B1171)^4)*$I$12)/(1+C1171)^5+((('Data Schema'!$C$3*(1+B1171)^5)*((1-$I$4-$I$5+E1171)*(1-$I$10)+$I$6-$I$11)-('Data Schema'!$C$3*(1+B1171)^5-'Data Schema'!$C$3*(1+B1171)^4)*$I$12)*(1+D1171)/(C1171-D1171))/(1+C1171)^5-'Data Schema'!$C$31+'Data Schema'!$C$21)/'Data Schema'!$B$17,0),"INVALID")</f>
        <v>257.93350820910848</v>
      </c>
      <c r="H1171" s="189" t="b">
        <f t="shared" ca="1" si="138"/>
        <v>1</v>
      </c>
      <c r="I1171" s="188">
        <f t="shared" ca="1" si="139"/>
        <v>257.93350820910848</v>
      </c>
      <c r="J1171" s="349" t="str">
        <f t="shared" ca="1" si="132"/>
        <v/>
      </c>
    </row>
    <row r="1172" spans="1:10">
      <c r="A1172" s="185">
        <v>993</v>
      </c>
      <c r="B1172" s="190">
        <f t="shared" ca="1" si="133"/>
        <v>0.10397075727493785</v>
      </c>
      <c r="C1172" s="190">
        <f t="shared" ca="1" si="134"/>
        <v>6.7883070821890434E-2</v>
      </c>
      <c r="D1172" s="190">
        <f t="shared" ca="1" si="135"/>
        <v>2.6842013625585387E-2</v>
      </c>
      <c r="E1172" s="190">
        <f t="shared" ca="1" si="136"/>
        <v>1.233541331248989E-2</v>
      </c>
      <c r="F1172" s="189" t="b">
        <f t="shared" ca="1" si="137"/>
        <v>1</v>
      </c>
      <c r="G1172" s="188">
        <f ca="1">IF(F1172,IFERROR(((('Data Schema'!$C$3*(1+B1172)^1)*((1-$I$4-$I$5+E1172)*(1-$I$10)+$I$6-$I$11)-('Data Schema'!$C$3*(1+B1172)^1-'Data Schema'!$C$3)*$I$12)/(1+C1172)^1+(('Data Schema'!$C$3*(1+B1172)^2)*((1-$I$4-$I$5+E1172)*(1-$I$10)+$I$6-$I$11)-('Data Schema'!$C$3*(1+B1172)^2-'Data Schema'!$C$3*(1+B1172)^1)*$I$12)/(1+C1172)^2+(('Data Schema'!$C$3*(1+B1172)^3)*((1-$I$4-$I$5+E1172)*(1-$I$10)+$I$6-$I$11)-('Data Schema'!$C$3*(1+B1172)^3-'Data Schema'!$C$3*(1+B1172)^2)*$I$12)/(1+C1172)^3+(('Data Schema'!$C$3*(1+B1172)^4)*((1-$I$4-$I$5+E1172)*(1-$I$10)+$I$6-$I$11)-('Data Schema'!$C$3*(1+B1172)^4-'Data Schema'!$C$3*(1+B1172)^3)*$I$12)/(1+C1172)^4+(('Data Schema'!$C$3*(1+B1172)^5)*((1-$I$4-$I$5+E1172)*(1-$I$10)+$I$6-$I$11)-('Data Schema'!$C$3*(1+B1172)^5-'Data Schema'!$C$3*(1+B1172)^4)*$I$12)/(1+C1172)^5+((('Data Schema'!$C$3*(1+B1172)^5)*((1-$I$4-$I$5+E1172)*(1-$I$10)+$I$6-$I$11)-('Data Schema'!$C$3*(1+B1172)^5-'Data Schema'!$C$3*(1+B1172)^4)*$I$12)*(1+D1172)/(C1172-D1172))/(1+C1172)^5-'Data Schema'!$C$31+'Data Schema'!$C$21)/'Data Schema'!$B$17,0),"INVALID")</f>
        <v>100.91391147460348</v>
      </c>
      <c r="H1172" s="189" t="b">
        <f t="shared" ca="1" si="138"/>
        <v>1</v>
      </c>
      <c r="I1172" s="188">
        <f t="shared" ca="1" si="139"/>
        <v>100.91391147460348</v>
      </c>
      <c r="J1172" s="349">
        <f t="shared" ca="1" si="132"/>
        <v>100.91391147460348</v>
      </c>
    </row>
    <row r="1173" spans="1:10">
      <c r="A1173" s="184">
        <v>994</v>
      </c>
      <c r="B1173" s="190">
        <f t="shared" ca="1" si="133"/>
        <v>5.8408718002372122E-2</v>
      </c>
      <c r="C1173" s="190">
        <f t="shared" ca="1" si="134"/>
        <v>6.4933406717147965E-2</v>
      </c>
      <c r="D1173" s="190">
        <f t="shared" ca="1" si="135"/>
        <v>2.3513169300506148E-2</v>
      </c>
      <c r="E1173" s="190">
        <f t="shared" ca="1" si="136"/>
        <v>-1.3370783045490615E-2</v>
      </c>
      <c r="F1173" s="189" t="b">
        <f t="shared" ca="1" si="137"/>
        <v>1</v>
      </c>
      <c r="G1173" s="188">
        <f ca="1">IF(F1173,IFERROR(((('Data Schema'!$C$3*(1+B1173)^1)*((1-$I$4-$I$5+E1173)*(1-$I$10)+$I$6-$I$11)-('Data Schema'!$C$3*(1+B1173)^1-'Data Schema'!$C$3)*$I$12)/(1+C1173)^1+(('Data Schema'!$C$3*(1+B1173)^2)*((1-$I$4-$I$5+E1173)*(1-$I$10)+$I$6-$I$11)-('Data Schema'!$C$3*(1+B1173)^2-'Data Schema'!$C$3*(1+B1173)^1)*$I$12)/(1+C1173)^2+(('Data Schema'!$C$3*(1+B1173)^3)*((1-$I$4-$I$5+E1173)*(1-$I$10)+$I$6-$I$11)-('Data Schema'!$C$3*(1+B1173)^3-'Data Schema'!$C$3*(1+B1173)^2)*$I$12)/(1+C1173)^3+(('Data Schema'!$C$3*(1+B1173)^4)*((1-$I$4-$I$5+E1173)*(1-$I$10)+$I$6-$I$11)-('Data Schema'!$C$3*(1+B1173)^4-'Data Schema'!$C$3*(1+B1173)^3)*$I$12)/(1+C1173)^4+(('Data Schema'!$C$3*(1+B1173)^5)*((1-$I$4-$I$5+E1173)*(1-$I$10)+$I$6-$I$11)-('Data Schema'!$C$3*(1+B1173)^5-'Data Schema'!$C$3*(1+B1173)^4)*$I$12)/(1+C1173)^5+((('Data Schema'!$C$3*(1+B1173)^5)*((1-$I$4-$I$5+E1173)*(1-$I$10)+$I$6-$I$11)-('Data Schema'!$C$3*(1+B1173)^5-'Data Schema'!$C$3*(1+B1173)^4)*$I$12)*(1+D1173)/(C1173-D1173))/(1+C1173)^5-'Data Schema'!$C$31+'Data Schema'!$C$21)/'Data Schema'!$B$17,0),"INVALID")</f>
        <v>34.344010388654326</v>
      </c>
      <c r="H1173" s="189" t="b">
        <f t="shared" ca="1" si="138"/>
        <v>1</v>
      </c>
      <c r="I1173" s="188">
        <f t="shared" ca="1" si="139"/>
        <v>34.344010388654326</v>
      </c>
      <c r="J1173" s="349">
        <f t="shared" ca="1" si="132"/>
        <v>34.344010388654326</v>
      </c>
    </row>
    <row r="1174" spans="1:10">
      <c r="A1174" s="185">
        <v>995</v>
      </c>
      <c r="B1174" s="190">
        <f t="shared" ca="1" si="133"/>
        <v>9.8441280387290275E-2</v>
      </c>
      <c r="C1174" s="190">
        <f t="shared" ca="1" si="134"/>
        <v>4.6866199057080934E-2</v>
      </c>
      <c r="D1174" s="190">
        <f t="shared" ca="1" si="135"/>
        <v>1.8263718788833906E-2</v>
      </c>
      <c r="E1174" s="190">
        <f t="shared" ca="1" si="136"/>
        <v>-3.9828691010545944E-3</v>
      </c>
      <c r="F1174" s="189" t="b">
        <f t="shared" ca="1" si="137"/>
        <v>1</v>
      </c>
      <c r="G1174" s="188">
        <f ca="1">IF(F1174,IFERROR(((('Data Schema'!$C$3*(1+B1174)^1)*((1-$I$4-$I$5+E1174)*(1-$I$10)+$I$6-$I$11)-('Data Schema'!$C$3*(1+B1174)^1-'Data Schema'!$C$3)*$I$12)/(1+C1174)^1+(('Data Schema'!$C$3*(1+B1174)^2)*((1-$I$4-$I$5+E1174)*(1-$I$10)+$I$6-$I$11)-('Data Schema'!$C$3*(1+B1174)^2-'Data Schema'!$C$3*(1+B1174)^1)*$I$12)/(1+C1174)^2+(('Data Schema'!$C$3*(1+B1174)^3)*((1-$I$4-$I$5+E1174)*(1-$I$10)+$I$6-$I$11)-('Data Schema'!$C$3*(1+B1174)^3-'Data Schema'!$C$3*(1+B1174)^2)*$I$12)/(1+C1174)^3+(('Data Schema'!$C$3*(1+B1174)^4)*((1-$I$4-$I$5+E1174)*(1-$I$10)+$I$6-$I$11)-('Data Schema'!$C$3*(1+B1174)^4-'Data Schema'!$C$3*(1+B1174)^3)*$I$12)/(1+C1174)^4+(('Data Schema'!$C$3*(1+B1174)^5)*((1-$I$4-$I$5+E1174)*(1-$I$10)+$I$6-$I$11)-('Data Schema'!$C$3*(1+B1174)^5-'Data Schema'!$C$3*(1+B1174)^4)*$I$12)/(1+C1174)^5+((('Data Schema'!$C$3*(1+B1174)^5)*((1-$I$4-$I$5+E1174)*(1-$I$10)+$I$6-$I$11)-('Data Schema'!$C$3*(1+B1174)^5-'Data Schema'!$C$3*(1+B1174)^4)*$I$12)*(1+D1174)/(C1174-D1174))/(1+C1174)^5-'Data Schema'!$C$31+'Data Schema'!$C$21)/'Data Schema'!$B$17,0),"INVALID")</f>
        <v>94.987289610124975</v>
      </c>
      <c r="H1174" s="189" t="b">
        <f t="shared" ca="1" si="138"/>
        <v>1</v>
      </c>
      <c r="I1174" s="188">
        <f t="shared" ca="1" si="139"/>
        <v>94.987289610124975</v>
      </c>
      <c r="J1174" s="349">
        <f t="shared" ca="1" si="132"/>
        <v>94.987289610124975</v>
      </c>
    </row>
    <row r="1175" spans="1:10">
      <c r="A1175" s="184">
        <v>996</v>
      </c>
      <c r="B1175" s="190">
        <f t="shared" ca="1" si="133"/>
        <v>0.10112971975554352</v>
      </c>
      <c r="C1175" s="190">
        <f t="shared" ca="1" si="134"/>
        <v>5.7205954214394845E-2</v>
      </c>
      <c r="D1175" s="190">
        <f t="shared" ca="1" si="135"/>
        <v>3.4555685565430205E-2</v>
      </c>
      <c r="E1175" s="190">
        <f t="shared" ca="1" si="136"/>
        <v>-1.7525748673734215E-2</v>
      </c>
      <c r="F1175" s="189" t="b">
        <f t="shared" ca="1" si="137"/>
        <v>1</v>
      </c>
      <c r="G1175" s="188">
        <f ca="1">IF(F1175,IFERROR(((('Data Schema'!$C$3*(1+B1175)^1)*((1-$I$4-$I$5+E1175)*(1-$I$10)+$I$6-$I$11)-('Data Schema'!$C$3*(1+B1175)^1-'Data Schema'!$C$3)*$I$12)/(1+C1175)^1+(('Data Schema'!$C$3*(1+B1175)^2)*((1-$I$4-$I$5+E1175)*(1-$I$10)+$I$6-$I$11)-('Data Schema'!$C$3*(1+B1175)^2-'Data Schema'!$C$3*(1+B1175)^1)*$I$12)/(1+C1175)^2+(('Data Schema'!$C$3*(1+B1175)^3)*((1-$I$4-$I$5+E1175)*(1-$I$10)+$I$6-$I$11)-('Data Schema'!$C$3*(1+B1175)^3-'Data Schema'!$C$3*(1+B1175)^2)*$I$12)/(1+C1175)^3+(('Data Schema'!$C$3*(1+B1175)^4)*((1-$I$4-$I$5+E1175)*(1-$I$10)+$I$6-$I$11)-('Data Schema'!$C$3*(1+B1175)^4-'Data Schema'!$C$3*(1+B1175)^3)*$I$12)/(1+C1175)^4+(('Data Schema'!$C$3*(1+B1175)^5)*((1-$I$4-$I$5+E1175)*(1-$I$10)+$I$6-$I$11)-('Data Schema'!$C$3*(1+B1175)^5-'Data Schema'!$C$3*(1+B1175)^4)*$I$12)/(1+C1175)^5+((('Data Schema'!$C$3*(1+B1175)^5)*((1-$I$4-$I$5+E1175)*(1-$I$10)+$I$6-$I$11)-('Data Schema'!$C$3*(1+B1175)^5-'Data Schema'!$C$3*(1+B1175)^4)*$I$12)*(1+D1175)/(C1175-D1175))/(1+C1175)^5-'Data Schema'!$C$31+'Data Schema'!$C$21)/'Data Schema'!$B$17,0),"INVALID")</f>
        <v>60.209438800673851</v>
      </c>
      <c r="H1175" s="189" t="b">
        <f t="shared" ca="1" si="138"/>
        <v>1</v>
      </c>
      <c r="I1175" s="188">
        <f t="shared" ca="1" si="139"/>
        <v>60.209438800673851</v>
      </c>
      <c r="J1175" s="349">
        <f t="shared" ca="1" si="132"/>
        <v>60.209438800673851</v>
      </c>
    </row>
    <row r="1176" spans="1:10">
      <c r="A1176" s="185">
        <v>997</v>
      </c>
      <c r="B1176" s="190">
        <f t="shared" ca="1" si="133"/>
        <v>0.10852087278591085</v>
      </c>
      <c r="C1176" s="190">
        <f t="shared" ca="1" si="134"/>
        <v>5.0974930950268206E-2</v>
      </c>
      <c r="D1176" s="190">
        <f t="shared" ca="1" si="135"/>
        <v>3.4772517775029523E-2</v>
      </c>
      <c r="E1176" s="190">
        <f t="shared" ca="1" si="136"/>
        <v>2.5653129685911193E-2</v>
      </c>
      <c r="F1176" s="189" t="b">
        <f t="shared" ca="1" si="137"/>
        <v>1</v>
      </c>
      <c r="G1176" s="188">
        <f ca="1">IF(F1176,IFERROR(((('Data Schema'!$C$3*(1+B1176)^1)*((1-$I$4-$I$5+E1176)*(1-$I$10)+$I$6-$I$11)-('Data Schema'!$C$3*(1+B1176)^1-'Data Schema'!$C$3)*$I$12)/(1+C1176)^1+(('Data Schema'!$C$3*(1+B1176)^2)*((1-$I$4-$I$5+E1176)*(1-$I$10)+$I$6-$I$11)-('Data Schema'!$C$3*(1+B1176)^2-'Data Schema'!$C$3*(1+B1176)^1)*$I$12)/(1+C1176)^2+(('Data Schema'!$C$3*(1+B1176)^3)*((1-$I$4-$I$5+E1176)*(1-$I$10)+$I$6-$I$11)-('Data Schema'!$C$3*(1+B1176)^3-'Data Schema'!$C$3*(1+B1176)^2)*$I$12)/(1+C1176)^3+(('Data Schema'!$C$3*(1+B1176)^4)*((1-$I$4-$I$5+E1176)*(1-$I$10)+$I$6-$I$11)-('Data Schema'!$C$3*(1+B1176)^4-'Data Schema'!$C$3*(1+B1176)^3)*$I$12)/(1+C1176)^4+(('Data Schema'!$C$3*(1+B1176)^5)*((1-$I$4-$I$5+E1176)*(1-$I$10)+$I$6-$I$11)-('Data Schema'!$C$3*(1+B1176)^5-'Data Schema'!$C$3*(1+B1176)^4)*$I$12)/(1+C1176)^5+((('Data Schema'!$C$3*(1+B1176)^5)*((1-$I$4-$I$5+E1176)*(1-$I$10)+$I$6-$I$11)-('Data Schema'!$C$3*(1+B1176)^5-'Data Schema'!$C$3*(1+B1176)^4)*$I$12)*(1+D1176)/(C1176-D1176))/(1+C1176)^5-'Data Schema'!$C$31+'Data Schema'!$C$21)/'Data Schema'!$B$17,0),"INVALID")</f>
        <v>346.3324214043289</v>
      </c>
      <c r="H1176" s="189" t="b">
        <f t="shared" ca="1" si="138"/>
        <v>1</v>
      </c>
      <c r="I1176" s="188">
        <f t="shared" ca="1" si="139"/>
        <v>346.3324214043289</v>
      </c>
      <c r="J1176" s="349" t="str">
        <f t="shared" ca="1" si="132"/>
        <v/>
      </c>
    </row>
    <row r="1177" spans="1:10">
      <c r="A1177" s="184">
        <v>998</v>
      </c>
      <c r="B1177" s="190">
        <f t="shared" ca="1" si="133"/>
        <v>8.7774964761661939E-2</v>
      </c>
      <c r="C1177" s="190">
        <f t="shared" ca="1" si="134"/>
        <v>7.240366672237894E-2</v>
      </c>
      <c r="D1177" s="190">
        <f t="shared" ca="1" si="135"/>
        <v>1.8623070894168745E-2</v>
      </c>
      <c r="E1177" s="190">
        <f t="shared" ca="1" si="136"/>
        <v>-2.610194470275325E-2</v>
      </c>
      <c r="F1177" s="189" t="b">
        <f t="shared" ca="1" si="137"/>
        <v>1</v>
      </c>
      <c r="G1177" s="188">
        <f ca="1">IF(F1177,IFERROR(((('Data Schema'!$C$3*(1+B1177)^1)*((1-$I$4-$I$5+E1177)*(1-$I$10)+$I$6-$I$11)-('Data Schema'!$C$3*(1+B1177)^1-'Data Schema'!$C$3)*$I$12)/(1+C1177)^1+(('Data Schema'!$C$3*(1+B1177)^2)*((1-$I$4-$I$5+E1177)*(1-$I$10)+$I$6-$I$11)-('Data Schema'!$C$3*(1+B1177)^2-'Data Schema'!$C$3*(1+B1177)^1)*$I$12)/(1+C1177)^2+(('Data Schema'!$C$3*(1+B1177)^3)*((1-$I$4-$I$5+E1177)*(1-$I$10)+$I$6-$I$11)-('Data Schema'!$C$3*(1+B1177)^3-'Data Schema'!$C$3*(1+B1177)^2)*$I$12)/(1+C1177)^3+(('Data Schema'!$C$3*(1+B1177)^4)*((1-$I$4-$I$5+E1177)*(1-$I$10)+$I$6-$I$11)-('Data Schema'!$C$3*(1+B1177)^4-'Data Schema'!$C$3*(1+B1177)^3)*$I$12)/(1+C1177)^4+(('Data Schema'!$C$3*(1+B1177)^5)*((1-$I$4-$I$5+E1177)*(1-$I$10)+$I$6-$I$11)-('Data Schema'!$C$3*(1+B1177)^5-'Data Schema'!$C$3*(1+B1177)^4)*$I$12)/(1+C1177)^5+((('Data Schema'!$C$3*(1+B1177)^5)*((1-$I$4-$I$5+E1177)*(1-$I$10)+$I$6-$I$11)-('Data Schema'!$C$3*(1+B1177)^5-'Data Schema'!$C$3*(1+B1177)^4)*$I$12)*(1+D1177)/(C1177-D1177))/(1+C1177)^5-'Data Schema'!$C$31+'Data Schema'!$C$21)/'Data Schema'!$B$17,0),"INVALID")</f>
        <v>6.7408672098444304</v>
      </c>
      <c r="H1177" s="189" t="b">
        <f t="shared" ca="1" si="138"/>
        <v>0</v>
      </c>
      <c r="I1177" s="188" t="str">
        <f t="shared" ca="1" si="139"/>
        <v/>
      </c>
      <c r="J1177" s="349" t="str">
        <f t="shared" ca="1" si="132"/>
        <v/>
      </c>
    </row>
    <row r="1178" spans="1:10">
      <c r="A1178" s="185">
        <v>999</v>
      </c>
      <c r="B1178" s="190">
        <f t="shared" ca="1" si="133"/>
        <v>7.9319540949407547E-2</v>
      </c>
      <c r="C1178" s="190">
        <f t="shared" ca="1" si="134"/>
        <v>4.9962069931344485E-2</v>
      </c>
      <c r="D1178" s="190">
        <f t="shared" ca="1" si="135"/>
        <v>2.7380456962287816E-2</v>
      </c>
      <c r="E1178" s="190">
        <f t="shared" ca="1" si="136"/>
        <v>-2.6580743356532533E-3</v>
      </c>
      <c r="F1178" s="189" t="b">
        <f t="shared" ca="1" si="137"/>
        <v>1</v>
      </c>
      <c r="G1178" s="188">
        <f ca="1">IF(F1178,IFERROR(((('Data Schema'!$C$3*(1+B1178)^1)*((1-$I$4-$I$5+E1178)*(1-$I$10)+$I$6-$I$11)-('Data Schema'!$C$3*(1+B1178)^1-'Data Schema'!$C$3)*$I$12)/(1+C1178)^1+(('Data Schema'!$C$3*(1+B1178)^2)*((1-$I$4-$I$5+E1178)*(1-$I$10)+$I$6-$I$11)-('Data Schema'!$C$3*(1+B1178)^2-'Data Schema'!$C$3*(1+B1178)^1)*$I$12)/(1+C1178)^2+(('Data Schema'!$C$3*(1+B1178)^3)*((1-$I$4-$I$5+E1178)*(1-$I$10)+$I$6-$I$11)-('Data Schema'!$C$3*(1+B1178)^3-'Data Schema'!$C$3*(1+B1178)^2)*$I$12)/(1+C1178)^3+(('Data Schema'!$C$3*(1+B1178)^4)*((1-$I$4-$I$5+E1178)*(1-$I$10)+$I$6-$I$11)-('Data Schema'!$C$3*(1+B1178)^4-'Data Schema'!$C$3*(1+B1178)^3)*$I$12)/(1+C1178)^4+(('Data Schema'!$C$3*(1+B1178)^5)*((1-$I$4-$I$5+E1178)*(1-$I$10)+$I$6-$I$11)-('Data Schema'!$C$3*(1+B1178)^5-'Data Schema'!$C$3*(1+B1178)^4)*$I$12)/(1+C1178)^5+((('Data Schema'!$C$3*(1+B1178)^5)*((1-$I$4-$I$5+E1178)*(1-$I$10)+$I$6-$I$11)-('Data Schema'!$C$3*(1+B1178)^5-'Data Schema'!$C$3*(1+B1178)^4)*$I$12)*(1+D1178)/(C1178-D1178))/(1+C1178)^5-'Data Schema'!$C$31+'Data Schema'!$C$21)/'Data Schema'!$B$17,0),"INVALID")</f>
        <v>114.89995860962719</v>
      </c>
      <c r="H1178" s="189" t="b">
        <f t="shared" ca="1" si="138"/>
        <v>1</v>
      </c>
      <c r="I1178" s="188">
        <f t="shared" ca="1" si="139"/>
        <v>114.89995860962719</v>
      </c>
      <c r="J1178" s="349">
        <f t="shared" ca="1" si="132"/>
        <v>114.89995860962719</v>
      </c>
    </row>
    <row r="1179" spans="1:10">
      <c r="A1179" s="184">
        <v>1000</v>
      </c>
      <c r="B1179" s="190">
        <f t="shared" ca="1" si="133"/>
        <v>8.887454756806272E-2</v>
      </c>
      <c r="C1179" s="190">
        <f t="shared" ca="1" si="134"/>
        <v>5.2427304954286956E-2</v>
      </c>
      <c r="D1179" s="190">
        <f t="shared" ca="1" si="135"/>
        <v>2.1910983503750283E-2</v>
      </c>
      <c r="E1179" s="190">
        <f t="shared" ca="1" si="136"/>
        <v>-1.4024653548665967E-2</v>
      </c>
      <c r="F1179" s="189" t="b">
        <f t="shared" ca="1" si="137"/>
        <v>1</v>
      </c>
      <c r="G1179" s="188">
        <f ca="1">IF(F1179,IFERROR(((('Data Schema'!$C$3*(1+B1179)^1)*((1-$I$4-$I$5+E1179)*(1-$I$10)+$I$6-$I$11)-('Data Schema'!$C$3*(1+B1179)^1-'Data Schema'!$C$3)*$I$12)/(1+C1179)^1+(('Data Schema'!$C$3*(1+B1179)^2)*((1-$I$4-$I$5+E1179)*(1-$I$10)+$I$6-$I$11)-('Data Schema'!$C$3*(1+B1179)^2-'Data Schema'!$C$3*(1+B1179)^1)*$I$12)/(1+C1179)^2+(('Data Schema'!$C$3*(1+B1179)^3)*((1-$I$4-$I$5+E1179)*(1-$I$10)+$I$6-$I$11)-('Data Schema'!$C$3*(1+B1179)^3-'Data Schema'!$C$3*(1+B1179)^2)*$I$12)/(1+C1179)^3+(('Data Schema'!$C$3*(1+B1179)^4)*((1-$I$4-$I$5+E1179)*(1-$I$10)+$I$6-$I$11)-('Data Schema'!$C$3*(1+B1179)^4-'Data Schema'!$C$3*(1+B1179)^3)*$I$12)/(1+C1179)^4+(('Data Schema'!$C$3*(1+B1179)^5)*((1-$I$4-$I$5+E1179)*(1-$I$10)+$I$6-$I$11)-('Data Schema'!$C$3*(1+B1179)^5-'Data Schema'!$C$3*(1+B1179)^4)*$I$12)/(1+C1179)^5+((('Data Schema'!$C$3*(1+B1179)^5)*((1-$I$4-$I$5+E1179)*(1-$I$10)+$I$6-$I$11)-('Data Schema'!$C$3*(1+B1179)^5-'Data Schema'!$C$3*(1+B1179)^4)*$I$12)*(1+D1179)/(C1179-D1179))/(1+C1179)^5-'Data Schema'!$C$31+'Data Schema'!$C$21)/'Data Schema'!$B$17,0),"INVALID")</f>
        <v>53.707869439010878</v>
      </c>
      <c r="H1179" s="189" t="b">
        <f t="shared" ca="1" si="138"/>
        <v>1</v>
      </c>
      <c r="I1179" s="188">
        <f t="shared" ca="1" si="139"/>
        <v>53.707869439010878</v>
      </c>
      <c r="J1179" s="349">
        <f t="shared" ca="1" si="132"/>
        <v>53.707869439010878</v>
      </c>
    </row>
  </sheetData>
  <mergeCells count="88">
    <mergeCell ref="B128:C128"/>
    <mergeCell ref="B127:C127"/>
    <mergeCell ref="B129:C129"/>
    <mergeCell ref="B118:C118"/>
    <mergeCell ref="A124:C124"/>
    <mergeCell ref="A119:C119"/>
    <mergeCell ref="A112:C112"/>
    <mergeCell ref="A106:C106"/>
    <mergeCell ref="B110:C110"/>
    <mergeCell ref="B111:C111"/>
    <mergeCell ref="B115:C115"/>
    <mergeCell ref="B116:C116"/>
    <mergeCell ref="B117:C117"/>
    <mergeCell ref="B123:C123"/>
    <mergeCell ref="B122:C122"/>
    <mergeCell ref="A99:D99"/>
    <mergeCell ref="B109:C109"/>
    <mergeCell ref="R5:AM5"/>
    <mergeCell ref="A126:D126"/>
    <mergeCell ref="A121:D121"/>
    <mergeCell ref="A114:D114"/>
    <mergeCell ref="A108:D108"/>
    <mergeCell ref="R40:W40"/>
    <mergeCell ref="B58:E58"/>
    <mergeCell ref="A66:F66"/>
    <mergeCell ref="H27:L27"/>
    <mergeCell ref="B84:E84"/>
    <mergeCell ref="B93:E93"/>
    <mergeCell ref="B61:E61"/>
    <mergeCell ref="B23:E23"/>
    <mergeCell ref="B29:E29"/>
    <mergeCell ref="D150:H150"/>
    <mergeCell ref="A158:B158"/>
    <mergeCell ref="A148:B148"/>
    <mergeCell ref="A174:M174"/>
    <mergeCell ref="A173:M173"/>
    <mergeCell ref="I138:K138"/>
    <mergeCell ref="I139:K139"/>
    <mergeCell ref="I140:K140"/>
    <mergeCell ref="I141:K141"/>
    <mergeCell ref="I142:K142"/>
    <mergeCell ref="R1:AM1"/>
    <mergeCell ref="R24:AM24"/>
    <mergeCell ref="R13:AM13"/>
    <mergeCell ref="A1:F1"/>
    <mergeCell ref="B63:E63"/>
    <mergeCell ref="B60:E60"/>
    <mergeCell ref="H24:L24"/>
    <mergeCell ref="H34:K34"/>
    <mergeCell ref="H29:L29"/>
    <mergeCell ref="B31:E31"/>
    <mergeCell ref="H28:L28"/>
    <mergeCell ref="H25:L25"/>
    <mergeCell ref="B20:E20"/>
    <mergeCell ref="B55:E55"/>
    <mergeCell ref="B59:E59"/>
    <mergeCell ref="B53:E53"/>
    <mergeCell ref="A137:B137"/>
    <mergeCell ref="A134:M134"/>
    <mergeCell ref="B21:E21"/>
    <mergeCell ref="B86:E86"/>
    <mergeCell ref="B85:E85"/>
    <mergeCell ref="J30:K30"/>
    <mergeCell ref="H21:L21"/>
    <mergeCell ref="B56:E56"/>
    <mergeCell ref="B96:E96"/>
    <mergeCell ref="B90:E90"/>
    <mergeCell ref="B95:E95"/>
    <mergeCell ref="B32:E32"/>
    <mergeCell ref="B22:E22"/>
    <mergeCell ref="B87:E87"/>
    <mergeCell ref="B91:E91"/>
    <mergeCell ref="B28:E28"/>
    <mergeCell ref="H22:L22"/>
    <mergeCell ref="B26:E26"/>
    <mergeCell ref="B52:E52"/>
    <mergeCell ref="A34:F34"/>
    <mergeCell ref="B64:E64"/>
    <mergeCell ref="H26:L26"/>
    <mergeCell ref="B92:E92"/>
    <mergeCell ref="B94:E94"/>
    <mergeCell ref="H23:L23"/>
    <mergeCell ref="B62:E62"/>
    <mergeCell ref="B54:E54"/>
    <mergeCell ref="B30:E30"/>
    <mergeCell ref="B24:E24"/>
    <mergeCell ref="B88:E88"/>
    <mergeCell ref="B27:E27"/>
  </mergeCells>
  <conditionalFormatting sqref="A127:A129 D127:D129 A130:D130">
    <cfRule type="expression" dxfId="180" priority="7">
      <formula>$F$126="OFF"</formula>
    </cfRule>
  </conditionalFormatting>
  <conditionalFormatting sqref="A109:B111 D109:D111 A112:D112">
    <cfRule type="expression" dxfId="179" priority="5">
      <formula>$F$108="OFF"</formula>
    </cfRule>
  </conditionalFormatting>
  <conditionalFormatting sqref="A115:B118 D115:D118 A119:D119">
    <cfRule type="expression" dxfId="178" priority="3">
      <formula>$F$114="OFF"</formula>
    </cfRule>
  </conditionalFormatting>
  <conditionalFormatting sqref="A122:B123 D122:D123 A124:D124">
    <cfRule type="expression" dxfId="177" priority="6">
      <formula>$F$121="OFF"</formula>
    </cfRule>
  </conditionalFormatting>
  <conditionalFormatting sqref="A101:D106">
    <cfRule type="expression" dxfId="176" priority="4">
      <formula>$F$100="OFF"</formula>
    </cfRule>
  </conditionalFormatting>
  <conditionalFormatting sqref="B127:B128">
    <cfRule type="expression" dxfId="175" priority="2">
      <formula>$F$108="OFF"</formula>
    </cfRule>
  </conditionalFormatting>
  <conditionalFormatting sqref="B129">
    <cfRule type="expression" dxfId="174" priority="1">
      <formula>$F$114="OFF"</formula>
    </cfRule>
  </conditionalFormatting>
  <conditionalFormatting sqref="B4:F4 I4:J4">
    <cfRule type="expression" dxfId="173" priority="176">
      <formula>$J$4="Manual -2.5%"</formula>
    </cfRule>
    <cfRule type="expression" dxfId="172" priority="177">
      <formula>$J$4="Manual -10%"</formula>
    </cfRule>
    <cfRule type="expression" dxfId="171" priority="178">
      <formula>$J$4="Manual -5%"</formula>
    </cfRule>
    <cfRule type="expression" dxfId="170" priority="179">
      <formula>$J$4="Manual +10%"</formula>
    </cfRule>
    <cfRule type="expression" dxfId="169" priority="180">
      <formula>$J$4="Manual +2.5%"</formula>
    </cfRule>
    <cfRule type="expression" dxfId="168" priority="181">
      <formula>$J$4="Manual +5%"</formula>
    </cfRule>
  </conditionalFormatting>
  <conditionalFormatting sqref="B8:F8 I9:J9">
    <cfRule type="expression" dxfId="167" priority="152">
      <formula>$J$9="Manual -2.5%"</formula>
    </cfRule>
    <cfRule type="expression" dxfId="166" priority="153">
      <formula>$J$9="Manual -10%"</formula>
    </cfRule>
    <cfRule type="expression" dxfId="165" priority="154">
      <formula>$J$9="Manual -5%"</formula>
    </cfRule>
    <cfRule type="expression" dxfId="164" priority="155">
      <formula>$J$9="Manual +10%"</formula>
    </cfRule>
    <cfRule type="expression" dxfId="163" priority="156">
      <formula>$J$9="Manual +2.5%"</formula>
    </cfRule>
    <cfRule type="expression" dxfId="162" priority="157">
      <formula>$J$9="Manual +5%"</formula>
    </cfRule>
  </conditionalFormatting>
  <conditionalFormatting sqref="B10:F10 I10:J10">
    <cfRule type="expression" dxfId="161" priority="146">
      <formula>$J$10="Manual -2.5%"</formula>
    </cfRule>
    <cfRule type="expression" dxfId="160" priority="147">
      <formula>$J$10="Manual -10%"</formula>
    </cfRule>
    <cfRule type="expression" dxfId="159" priority="148">
      <formula>$J$10="Manual -5%"</formula>
    </cfRule>
    <cfRule type="expression" dxfId="158" priority="149">
      <formula>$J$10="Manual +10%"</formula>
    </cfRule>
    <cfRule type="expression" dxfId="157" priority="150">
      <formula>$J$10="Manual +2.5%"</formula>
    </cfRule>
    <cfRule type="expression" dxfId="156" priority="151">
      <formula>$J$10="Manual +5%"</formula>
    </cfRule>
  </conditionalFormatting>
  <conditionalFormatting sqref="B36:F36">
    <cfRule type="expression" dxfId="155" priority="114">
      <formula>$J$2="Manual -10%"</formula>
    </cfRule>
    <cfRule type="expression" dxfId="154" priority="115">
      <formula>$J$2="Manual -5%"</formula>
    </cfRule>
    <cfRule type="expression" dxfId="153" priority="116">
      <formula>$J$2="Manual +10%"</formula>
    </cfRule>
    <cfRule type="expression" dxfId="152" priority="117">
      <formula>$J$2="Manual +2.5%"</formula>
    </cfRule>
    <cfRule type="expression" dxfId="151" priority="118">
      <formula>$J$2="Manual +5%"</formula>
    </cfRule>
    <cfRule type="expression" dxfId="150" priority="119">
      <formula>$J$2="Manual -2.5%"</formula>
    </cfRule>
  </conditionalFormatting>
  <conditionalFormatting sqref="B37:F37">
    <cfRule type="expression" dxfId="149" priority="108">
      <formula>$J$4="Manual -2.5%"</formula>
    </cfRule>
    <cfRule type="expression" dxfId="148" priority="109">
      <formula>$J$4="Manual -10%"</formula>
    </cfRule>
    <cfRule type="expression" dxfId="147" priority="110">
      <formula>$J$4="Manual -5%"</formula>
    </cfRule>
    <cfRule type="expression" dxfId="146" priority="111">
      <formula>$J$4="Manual +10%"</formula>
    </cfRule>
    <cfRule type="expression" dxfId="145" priority="112">
      <formula>$J$4="Manual +2.5%"</formula>
    </cfRule>
    <cfRule type="expression" dxfId="144" priority="113">
      <formula>$J$4="Manual +5%"</formula>
    </cfRule>
  </conditionalFormatting>
  <conditionalFormatting sqref="B39:F39">
    <cfRule type="expression" dxfId="143" priority="102">
      <formula>$J$5="Manual -2.5%"</formula>
    </cfRule>
    <cfRule type="expression" dxfId="142" priority="103">
      <formula>$J$5="Manual -10%"</formula>
    </cfRule>
    <cfRule type="expression" dxfId="141" priority="104">
      <formula>$J$5="Manual -5%"</formula>
    </cfRule>
    <cfRule type="expression" dxfId="140" priority="105">
      <formula>$J$5="Manual +10%"</formula>
    </cfRule>
    <cfRule type="expression" dxfId="139" priority="106">
      <formula>$J$5="Manual +2.5%"</formula>
    </cfRule>
    <cfRule type="expression" dxfId="138" priority="107">
      <formula>$J$5="Manual +5%"</formula>
    </cfRule>
  </conditionalFormatting>
  <conditionalFormatting sqref="B41:F41">
    <cfRule type="expression" dxfId="137" priority="84">
      <formula>$J$9="Manual -2.5%"</formula>
    </cfRule>
    <cfRule type="expression" dxfId="136" priority="85">
      <formula>$J$9="Manual -10%"</formula>
    </cfRule>
    <cfRule type="expression" dxfId="135" priority="86">
      <formula>$J$9="Manual -5%"</formula>
    </cfRule>
    <cfRule type="expression" dxfId="134" priority="87">
      <formula>$J$9="Manual +10%"</formula>
    </cfRule>
    <cfRule type="expression" dxfId="133" priority="88">
      <formula>$J$9="Manual +2.5%"</formula>
    </cfRule>
    <cfRule type="expression" dxfId="132" priority="89">
      <formula>$J$9="Manual +5%"</formula>
    </cfRule>
  </conditionalFormatting>
  <conditionalFormatting sqref="B42:F42">
    <cfRule type="expression" dxfId="131" priority="90">
      <formula>$J$8="Manual -2.5%"</formula>
    </cfRule>
    <cfRule type="expression" dxfId="130" priority="91">
      <formula>$J$8="Manual -10%"</formula>
    </cfRule>
    <cfRule type="expression" dxfId="129" priority="92">
      <formula>$J$8="Manual -5%"</formula>
    </cfRule>
    <cfRule type="expression" dxfId="128" priority="93">
      <formula>$J$8="Manual +10%"</formula>
    </cfRule>
    <cfRule type="expression" dxfId="127" priority="94">
      <formula>$J$8="Manual +2.5%"</formula>
    </cfRule>
    <cfRule type="expression" dxfId="126" priority="95">
      <formula>$J$8="Manual +5%"</formula>
    </cfRule>
  </conditionalFormatting>
  <conditionalFormatting sqref="B43:F43">
    <cfRule type="expression" dxfId="125" priority="78">
      <formula>$J$10="Manual -2.5%"</formula>
    </cfRule>
    <cfRule type="expression" dxfId="124" priority="79">
      <formula>$J$10="Manual -10%"</formula>
    </cfRule>
    <cfRule type="expression" dxfId="123" priority="80">
      <formula>$J$10="Manual -5%"</formula>
    </cfRule>
    <cfRule type="expression" dxfId="122" priority="81">
      <formula>$J$10="Manual +10%"</formula>
    </cfRule>
    <cfRule type="expression" dxfId="121" priority="82">
      <formula>$J$10="Manual +2.5%"</formula>
    </cfRule>
    <cfRule type="expression" dxfId="120" priority="83">
      <formula>$J$10="Manual +5%"</formula>
    </cfRule>
  </conditionalFormatting>
  <conditionalFormatting sqref="B46:F46">
    <cfRule type="expression" dxfId="119" priority="96">
      <formula>$J$6="Manual -2.5%"</formula>
    </cfRule>
    <cfRule type="expression" dxfId="118" priority="97">
      <formula>$J$6="Manual -10%"</formula>
    </cfRule>
    <cfRule type="expression" dxfId="117" priority="98">
      <formula>$J$6="Manual -5%"</formula>
    </cfRule>
    <cfRule type="expression" dxfId="116" priority="99">
      <formula>$J$6="Manual +10%"</formula>
    </cfRule>
    <cfRule type="expression" dxfId="115" priority="100">
      <formula>$J$6="Manual +2.5%"</formula>
    </cfRule>
    <cfRule type="expression" dxfId="114" priority="101">
      <formula>$J$6="Manual +5%"</formula>
    </cfRule>
  </conditionalFormatting>
  <conditionalFormatting sqref="B47:F47">
    <cfRule type="expression" dxfId="113" priority="66">
      <formula>$J$12="Manual -2.5%"</formula>
    </cfRule>
    <cfRule type="expression" dxfId="112" priority="67">
      <formula>$J$12="Manual -10%"</formula>
    </cfRule>
    <cfRule type="expression" dxfId="111" priority="68">
      <formula>$J$12="Manual -5%"</formula>
    </cfRule>
    <cfRule type="expression" dxfId="110" priority="69">
      <formula>$J$12="Manual +10%"</formula>
    </cfRule>
    <cfRule type="expression" dxfId="109" priority="70">
      <formula>$J$12="Manual +2.5%"</formula>
    </cfRule>
    <cfRule type="expression" dxfId="108" priority="71">
      <formula>$J$12="Manual +5%"</formula>
    </cfRule>
  </conditionalFormatting>
  <conditionalFormatting sqref="B48:F48">
    <cfRule type="expression" dxfId="107" priority="72">
      <formula>$J$11="Manual -2.5%"</formula>
    </cfRule>
    <cfRule type="expression" dxfId="106" priority="73">
      <formula>$J$11="Manual -10%"</formula>
    </cfRule>
    <cfRule type="expression" dxfId="105" priority="74">
      <formula>$J$11="Manual -5%"</formula>
    </cfRule>
    <cfRule type="expression" dxfId="104" priority="75">
      <formula>$J$11="Manual +10%"</formula>
    </cfRule>
    <cfRule type="expression" dxfId="103" priority="76">
      <formula>$J$11="Manual +2.5%"</formula>
    </cfRule>
    <cfRule type="expression" dxfId="102" priority="77">
      <formula>$J$11="Manual +5%"</formula>
    </cfRule>
  </conditionalFormatting>
  <conditionalFormatting sqref="B68:F68">
    <cfRule type="expression" dxfId="101" priority="60">
      <formula>$J$2="Manual -10%"</formula>
    </cfRule>
    <cfRule type="expression" dxfId="100" priority="61">
      <formula>$J$2="Manual -5%"</formula>
    </cfRule>
    <cfRule type="expression" dxfId="99" priority="62">
      <formula>$J$2="Manual +10%"</formula>
    </cfRule>
    <cfRule type="expression" dxfId="98" priority="63">
      <formula>$J$2="Manual +2.5%"</formula>
    </cfRule>
    <cfRule type="expression" dxfId="97" priority="64">
      <formula>$J$2="Manual +5%"</formula>
    </cfRule>
    <cfRule type="expression" dxfId="96" priority="65">
      <formula>$J$2="Manual -2.5%"</formula>
    </cfRule>
  </conditionalFormatting>
  <conditionalFormatting sqref="B69:F69">
    <cfRule type="expression" dxfId="95" priority="54">
      <formula>$J$4="Manual -2.5%"</formula>
    </cfRule>
    <cfRule type="expression" dxfId="94" priority="55">
      <formula>$J$4="Manual -10%"</formula>
    </cfRule>
    <cfRule type="expression" dxfId="93" priority="56">
      <formula>$J$4="Manual -5%"</formula>
    </cfRule>
    <cfRule type="expression" dxfId="92" priority="57">
      <formula>$J$4="Manual +10%"</formula>
    </cfRule>
    <cfRule type="expression" dxfId="91" priority="58">
      <formula>$J$4="Manual +2.5%"</formula>
    </cfRule>
    <cfRule type="expression" dxfId="90" priority="59">
      <formula>$J$4="Manual +5%"</formula>
    </cfRule>
  </conditionalFormatting>
  <conditionalFormatting sqref="B71:F71">
    <cfRule type="expression" dxfId="89" priority="48">
      <formula>$J$5="Manual -2.5%"</formula>
    </cfRule>
    <cfRule type="expression" dxfId="88" priority="49">
      <formula>$J$5="Manual -10%"</formula>
    </cfRule>
    <cfRule type="expression" dxfId="87" priority="50">
      <formula>$J$5="Manual -5%"</formula>
    </cfRule>
    <cfRule type="expression" dxfId="86" priority="51">
      <formula>$J$5="Manual +10%"</formula>
    </cfRule>
    <cfRule type="expression" dxfId="85" priority="52">
      <formula>$J$5="Manual +2.5%"</formula>
    </cfRule>
    <cfRule type="expression" dxfId="84" priority="53">
      <formula>$J$5="Manual +5%"</formula>
    </cfRule>
  </conditionalFormatting>
  <conditionalFormatting sqref="B73:F73">
    <cfRule type="expression" dxfId="83" priority="30">
      <formula>$J$9="Manual -2.5%"</formula>
    </cfRule>
    <cfRule type="expression" dxfId="82" priority="31">
      <formula>$J$9="Manual -10%"</formula>
    </cfRule>
    <cfRule type="expression" dxfId="81" priority="32">
      <formula>$J$9="Manual -5%"</formula>
    </cfRule>
    <cfRule type="expression" dxfId="80" priority="33">
      <formula>$J$9="Manual +10%"</formula>
    </cfRule>
    <cfRule type="expression" dxfId="79" priority="34">
      <formula>$J$9="Manual +2.5%"</formula>
    </cfRule>
    <cfRule type="expression" dxfId="78" priority="35">
      <formula>$J$9="Manual +5%"</formula>
    </cfRule>
  </conditionalFormatting>
  <conditionalFormatting sqref="B74:F74">
    <cfRule type="expression" dxfId="77" priority="36">
      <formula>$J$8="Manual -2.5%"</formula>
    </cfRule>
    <cfRule type="expression" dxfId="76" priority="37">
      <formula>$J$8="Manual -10%"</formula>
    </cfRule>
    <cfRule type="expression" dxfId="75" priority="38">
      <formula>$J$8="Manual -5%"</formula>
    </cfRule>
    <cfRule type="expression" dxfId="74" priority="39">
      <formula>$J$8="Manual +10%"</formula>
    </cfRule>
    <cfRule type="expression" dxfId="73" priority="40">
      <formula>$J$8="Manual +2.5%"</formula>
    </cfRule>
    <cfRule type="expression" dxfId="72" priority="41">
      <formula>$J$8="Manual +5%"</formula>
    </cfRule>
  </conditionalFormatting>
  <conditionalFormatting sqref="B75:F75">
    <cfRule type="expression" dxfId="71" priority="24">
      <formula>$J$10="Manual -2.5%"</formula>
    </cfRule>
    <cfRule type="expression" dxfId="70" priority="25">
      <formula>$J$10="Manual -10%"</formula>
    </cfRule>
    <cfRule type="expression" dxfId="69" priority="26">
      <formula>$J$10="Manual -5%"</formula>
    </cfRule>
    <cfRule type="expression" dxfId="68" priority="27">
      <formula>$J$10="Manual +10%"</formula>
    </cfRule>
    <cfRule type="expression" dxfId="67" priority="28">
      <formula>$J$10="Manual +2.5%"</formula>
    </cfRule>
    <cfRule type="expression" dxfId="66" priority="29">
      <formula>$J$10="Manual +5%"</formula>
    </cfRule>
  </conditionalFormatting>
  <conditionalFormatting sqref="B78:F78">
    <cfRule type="expression" dxfId="65" priority="42">
      <formula>$J$6="Manual -2.5%"</formula>
    </cfRule>
    <cfRule type="expression" dxfId="64" priority="43">
      <formula>$J$6="Manual -10%"</formula>
    </cfRule>
    <cfRule type="expression" dxfId="63" priority="44">
      <formula>$J$6="Manual -5%"</formula>
    </cfRule>
    <cfRule type="expression" dxfId="62" priority="45">
      <formula>$J$6="Manual +10%"</formula>
    </cfRule>
    <cfRule type="expression" dxfId="61" priority="46">
      <formula>$J$6="Manual +2.5%"</formula>
    </cfRule>
    <cfRule type="expression" dxfId="60" priority="47">
      <formula>$J$6="Manual +5%"</formula>
    </cfRule>
  </conditionalFormatting>
  <conditionalFormatting sqref="B79:F79">
    <cfRule type="expression" dxfId="59" priority="12">
      <formula>$J$12="Manual -2.5%"</formula>
    </cfRule>
    <cfRule type="expression" dxfId="58" priority="13">
      <formula>$J$12="Manual -10%"</formula>
    </cfRule>
    <cfRule type="expression" dxfId="57" priority="14">
      <formula>$J$12="Manual -5%"</formula>
    </cfRule>
    <cfRule type="expression" dxfId="56" priority="15">
      <formula>$J$12="Manual +10%"</formula>
    </cfRule>
    <cfRule type="expression" dxfId="55" priority="16">
      <formula>$J$12="Manual +2.5%"</formula>
    </cfRule>
    <cfRule type="expression" dxfId="54" priority="17">
      <formula>$J$12="Manual +5%"</formula>
    </cfRule>
  </conditionalFormatting>
  <conditionalFormatting sqref="B80:F80">
    <cfRule type="expression" dxfId="53" priority="18">
      <formula>$J$11="Manual -2.5%"</formula>
    </cfRule>
    <cfRule type="expression" dxfId="52" priority="19">
      <formula>$J$11="Manual -10%"</formula>
    </cfRule>
    <cfRule type="expression" dxfId="51" priority="20">
      <formula>$J$11="Manual -5%"</formula>
    </cfRule>
    <cfRule type="expression" dxfId="50" priority="21">
      <formula>$J$11="Manual +10%"</formula>
    </cfRule>
    <cfRule type="expression" dxfId="49" priority="22">
      <formula>$J$11="Manual +2.5%"</formula>
    </cfRule>
    <cfRule type="expression" dxfId="48" priority="23">
      <formula>$J$11="Manual +5%"</formula>
    </cfRule>
  </conditionalFormatting>
  <conditionalFormatting sqref="F30">
    <cfRule type="expression" dxfId="47" priority="132">
      <formula>$F$30&gt;0%</formula>
    </cfRule>
    <cfRule type="expression" dxfId="46" priority="133">
      <formula>$F$30&lt;0%</formula>
    </cfRule>
  </conditionalFormatting>
  <conditionalFormatting sqref="F62">
    <cfRule type="expression" dxfId="45" priority="10">
      <formula>$F$30&gt;0%</formula>
    </cfRule>
    <cfRule type="expression" dxfId="44" priority="11">
      <formula>$F$30&lt;0%</formula>
    </cfRule>
  </conditionalFormatting>
  <conditionalFormatting sqref="F94">
    <cfRule type="expression" dxfId="43" priority="8">
      <formula>$F$30&gt;0%</formula>
    </cfRule>
    <cfRule type="expression" dxfId="42" priority="9">
      <formula>$F$30&lt;0%</formula>
    </cfRule>
  </conditionalFormatting>
  <conditionalFormatting sqref="H2:J2 B3:G3 D139:E142">
    <cfRule type="expression" dxfId="41" priority="223">
      <formula>$J$2="Manual -2.5%"</formula>
    </cfRule>
  </conditionalFormatting>
  <conditionalFormatting sqref="I2:J2 B3:F3 D139:E142">
    <cfRule type="expression" dxfId="40" priority="183">
      <formula>$J$2="Manual -10%"</formula>
    </cfRule>
    <cfRule type="expression" dxfId="39" priority="184">
      <formula>$J$2="Manual -5%"</formula>
    </cfRule>
    <cfRule type="expression" dxfId="38" priority="185">
      <formula>$J$2="Manual +10%"</formula>
    </cfRule>
    <cfRule type="expression" dxfId="37" priority="186">
      <formula>$J$2="Manual +2.5%"</formula>
    </cfRule>
    <cfRule type="expression" dxfId="36" priority="187">
      <formula>$J$2="Manual +5%"</formula>
    </cfRule>
  </conditionalFormatting>
  <conditionalFormatting sqref="I5:J5 B6:F6">
    <cfRule type="expression" dxfId="35" priority="170">
      <formula>$J$5="Manual -2.5%"</formula>
    </cfRule>
    <cfRule type="expression" dxfId="34" priority="171">
      <formula>$J$5="Manual -10%"</formula>
    </cfRule>
    <cfRule type="expression" dxfId="33" priority="172">
      <formula>$J$5="Manual -5%"</formula>
    </cfRule>
    <cfRule type="expression" dxfId="32" priority="173">
      <formula>$J$5="Manual +10%"</formula>
    </cfRule>
    <cfRule type="expression" dxfId="31" priority="174">
      <formula>$J$5="Manual +2.5%"</formula>
    </cfRule>
    <cfRule type="expression" dxfId="30" priority="175">
      <formula>$J$5="Manual +5%"</formula>
    </cfRule>
  </conditionalFormatting>
  <conditionalFormatting sqref="I6:J6 B13:F13">
    <cfRule type="expression" dxfId="29" priority="164">
      <formula>$J$6="Manual -2.5%"</formula>
    </cfRule>
    <cfRule type="expression" dxfId="28" priority="165">
      <formula>$J$6="Manual -10%"</formula>
    </cfRule>
    <cfRule type="expression" dxfId="27" priority="166">
      <formula>$J$6="Manual -5%"</formula>
    </cfRule>
    <cfRule type="expression" dxfId="26" priority="167">
      <formula>$J$6="Manual +10%"</formula>
    </cfRule>
    <cfRule type="expression" dxfId="25" priority="168">
      <formula>$J$6="Manual +2.5%"</formula>
    </cfRule>
    <cfRule type="expression" dxfId="24" priority="169">
      <formula>$J$6="Manual +5%"</formula>
    </cfRule>
  </conditionalFormatting>
  <conditionalFormatting sqref="I8:J8 B9:F9">
    <cfRule type="expression" dxfId="23" priority="158">
      <formula>$J$8="Manual -2.5%"</formula>
    </cfRule>
    <cfRule type="expression" dxfId="22" priority="159">
      <formula>$J$8="Manual -10%"</formula>
    </cfRule>
    <cfRule type="expression" dxfId="21" priority="160">
      <formula>$J$8="Manual -5%"</formula>
    </cfRule>
    <cfRule type="expression" dxfId="20" priority="161">
      <formula>$J$8="Manual +10%"</formula>
    </cfRule>
    <cfRule type="expression" dxfId="19" priority="162">
      <formula>$J$8="Manual +2.5%"</formula>
    </cfRule>
    <cfRule type="expression" dxfId="18" priority="163">
      <formula>$J$8="Manual +5%"</formula>
    </cfRule>
  </conditionalFormatting>
  <conditionalFormatting sqref="I11:J11 B15:F15">
    <cfRule type="expression" dxfId="17" priority="140">
      <formula>$J$11="Manual -2.5%"</formula>
    </cfRule>
    <cfRule type="expression" dxfId="16" priority="141">
      <formula>$J$11="Manual -10%"</formula>
    </cfRule>
    <cfRule type="expression" dxfId="15" priority="142">
      <formula>$J$11="Manual -5%"</formula>
    </cfRule>
    <cfRule type="expression" dxfId="14" priority="143">
      <formula>$J$11="Manual +10%"</formula>
    </cfRule>
    <cfRule type="expression" dxfId="13" priority="144">
      <formula>$J$11="Manual +2.5%"</formula>
    </cfRule>
    <cfRule type="expression" dxfId="12" priority="145">
      <formula>$J$11="Manual +5%"</formula>
    </cfRule>
  </conditionalFormatting>
  <conditionalFormatting sqref="I12:J12 B14:F14">
    <cfRule type="expression" dxfId="11" priority="134">
      <formula>$J$12="Manual -2.5%"</formula>
    </cfRule>
    <cfRule type="expression" dxfId="10" priority="135">
      <formula>$J$12="Manual -10%"</formula>
    </cfRule>
    <cfRule type="expression" dxfId="9" priority="136">
      <formula>$J$12="Manual -5%"</formula>
    </cfRule>
    <cfRule type="expression" dxfId="8" priority="137">
      <formula>$J$12="Manual +10%"</formula>
    </cfRule>
    <cfRule type="expression" dxfId="7" priority="138">
      <formula>$J$12="Manual +2.5%"</formula>
    </cfRule>
    <cfRule type="expression" dxfId="6" priority="139">
      <formula>$J$12="Manual +5%"</formula>
    </cfRule>
  </conditionalFormatting>
  <conditionalFormatting sqref="I16:J16">
    <cfRule type="expression" dxfId="5" priority="120">
      <formula>$J$11="Manual -2.5%"</formula>
    </cfRule>
    <cfRule type="expression" dxfId="4" priority="121">
      <formula>$J$11="Manual -10%"</formula>
    </cfRule>
    <cfRule type="expression" dxfId="3" priority="122">
      <formula>$J$11="Manual -5%"</formula>
    </cfRule>
    <cfRule type="expression" dxfId="2" priority="123">
      <formula>$J$11="Manual +10%"</formula>
    </cfRule>
    <cfRule type="expression" dxfId="1" priority="124">
      <formula>$J$11="Manual +2.5%"</formula>
    </cfRule>
    <cfRule type="expression" dxfId="0" priority="125">
      <formula>$J$11="Manual +5%"</formula>
    </cfRule>
  </conditionalFormatting>
  <dataValidations count="6">
    <dataValidation type="list" allowBlank="1" showInputMessage="1" showErrorMessage="1" sqref="J2 J4:J6 J8:J12" xr:uid="{00000000-0002-0000-0200-000000000000}">
      <formula1>"Manual, Manual +2.5%, Manual +5%, Manual +10%, Manual -2.5%, Manual -5%, Manual -10%, Average"</formula1>
    </dataValidation>
    <dataValidation type="list" allowBlank="1" showInputMessage="1" showErrorMessage="1" sqref="J13:J14" xr:uid="{00000000-0002-0000-0200-000001000000}">
      <formula1>"Manual, Manual +2.5%, Manual +5%, Manual +10%, Manual -2.5%, Manual -5%, Manual -10%, Calculated"</formula1>
    </dataValidation>
    <dataValidation type="list" allowBlank="1" errorTitle="Invalid Input" error="Please select On or Off" sqref="F34 F41 F46 F53 F58 F1" xr:uid="{00000000-0002-0000-0200-000002000000}">
      <formula1>"On,Off"</formula1>
    </dataValidation>
    <dataValidation type="list" allowBlank="1" sqref="F108 F114 F100 F121 F126" xr:uid="{00000000-0002-0000-0200-000003000000}">
      <formula1>"On,Off"</formula1>
    </dataValidation>
    <dataValidation type="list" allowBlank="1" sqref="F139:F142" xr:uid="{4769A41C-5AE1-4934-8FA5-0851051F3EC2}">
      <formula1>"Conservative,Moderate,Aggressive,Custom"</formula1>
    </dataValidation>
    <dataValidation type="list" allowBlank="1" showInputMessage="1" showErrorMessage="1" sqref="J16" xr:uid="{64634CAB-D4D4-46F3-8993-3EAEC52B37A2}">
      <formula1>"Manual, Manual +2.5%, Manual +5%, Manual +10%, Manual -2.5%, Manual -5%, Manual -10%, Average, Forecasted"</formula1>
    </dataValidation>
  </dataValidations>
  <pageMargins left="0.7" right="0.7" top="0.75" bottom="0.75" header="0.3" footer="0.3"/>
  <pageSetup orientation="portrait" verticalDpi="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9"/>
  <sheetViews>
    <sheetView tabSelected="1" zoomScaleNormal="100" workbookViewId="0">
      <selection activeCell="J23" sqref="J23"/>
    </sheetView>
  </sheetViews>
  <sheetFormatPr defaultRowHeight="14.45"/>
  <cols>
    <col min="1" max="1" width="41.7109375" customWidth="1"/>
    <col min="2" max="2" width="19" customWidth="1"/>
    <col min="3" max="3" width="23.28515625" customWidth="1"/>
    <col min="4" max="4" width="20.7109375" customWidth="1"/>
    <col min="5" max="5" width="19.7109375" customWidth="1"/>
    <col min="6" max="6" width="22.28515625" customWidth="1"/>
    <col min="7" max="7" width="12" bestFit="1" customWidth="1"/>
    <col min="8" max="8" width="12.5703125" bestFit="1" customWidth="1"/>
    <col min="9" max="9" width="13.7109375" bestFit="1" customWidth="1"/>
    <col min="11" max="11" width="13" bestFit="1" customWidth="1"/>
  </cols>
  <sheetData>
    <row r="1" spans="1:7" ht="28.9" customHeight="1" thickBot="1">
      <c r="A1" s="162" t="s">
        <v>360</v>
      </c>
      <c r="B1" s="163" t="s">
        <v>67</v>
      </c>
      <c r="C1" s="163">
        <f>D1+1</f>
        <v>2026</v>
      </c>
      <c r="D1" s="163">
        <f>E1+1</f>
        <v>2025</v>
      </c>
      <c r="E1" s="163">
        <f>F1+1</f>
        <v>2024</v>
      </c>
      <c r="F1" s="164">
        <f>YEAR('Raw Data Pasting'!A7)</f>
        <v>2023</v>
      </c>
      <c r="G1" s="144">
        <v>0</v>
      </c>
    </row>
    <row r="2" spans="1:7" ht="15" thickBot="1">
      <c r="A2" s="161" t="s">
        <v>361</v>
      </c>
      <c r="B2" s="166"/>
      <c r="C2" s="166"/>
      <c r="D2" s="166"/>
      <c r="E2" s="166"/>
      <c r="F2" s="167"/>
      <c r="G2" s="144">
        <v>0</v>
      </c>
    </row>
    <row r="3" spans="1:7">
      <c r="A3" s="165" t="s">
        <v>135</v>
      </c>
      <c r="B3" s="8">
        <f t="array" ref="B3">IFERROR(INDEX('Raw Data Pasting'!$A:$A, MATCH("Total Revenue", 'Raw Data Pasting'!$A:$A, 0) + MATCH(B$1, $B$1:$F$1, 0)),0)</f>
        <v>713163000</v>
      </c>
      <c r="C3" s="145">
        <f t="array" ref="C3">IFERROR(INDEX('Raw Data Pasting'!$A:$A, MATCH("Total Revenue", 'Raw Data Pasting'!$A:$A, 0) + MATCH(C$1, $B$1:$F$1, 0)),0)</f>
        <v>713163000</v>
      </c>
      <c r="D3" s="145">
        <f t="array" ref="D3">IFERROR(INDEX('Raw Data Pasting'!$A:$A, MATCH("Total Revenue", 'Raw Data Pasting'!$A:$A, 0) + MATCH(D$1, $B$1:$F$1, 0)),0)</f>
        <v>680985000</v>
      </c>
      <c r="E3" s="145">
        <f t="array" ref="E3">IFERROR(INDEX('Raw Data Pasting'!$A:$A, MATCH("Total Revenue", 'Raw Data Pasting'!$A:$A, 0) + MATCH(E$1, $B$1:$F$1, 0)),0)</f>
        <v>648125000</v>
      </c>
      <c r="F3" s="147">
        <f t="array" ref="F3">IFERROR(INDEX('Raw Data Pasting'!$A:$A, MATCH("Total Revenue", 'Raw Data Pasting'!$A:$A, 0) + MATCH(F$1, $B$1:$F$1, 0)),0)</f>
        <v>611289000</v>
      </c>
      <c r="G3" s="144">
        <v>0</v>
      </c>
    </row>
    <row r="4" spans="1:7" ht="15" customHeight="1" thickBot="1">
      <c r="A4" s="26" t="s">
        <v>138</v>
      </c>
      <c r="B4" s="7">
        <f t="array" ref="B4">IFERROR(INDEX('Raw Data Pasting'!$A:$A, MATCH("Cost Of Revenue", 'Raw Data Pasting'!$A:$A, 0) + MATCH(B$1, $B$1:$F$1, 0)),0)</f>
        <v>535395000</v>
      </c>
      <c r="C4" s="5">
        <f t="array" ref="C4">IFERROR(INDEX('Raw Data Pasting'!$A:$A, MATCH("Cost Of Revenue", 'Raw Data Pasting'!$A:$A, 0) + MATCH(C$1, $B$1:$F$1, 0)),0)</f>
        <v>535395000</v>
      </c>
      <c r="D4" s="5">
        <f t="array" ref="D4">IFERROR(INDEX('Raw Data Pasting'!$A:$A, MATCH("Cost Of Revenue", 'Raw Data Pasting'!$A:$A, 0) + MATCH(D$1, $B$1:$F$1, 0)),0)</f>
        <v>511753000</v>
      </c>
      <c r="E4" s="5">
        <f t="array" ref="E4">IFERROR(INDEX('Raw Data Pasting'!$A:$A, MATCH("Cost Of Revenue", 'Raw Data Pasting'!$A:$A, 0) + MATCH(E$1, $B$1:$F$1, 0)),0)</f>
        <v>490142000</v>
      </c>
      <c r="F4" s="146">
        <f t="array" ref="F4">IFERROR(INDEX('Raw Data Pasting'!$A:$A, MATCH("Cost Of Revenue", 'Raw Data Pasting'!$A:$A, 0) + MATCH(F$1, $B$1:$F$1, 0)),0)</f>
        <v>463721000</v>
      </c>
      <c r="G4" s="144">
        <v>0</v>
      </c>
    </row>
    <row r="5" spans="1:7" ht="15" customHeight="1" thickTop="1">
      <c r="A5" s="27" t="s">
        <v>140</v>
      </c>
      <c r="B5" s="8">
        <f t="array" ref="B5">IFERROR(INDEX('Raw Data Pasting'!$A:$A, MATCH("Gross Profit", 'Raw Data Pasting'!$A:$A, 0) + MATCH(B$1, $B$1:$F$1, 0)),0)</f>
        <v>177768000</v>
      </c>
      <c r="C5" s="145">
        <f t="array" ref="C5">IFERROR(INDEX('Raw Data Pasting'!$A:$A, MATCH("Gross Profit", 'Raw Data Pasting'!$A:$A, 0) + MATCH(C$1, $B$1:$F$1, 0)),0)</f>
        <v>177768000</v>
      </c>
      <c r="D5" s="145">
        <f t="array" ref="D5">IFERROR(INDEX('Raw Data Pasting'!$A:$A, MATCH("Gross Profit", 'Raw Data Pasting'!$A:$A, 0) + MATCH(D$1, $B$1:$F$1, 0)),0)</f>
        <v>169232000</v>
      </c>
      <c r="E5" s="145">
        <f t="array" ref="E5">IFERROR(INDEX('Raw Data Pasting'!$A:$A, MATCH("Gross Profit", 'Raw Data Pasting'!$A:$A, 0) + MATCH(E$1, $B$1:$F$1, 0)),0)</f>
        <v>157983000</v>
      </c>
      <c r="F5" s="147">
        <f t="array" ref="F5">IFERROR(INDEX('Raw Data Pasting'!$A:$A, MATCH("Gross Profit", 'Raw Data Pasting'!$A:$A, 0) + MATCH(F$1, $B$1:$F$1, 0)),0)</f>
        <v>147568000</v>
      </c>
      <c r="G5" s="144">
        <v>0</v>
      </c>
    </row>
    <row r="6" spans="1:7">
      <c r="A6" s="26" t="s">
        <v>362</v>
      </c>
      <c r="B6" s="174">
        <f t="array" ref="B6">IFERROR(
    IF(INDEX('Raw Data Pasting'!$A:$A, MATCH("Operating Expense", 'Raw Data Pasting'!$A:$A, 0) + MATCH(B$1, $B$1:$F$1, 0))="--", 0, INDEX('Raw Data Pasting'!$A:$A, MATCH("Operating Expense", 'Raw Data Pasting'!$A:$A, 0) + MATCH(B$1, $B$1:$F$1, 0))),
    IFERROR(
        IF(INDEX('Raw Data Pasting'!$A:$A, MATCH("Non Interest Expense", 'Raw Data Pasting'!$A:$A, 0) + MATCH(B$1, $B$1:$F$1, 0))="--", 0, INDEX('Raw Data Pasting'!$A:$A, MATCH("Non Interest Expense", 'Raw Data Pasting'!$A:$A, 0) + MATCH(B$1, $B$1:$F$1, 0))),
        "N/A"
    )
)</f>
        <v>147943000</v>
      </c>
      <c r="C6" s="174">
        <f t="array" ref="C6">IFERROR(
    IF(INDEX('Raw Data Pasting'!$A:$A, MATCH("Operating Expense", 'Raw Data Pasting'!$A:$A, 0) + MATCH(C$1, $B$1:$F$1, 0))="--", 0, INDEX('Raw Data Pasting'!$A:$A, MATCH("Operating Expense", 'Raw Data Pasting'!$A:$A, 0) + MATCH(C$1, $B$1:$F$1, 0))),
    IFERROR(
        IF(INDEX('Raw Data Pasting'!$A:$A, MATCH("Non Interest Expense", 'Raw Data Pasting'!$A:$A, 0) + MATCH(C$1, $B$1:$F$1, 0))="--", 0, INDEX('Raw Data Pasting'!$A:$A, MATCH("Non Interest Expense", 'Raw Data Pasting'!$A:$A, 0) + MATCH(C$1, $B$1:$F$1, 0))),
        "N/A"
    )
)</f>
        <v>147943000</v>
      </c>
      <c r="D6" s="174">
        <f t="array" ref="D6">IFERROR(
    IF(INDEX('Raw Data Pasting'!$A:$A, MATCH("Operating Expense", 'Raw Data Pasting'!$A:$A, 0) + MATCH(D$1, $B$1:$F$1, 0))="--", 0, INDEX('Raw Data Pasting'!$A:$A, MATCH("Operating Expense", 'Raw Data Pasting'!$A:$A, 0) + MATCH(D$1, $B$1:$F$1, 0))),
    IFERROR(
        IF(INDEX('Raw Data Pasting'!$A:$A, MATCH("Non Interest Expense", 'Raw Data Pasting'!$A:$A, 0) + MATCH(D$1, $B$1:$F$1, 0))="--", 0, INDEX('Raw Data Pasting'!$A:$A, MATCH("Non Interest Expense", 'Raw Data Pasting'!$A:$A, 0) + MATCH(D$1, $B$1:$F$1, 0))),
        "N/A"
    )
)</f>
        <v>139884000</v>
      </c>
      <c r="E6" s="174">
        <f t="array" ref="E6">IFERROR(
    IF(INDEX('Raw Data Pasting'!$A:$A, MATCH("Operating Expense", 'Raw Data Pasting'!$A:$A, 0) + MATCH(E$1, $B$1:$F$1, 0))="--", 0, INDEX('Raw Data Pasting'!$A:$A, MATCH("Operating Expense", 'Raw Data Pasting'!$A:$A, 0) + MATCH(E$1, $B$1:$F$1, 0))),
    IFERROR(
        IF(INDEX('Raw Data Pasting'!$A:$A, MATCH("Non Interest Expense", 'Raw Data Pasting'!$A:$A, 0) + MATCH(E$1, $B$1:$F$1, 0))="--", 0, INDEX('Raw Data Pasting'!$A:$A, MATCH("Non Interest Expense", 'Raw Data Pasting'!$A:$A, 0) + MATCH(E$1, $B$1:$F$1, 0))),
        "N/A"
    )
)</f>
        <v>130971000</v>
      </c>
      <c r="F6" s="344">
        <f t="array" ref="F6">IFERROR(
    IF(INDEX('Raw Data Pasting'!$A:$A, MATCH("Operating Expense", 'Raw Data Pasting'!$A:$A, 0) + MATCH(F$1, $B$1:$F$1, 0))="--", 0, INDEX('Raw Data Pasting'!$A:$A, MATCH("Operating Expense", 'Raw Data Pasting'!$A:$A, 0) + MATCH(F$1, $B$1:$F$1, 0))),
    IFERROR(
        IF(INDEX('Raw Data Pasting'!$A:$A, MATCH("Non Interest Expense", 'Raw Data Pasting'!$A:$A, 0) + MATCH(F$1, $B$1:$F$1, 0))="--", 0, INDEX('Raw Data Pasting'!$A:$A, MATCH("Non Interest Expense", 'Raw Data Pasting'!$A:$A, 0) + MATCH(F$1, $B$1:$F$1, 0))),
        "N/A"
    )
)</f>
        <v>127140000</v>
      </c>
      <c r="G6" s="144">
        <v>0</v>
      </c>
    </row>
    <row r="7" spans="1:7">
      <c r="A7" s="27" t="s">
        <v>363</v>
      </c>
      <c r="B7" s="8">
        <f t="array" ref="B7">IFERROR(INDEX('Raw Data Pasting'!$A:$A, MATCH("Operating Income", 'Raw Data Pasting'!$A:$A, 0) + MATCH(B$1, $B$1:$F$1, 0)),0)</f>
        <v>29825000</v>
      </c>
      <c r="C7" s="145">
        <f t="array" ref="C7">IFERROR(INDEX('Raw Data Pasting'!$A:$A, MATCH("Operating Income", 'Raw Data Pasting'!$A:$A, 0) + MATCH(C$1, $B$1:$F$1, 0)),0)</f>
        <v>29825000</v>
      </c>
      <c r="D7" s="145">
        <f t="array" ref="D7">IFERROR(INDEX('Raw Data Pasting'!$A:$A, MATCH("Operating Income", 'Raw Data Pasting'!$A:$A, 0) + MATCH(D$1, $B$1:$F$1, 0)),0)</f>
        <v>29348000</v>
      </c>
      <c r="E7" s="145">
        <f t="array" ref="E7">IFERROR(INDEX('Raw Data Pasting'!$A:$A, MATCH("Operating Income", 'Raw Data Pasting'!$A:$A, 0) + MATCH(E$1, $B$1:$F$1, 0)),0)</f>
        <v>27012000</v>
      </c>
      <c r="F7" s="147">
        <f t="array" ref="F7">IFERROR(INDEX('Raw Data Pasting'!$A:$A, MATCH("Operating Income", 'Raw Data Pasting'!$A:$A, 0) + MATCH(F$1, $B$1:$F$1, 0)),0)</f>
        <v>20428000</v>
      </c>
      <c r="G7" s="144">
        <v>0</v>
      </c>
    </row>
    <row r="8" spans="1:7">
      <c r="A8" s="148" t="s">
        <v>364</v>
      </c>
      <c r="B8" s="8">
        <f t="array" ref="B8">IFERROR(INDEX('Raw Data Pasting'!$A:$A, MATCH("Interest Income", 'Raw Data Pasting'!$A:$A, 0) + MATCH(B$1, $B$1:$F$1, 0)),0)</f>
        <v>368000</v>
      </c>
      <c r="C8" s="145">
        <f t="array" ref="C8">IFERROR(INDEX('Raw Data Pasting'!$A:$A, MATCH("Interest Income", 'Raw Data Pasting'!$A:$A, 0) + MATCH(C$1, $B$1:$F$1, 0)),0)</f>
        <v>368000</v>
      </c>
      <c r="D8" s="145">
        <f t="array" ref="D8">IFERROR(INDEX('Raw Data Pasting'!$A:$A, MATCH("Interest Income", 'Raw Data Pasting'!$A:$A, 0) + MATCH(D$1, $B$1:$F$1, 0)),0)</f>
        <v>483000</v>
      </c>
      <c r="E8" s="145">
        <f t="array" ref="E8">IFERROR(INDEX('Raw Data Pasting'!$A:$A, MATCH("Interest Income", 'Raw Data Pasting'!$A:$A, 0) + MATCH(E$1, $B$1:$F$1, 0)),0)</f>
        <v>546000</v>
      </c>
      <c r="F8" s="147">
        <f t="array" ref="F8">IFERROR(INDEX('Raw Data Pasting'!$A:$A, MATCH("Interest Income", 'Raw Data Pasting'!$A:$A, 0) + MATCH(F$1, $B$1:$F$1, 0)),0)</f>
        <v>254000</v>
      </c>
      <c r="G8" s="144">
        <v>0</v>
      </c>
    </row>
    <row r="9" spans="1:7">
      <c r="A9" s="26" t="s">
        <v>365</v>
      </c>
      <c r="B9" s="8">
        <f t="array" ref="B9">IFERROR(INDEX('Raw Data Pasting'!$A:$A, MATCH("Interest Expense", 'Raw Data Pasting'!$A:$A, 0) + MATCH(B$1, $B$1:$F$1, 0)),0)</f>
        <v>2799000</v>
      </c>
      <c r="C9" s="145">
        <f t="array" ref="C9">IFERROR(INDEX('Raw Data Pasting'!$A:$A, MATCH("Interest Expense", 'Raw Data Pasting'!$A:$A, 0) + MATCH(C$1, $B$1:$F$1, 0)),0)</f>
        <v>2799000</v>
      </c>
      <c r="D9" s="145">
        <f t="array" ref="D9">IFERROR(INDEX('Raw Data Pasting'!$A:$A, MATCH("Interest Expense", 'Raw Data Pasting'!$A:$A, 0) + MATCH(D$1, $B$1:$F$1, 0)),0)</f>
        <v>2728000</v>
      </c>
      <c r="E9" s="145">
        <f t="array" ref="E9">IFERROR(INDEX('Raw Data Pasting'!$A:$A, MATCH("Interest Expense", 'Raw Data Pasting'!$A:$A, 0) + MATCH(E$1, $B$1:$F$1, 0)),0)</f>
        <v>2683000</v>
      </c>
      <c r="F9" s="147">
        <f t="array" ref="F9">IFERROR(INDEX('Raw Data Pasting'!$A:$A, MATCH("Interest Expense", 'Raw Data Pasting'!$A:$A, 0) + MATCH(F$1, $B$1:$F$1, 0)),0)</f>
        <v>2128000</v>
      </c>
      <c r="G9" s="144">
        <v>0</v>
      </c>
    </row>
    <row r="10" spans="1:7">
      <c r="A10" s="148" t="s">
        <v>366</v>
      </c>
      <c r="B10" s="117">
        <f t="array" ref="B10">IFERROR(IF(INDEX('Raw Data Pasting'!$A:$A,MATCH("Other Income Expense",'Raw Data Pasting'!$A:$A,0)+MATCH(B$1,$B$1:$F$1,0))="--",0,(INDEX('Raw Data Pasting'!$A:$A,MATCH("Other Income Expense",'Raw Data Pasting'!$A:$A,0)+MATCH(B$1,$B$1:$F$1,0)))), "N/A")</f>
        <v>2075000</v>
      </c>
      <c r="C10" s="117">
        <f t="array" ref="C10">IFERROR(IF(INDEX('Raw Data Pasting'!$A:$A,MATCH("Other Income Expense",'Raw Data Pasting'!$A:$A,0)+MATCH(C$1,$B$1:$F$1,0))="--",0,(INDEX('Raw Data Pasting'!$A:$A,MATCH("Other Income Expense",'Raw Data Pasting'!$A:$A,0)+MATCH(C$1,$B$1:$F$1,0)))), "N/A")</f>
        <v>2075000</v>
      </c>
      <c r="D10" s="117">
        <f t="array" ref="D10">IFERROR(IF(INDEX('Raw Data Pasting'!$A:$A,MATCH("Other Income Expense",'Raw Data Pasting'!$A:$A,0)+MATCH(D$1,$B$1:$F$1,0))="--",0,(INDEX('Raw Data Pasting'!$A:$A,MATCH("Other Income Expense",'Raw Data Pasting'!$A:$A,0)+MATCH(D$1,$B$1:$F$1,0)))), "N/A")</f>
        <v>-794000</v>
      </c>
      <c r="E10" s="117">
        <f t="array" ref="E10">IFERROR(IF(INDEX('Raw Data Pasting'!$A:$A,MATCH("Other Income Expense",'Raw Data Pasting'!$A:$A,0)+MATCH(E$1,$B$1:$F$1,0))="--",0,(INDEX('Raw Data Pasting'!$A:$A,MATCH("Other Income Expense",'Raw Data Pasting'!$A:$A,0)+MATCH(E$1,$B$1:$F$1,0)))), "N/A")</f>
        <v>-3027000</v>
      </c>
      <c r="F10" s="42">
        <f t="array" ref="F10">IFERROR(IF(INDEX('Raw Data Pasting'!$A:$A,MATCH("Other Income Expense",'Raw Data Pasting'!$A:$A,0)+MATCH(F$1,$B$1:$F$1,0))="--",0,(INDEX('Raw Data Pasting'!$A:$A,MATCH("Other Income Expense",'Raw Data Pasting'!$A:$A,0)+MATCH(F$1,$B$1:$F$1,0)))), "N/A")</f>
        <v>-1538000</v>
      </c>
      <c r="G10" s="144">
        <v>0</v>
      </c>
    </row>
    <row r="11" spans="1:7">
      <c r="A11" s="27" t="s">
        <v>367</v>
      </c>
      <c r="B11" s="8">
        <f t="array" ref="B11">IFERROR(INDEX('Raw Data Pasting'!$A:$A, MATCH("Pretax Income", 'Raw Data Pasting'!$A:$A, 0) + MATCH(B$1, $B$1:$F$1, 0)),0)</f>
        <v>29469000</v>
      </c>
      <c r="C11" s="145">
        <f t="array" ref="C11">IFERROR(INDEX('Raw Data Pasting'!$A:$A, MATCH("Pretax Income", 'Raw Data Pasting'!$A:$A, 0) + MATCH(C$1, $B$1:$F$1, 0)),0)</f>
        <v>29469000</v>
      </c>
      <c r="D11" s="145">
        <f t="array" ref="D11">IFERROR(INDEX('Raw Data Pasting'!$A:$A, MATCH("Pretax Income", 'Raw Data Pasting'!$A:$A, 0) + MATCH(D$1, $B$1:$F$1, 0)),0)</f>
        <v>26309000</v>
      </c>
      <c r="E11" s="145">
        <f t="array" ref="E11">IFERROR(INDEX('Raw Data Pasting'!$A:$A, MATCH("Pretax Income", 'Raw Data Pasting'!$A:$A, 0) + MATCH(E$1, $B$1:$F$1, 0)),0)</f>
        <v>21848000</v>
      </c>
      <c r="F11" s="147">
        <f t="array" ref="F11">IFERROR(INDEX('Raw Data Pasting'!$A:$A, MATCH("Pretax Income", 'Raw Data Pasting'!$A:$A, 0) + MATCH(F$1, $B$1:$F$1, 0)),0)</f>
        <v>17016000</v>
      </c>
      <c r="G11" s="144">
        <v>0</v>
      </c>
    </row>
    <row r="12" spans="1:7" ht="15" customHeight="1" thickBot="1">
      <c r="A12" s="26" t="s">
        <v>154</v>
      </c>
      <c r="B12" s="7">
        <f t="array" ref="B12">IFERROR(INDEX('Raw Data Pasting'!$A:$A, MATCH("Tax Provision", 'Raw Data Pasting'!$A:$A, 0) + MATCH(B$1, $B$1:$F$1, 0)),0)</f>
        <v>7199000</v>
      </c>
      <c r="C12" s="5">
        <f t="array" ref="C12">IFERROR(INDEX('Raw Data Pasting'!$A:$A, MATCH("Tax Provision", 'Raw Data Pasting'!$A:$A, 0) + MATCH(C$1, $B$1:$F$1, 0)),0)</f>
        <v>7199000</v>
      </c>
      <c r="D12" s="5">
        <f t="array" ref="D12">IFERROR(INDEX('Raw Data Pasting'!$A:$A, MATCH("Tax Provision", 'Raw Data Pasting'!$A:$A, 0) + MATCH(D$1, $B$1:$F$1, 0)),0)</f>
        <v>6152000</v>
      </c>
      <c r="E12" s="5">
        <f t="array" ref="E12">IFERROR(INDEX('Raw Data Pasting'!$A:$A, MATCH("Tax Provision", 'Raw Data Pasting'!$A:$A, 0) + MATCH(E$1, $B$1:$F$1, 0)),0)</f>
        <v>5578000</v>
      </c>
      <c r="F12" s="146">
        <f t="array" ref="F12">IFERROR(INDEX('Raw Data Pasting'!$A:$A, MATCH("Tax Provision", 'Raw Data Pasting'!$A:$A, 0) + MATCH(F$1, $B$1:$F$1, 0)),0)</f>
        <v>5724000</v>
      </c>
      <c r="G12" s="144">
        <v>0</v>
      </c>
    </row>
    <row r="13" spans="1:7" ht="15" customHeight="1" thickTop="1">
      <c r="A13" s="149" t="s">
        <v>157</v>
      </c>
      <c r="B13" s="9">
        <f t="array" ref="B13">IFERROR(INDEX('Raw Data Pasting'!$A:$A, MATCH("Net Income Common Stockholders", 'Raw Data Pasting'!$A:$A, 0) + MATCH(B$1, $B$1:$F$1, 0)),0)</f>
        <v>21893000</v>
      </c>
      <c r="C13" s="6">
        <f t="array" ref="C13">IFERROR(INDEX('Raw Data Pasting'!$A:$A, MATCH("Net Income Common Stockholders", 'Raw Data Pasting'!$A:$A, 0) + MATCH(C$1, $B$1:$F$1, 0)),0)</f>
        <v>21893000</v>
      </c>
      <c r="D13" s="6">
        <f t="array" ref="D13">IFERROR(INDEX('Raw Data Pasting'!$A:$A, MATCH("Net Income Common Stockholders", 'Raw Data Pasting'!$A:$A, 0) + MATCH(D$1, $B$1:$F$1, 0)),0)</f>
        <v>19436000</v>
      </c>
      <c r="E13" s="6">
        <f t="array" ref="E13">IFERROR(INDEX('Raw Data Pasting'!$A:$A, MATCH("Net Income Common Stockholders", 'Raw Data Pasting'!$A:$A, 0) + MATCH(E$1, $B$1:$F$1, 0)),0)</f>
        <v>15511000</v>
      </c>
      <c r="F13" s="150">
        <f t="array" ref="F13">IFERROR(INDEX('Raw Data Pasting'!$A:$A, MATCH("Net Income Common Stockholders", 'Raw Data Pasting'!$A:$A, 0) + MATCH(F$1, $B$1:$F$1, 0)),0)</f>
        <v>11680000</v>
      </c>
      <c r="G13" s="144">
        <v>0</v>
      </c>
    </row>
    <row r="14" spans="1:7">
      <c r="A14" s="27" t="s">
        <v>368</v>
      </c>
      <c r="B14" s="8">
        <f t="array" ref="B14">IFERROR(INDEX('Raw Data Pasting'!$A:$A, MATCH("EBIT", 'Raw Data Pasting'!$A:$A, 0) + MATCH(B$1, $B$1:$F$1, 0)),0)</f>
        <v>32268000</v>
      </c>
      <c r="C14" s="145">
        <f t="array" ref="C14">IFERROR(INDEX('Raw Data Pasting'!$A:$A, MATCH("EBIT", 'Raw Data Pasting'!$A:$A, 0) + MATCH(C$1, $B$1:$F$1, 0)),0)</f>
        <v>32268000</v>
      </c>
      <c r="D14" s="145">
        <f t="array" ref="D14">IFERROR(INDEX('Raw Data Pasting'!$A:$A, MATCH("EBIT", 'Raw Data Pasting'!$A:$A, 0) + MATCH(D$1, $B$1:$F$1, 0)),0)</f>
        <v>29037000</v>
      </c>
      <c r="E14" s="145">
        <f t="array" ref="E14">IFERROR(INDEX('Raw Data Pasting'!$A:$A, MATCH("EBIT", 'Raw Data Pasting'!$A:$A, 0) + MATCH(E$1, $B$1:$F$1, 0)),0)</f>
        <v>24531000</v>
      </c>
      <c r="F14" s="147">
        <f t="array" ref="F14">IFERROR(INDEX('Raw Data Pasting'!$A:$A, MATCH("EBIT", 'Raw Data Pasting'!$A:$A, 0) + MATCH(F$1, $B$1:$F$1, 0)),0)</f>
        <v>19144000</v>
      </c>
      <c r="G14" s="144">
        <v>0</v>
      </c>
    </row>
    <row r="15" spans="1:7">
      <c r="A15" s="27" t="s">
        <v>369</v>
      </c>
      <c r="B15" s="8">
        <f t="array" ref="B15">IFERROR(INDEX('Raw Data Pasting'!$A:$A, MATCH("Normalized EBITDA", 'Raw Data Pasting'!$A:$A, 0) + MATCH(B$1, $B$1:$F$1, 0)),0)</f>
        <v>46471000</v>
      </c>
      <c r="C15" s="145">
        <f t="array" ref="C15">IFERROR(INDEX('Raw Data Pasting'!$A:$A, MATCH("Normalized EBITDA", 'Raw Data Pasting'!$A:$A, 0) + MATCH(C$1, $B$1:$F$1, 0)),0)</f>
        <v>46471000</v>
      </c>
      <c r="D15" s="145">
        <f t="array" ref="D15">IFERROR(INDEX('Raw Data Pasting'!$A:$A, MATCH("Normalized EBITDA", 'Raw Data Pasting'!$A:$A, 0) + MATCH(D$1, $B$1:$F$1, 0)),0)</f>
        <v>42010000</v>
      </c>
      <c r="E15" s="145">
        <f t="array" ref="E15">IFERROR(INDEX('Raw Data Pasting'!$A:$A, MATCH("Normalized EBITDA", 'Raw Data Pasting'!$A:$A, 0) + MATCH(E$1, $B$1:$F$1, 0)),0)</f>
        <v>36384000</v>
      </c>
      <c r="F15" s="147">
        <f t="array" ref="F15">IFERROR(INDEX('Raw Data Pasting'!$A:$A, MATCH("Normalized EBITDA", 'Raw Data Pasting'!$A:$A, 0) + MATCH(F$1, $B$1:$F$1, 0)),0)</f>
        <v>30089000</v>
      </c>
      <c r="G15" s="144">
        <v>0</v>
      </c>
    </row>
    <row r="16" spans="1:7">
      <c r="A16" s="27" t="s">
        <v>285</v>
      </c>
      <c r="B16" s="10">
        <f t="array" ref="B16">IFERROR(INDEX('Raw Data Pasting'!$A:$A, MATCH("Diluted EPS", 'Raw Data Pasting'!$A:$A, 0) + MATCH(B$1, $B$1:$F$1, 0)),0)</f>
        <v>2.73</v>
      </c>
      <c r="C16" s="114">
        <f t="array" ref="C16">IFERROR(INDEX('Raw Data Pasting'!$A:$A, MATCH("Diluted EPS", 'Raw Data Pasting'!$A:$A, 0) + MATCH(C$1, $B$1:$F$1, 0)),0)</f>
        <v>2.73</v>
      </c>
      <c r="D16" s="114">
        <f t="array" ref="D16">IFERROR(INDEX('Raw Data Pasting'!$A:$A, MATCH("Diluted EPS", 'Raw Data Pasting'!$A:$A, 0) + MATCH(D$1, $B$1:$F$1, 0)),0)</f>
        <v>2.41</v>
      </c>
      <c r="E16" s="114">
        <f t="array" ref="E16">IFERROR(INDEX('Raw Data Pasting'!$A:$A, MATCH("Diluted EPS", 'Raw Data Pasting'!$A:$A, 0) + MATCH(E$1, $B$1:$F$1, 0)),0)</f>
        <v>1.91</v>
      </c>
      <c r="F16" s="151">
        <f t="array" ref="F16">IFERROR(INDEX('Raw Data Pasting'!$A:$A, MATCH("Diluted EPS", 'Raw Data Pasting'!$A:$A, 0) + MATCH(F$1, $B$1:$F$1, 0)),0)</f>
        <v>1.42</v>
      </c>
      <c r="G16" s="144">
        <v>0</v>
      </c>
    </row>
    <row r="17" spans="1:7" ht="15" thickBot="1">
      <c r="A17" s="152" t="s">
        <v>370</v>
      </c>
      <c r="B17" s="153">
        <f t="array" ref="B17">IFERROR(INDEX('Raw Data Pasting'!$A:$A, MATCH("Diluted Average Shares", 'Raw Data Pasting'!$A:$A, 0) + MATCH(B$1, $B$1:$F$1, 0)),0)</f>
        <v>8022000</v>
      </c>
      <c r="C17" s="154">
        <f t="array" ref="C17">IFERROR(INDEX('Raw Data Pasting'!$A:$A, MATCH("Diluted Average Shares", 'Raw Data Pasting'!$A:$A, 0) + MATCH(C$1, $B$1:$F$1, 0)),0)</f>
        <v>8022000</v>
      </c>
      <c r="D17" s="154">
        <f t="array" ref="D17">IFERROR(INDEX('Raw Data Pasting'!$A:$A, MATCH("Diluted Average Shares", 'Raw Data Pasting'!$A:$A, 0) + MATCH(D$1, $B$1:$F$1, 0)),0)</f>
        <v>8081000</v>
      </c>
      <c r="E17" s="154">
        <f t="array" ref="E17">IFERROR(INDEX('Raw Data Pasting'!$A:$A, MATCH("Diluted Average Shares", 'Raw Data Pasting'!$A:$A, 0) + MATCH(E$1, $B$1:$F$1, 0)),0)</f>
        <v>8108000</v>
      </c>
      <c r="F17" s="155">
        <f t="array" ref="F17">IFERROR(INDEX('Raw Data Pasting'!$A:$A, MATCH("Diluted Average Shares", 'Raw Data Pasting'!$A:$A, 0) + MATCH(F$1, $B$1:$F$1, 0)),0)</f>
        <v>8202000</v>
      </c>
      <c r="G17" s="144">
        <v>0</v>
      </c>
    </row>
    <row r="18" spans="1:7" ht="15" thickBot="1">
      <c r="A18" s="646" t="s">
        <v>371</v>
      </c>
      <c r="B18" s="647"/>
      <c r="C18" s="647"/>
      <c r="D18" s="647"/>
      <c r="E18" s="647"/>
      <c r="F18" s="648"/>
      <c r="G18" s="144"/>
    </row>
    <row r="19" spans="1:7">
      <c r="A19" s="27" t="s">
        <v>75</v>
      </c>
      <c r="B19" s="117" t="str">
        <f t="array" ref="B19">IFERROR(INDEX('Raw Data Pasting'!$B:$B, MATCH("Total Assets", 'Raw Data Pasting'!$B:$B, 0) + MATCH(B$1, $C$1:$F$1, 0)),"N/A")</f>
        <v>N/A</v>
      </c>
      <c r="C19" s="145">
        <f t="array" ref="C19">IFERROR(INDEX('Raw Data Pasting'!$B:$B, MATCH("Total Assets", 'Raw Data Pasting'!$B:$B, 0) + MATCH(C$1, $C$1:$F$1, 0)),"N/A")</f>
        <v>284668000</v>
      </c>
      <c r="D19" s="145">
        <f t="array" ref="D19">IFERROR(INDEX('Raw Data Pasting'!$B:$B, MATCH("Total Assets", 'Raw Data Pasting'!$B:$B, 0) + MATCH(D$1, $C$1:$F$1, 0)),"N/A")</f>
        <v>260823000</v>
      </c>
      <c r="E19" s="145">
        <f t="array" ref="E19">IFERROR(INDEX('Raw Data Pasting'!$B:$B, MATCH("Total Assets", 'Raw Data Pasting'!$B:$B, 0) + MATCH(E$1, $C$1:$F$1, 0)),"N/A")</f>
        <v>252399000</v>
      </c>
      <c r="F19" s="147">
        <f t="array" ref="F19">IFERROR(INDEX('Raw Data Pasting'!$B:$B, MATCH("Total Assets", 'Raw Data Pasting'!$B:$B, 0) + MATCH(F$1, $C$1:$F$1, 0)),"N/A")</f>
        <v>243197000</v>
      </c>
      <c r="G19" s="144">
        <v>0</v>
      </c>
    </row>
    <row r="20" spans="1:7">
      <c r="A20" s="27" t="s">
        <v>372</v>
      </c>
      <c r="B20" s="117" t="str">
        <f t="array" ref="B20">IFERROR(INDEX('Raw Data Pasting'!$B:$B, MATCH("Current Assets", 'Raw Data Pasting'!$B:$B, 0) + MATCH(B$1, $C$1:$F$1, 0)),"N/A")</f>
        <v>N/A</v>
      </c>
      <c r="C20" s="145">
        <f t="array" ref="C20">IFERROR(INDEX('Raw Data Pasting'!$B:$B, MATCH("Current Assets", 'Raw Data Pasting'!$B:$B, 0) + MATCH(C$1, $C$1:$F$1, 0)),"N/A")</f>
        <v>84874000</v>
      </c>
      <c r="D20" s="145">
        <f t="array" ref="D20">IFERROR(INDEX('Raw Data Pasting'!$B:$B, MATCH("Current Assets", 'Raw Data Pasting'!$B:$B, 0) + MATCH(D$1, $C$1:$F$1, 0)),"N/A")</f>
        <v>79458000</v>
      </c>
      <c r="E20" s="145">
        <f t="array" ref="E20">IFERROR(INDEX('Raw Data Pasting'!$B:$B, MATCH("Current Assets", 'Raw Data Pasting'!$B:$B, 0) + MATCH(E$1, $C$1:$F$1, 0)),"N/A")</f>
        <v>76877000</v>
      </c>
      <c r="F20" s="147">
        <f t="array" ref="F20">IFERROR(INDEX('Raw Data Pasting'!$B:$B, MATCH("Current Assets", 'Raw Data Pasting'!$B:$B, 0) + MATCH(F$1, $C$1:$F$1, 0)),"N/A")</f>
        <v>75655000</v>
      </c>
      <c r="G20" s="144">
        <v>0</v>
      </c>
    </row>
    <row r="21" spans="1:7">
      <c r="A21" s="156" t="s">
        <v>373</v>
      </c>
      <c r="B21" s="117" t="str">
        <f t="array" ref="B21">IFERROR(INDEX('Raw Data Pasting'!$B:$B, MATCH("Cash, Cash Equivalents &amp; Short Term Investments", 'Raw Data Pasting'!$B:$B, 0) + MATCH(B$1, $C$1:$F$1, 0)),"N/A")</f>
        <v>N/A</v>
      </c>
      <c r="C21" s="117">
        <f t="array" ref="C21">IFERROR(INDEX('Raw Data Pasting'!$B:$B, MATCH("Cash, Cash Equivalents &amp; Short Term Investments", 'Raw Data Pasting'!$B:$B, 0) + MATCH(C$1, $C$1:$F$1, 0)),"N/A")</f>
        <v>10727000</v>
      </c>
      <c r="D21" s="117">
        <f t="array" ref="D21">IFERROR(INDEX('Raw Data Pasting'!$B:$B, MATCH("Cash, Cash Equivalents &amp; Short Term Investments", 'Raw Data Pasting'!$B:$B, 0) + MATCH(D$1, $C$1:$F$1, 0)),"N/A")</f>
        <v>9037000</v>
      </c>
      <c r="E21" s="117">
        <f t="array" ref="E21">IFERROR(INDEX('Raw Data Pasting'!$B:$B, MATCH("Cash, Cash Equivalents &amp; Short Term Investments", 'Raw Data Pasting'!$B:$B, 0) + MATCH(E$1, $C$1:$F$1, 0)),"N/A")</f>
        <v>9867000</v>
      </c>
      <c r="F21" s="42">
        <f t="array" ref="F21">IFERROR(INDEX('Raw Data Pasting'!$B:$B, MATCH("Cash, Cash Equivalents &amp; Short Term Investments", 'Raw Data Pasting'!$B:$B, 0) + MATCH(F$1, $C$1:$F$1, 0)),"N/A")</f>
        <v>8625000</v>
      </c>
      <c r="G21" s="144"/>
    </row>
    <row r="22" spans="1:7">
      <c r="A22" s="156" t="s">
        <v>374</v>
      </c>
      <c r="B22" s="117" t="str">
        <f t="array" ref="B22">IFERROR(
IF(INDEX('Raw Data Pasting'!$B:$B,MATCH("Cash",'Raw Data Pasting'!$B:$B,0)+MATCH(B$1,$C$1:$F$1,0))="--",0,INDEX('Raw Data Pasting'!$B:$B,MATCH("Cash",'Raw Data Pasting'!$B:$B,0)+MATCH(B$1,$C$1:$F$1,0))),
IFERROR(
IF(INDEX('Raw Data Pasting'!$B:$B,MATCH("Cash And Cash Equivalents",'Raw Data Pasting'!$B:$B,0)+MATCH(B$1,$C$1:$F$1,0))="--",0,INDEX('Raw Data Pasting'!$B:$B,MATCH("Cash And Cash Equivalents",'Raw Data Pasting'!$B:$B,0)+MATCH(B$1,$C$1:$F$1,0))),
"N/A"
))</f>
        <v>N/A</v>
      </c>
      <c r="C22" s="117">
        <f t="array" ref="C22">IFERROR(
IF(INDEX('Raw Data Pasting'!$B:$B,MATCH("Cash",'Raw Data Pasting'!$B:$B,0)+MATCH(C$1,$C$1:$F$1,0))="--",0,INDEX('Raw Data Pasting'!$B:$B,MATCH("Cash",'Raw Data Pasting'!$B:$B,0)+MATCH(C$1,$C$1:$F$1,0))),
IFERROR(
IF(INDEX('Raw Data Pasting'!$B:$B,MATCH("Cash And Cash Equivalents",'Raw Data Pasting'!$B:$B,0)+MATCH(C$1,$C$1:$F$1,0))="--",0,INDEX('Raw Data Pasting'!$B:$B,MATCH("Cash And Cash Equivalents",'Raw Data Pasting'!$B:$B,0)+MATCH(C$1,$C$1:$F$1,0))),
"N/A"
))</f>
        <v>10727000</v>
      </c>
      <c r="D22" s="117">
        <f t="array" ref="D22">IFERROR(
IF(INDEX('Raw Data Pasting'!$B:$B,MATCH("Cash",'Raw Data Pasting'!$B:$B,0)+MATCH(D$1,$C$1:$F$1,0))="--",0,INDEX('Raw Data Pasting'!$B:$B,MATCH("Cash",'Raw Data Pasting'!$B:$B,0)+MATCH(D$1,$C$1:$F$1,0))),
IFERROR(
IF(INDEX('Raw Data Pasting'!$B:$B,MATCH("Cash And Cash Equivalents",'Raw Data Pasting'!$B:$B,0)+MATCH(D$1,$C$1:$F$1,0))="--",0,INDEX('Raw Data Pasting'!$B:$B,MATCH("Cash And Cash Equivalents",'Raw Data Pasting'!$B:$B,0)+MATCH(D$1,$C$1:$F$1,0))),
"N/A"
))</f>
        <v>9037000</v>
      </c>
      <c r="E22" s="117">
        <f t="array" ref="E22">IFERROR(
IF(INDEX('Raw Data Pasting'!$B:$B,MATCH("Cash",'Raw Data Pasting'!$B:$B,0)+MATCH(E$1,$C$1:$F$1,0))="--",0,INDEX('Raw Data Pasting'!$B:$B,MATCH("Cash",'Raw Data Pasting'!$B:$B,0)+MATCH(E$1,$C$1:$F$1,0))),
IFERROR(
IF(INDEX('Raw Data Pasting'!$B:$B,MATCH("Cash And Cash Equivalents",'Raw Data Pasting'!$B:$B,0)+MATCH(E$1,$C$1:$F$1,0))="--",0,INDEX('Raw Data Pasting'!$B:$B,MATCH("Cash And Cash Equivalents",'Raw Data Pasting'!$B:$B,0)+MATCH(E$1,$C$1:$F$1,0))),
"N/A"
))</f>
        <v>9867000</v>
      </c>
      <c r="F22" s="42">
        <f t="array" ref="F22">IFERROR(
IF(INDEX('Raw Data Pasting'!$B:$B,MATCH("Cash",'Raw Data Pasting'!$B:$B,0)+MATCH(F$1,$C$1:$F$1,0))="--",0,INDEX('Raw Data Pasting'!$B:$B,MATCH("Cash",'Raw Data Pasting'!$B:$B,0)+MATCH(F$1,$C$1:$F$1,0))),
IFERROR(
IF(INDEX('Raw Data Pasting'!$B:$B,MATCH("Cash And Cash Equivalents",'Raw Data Pasting'!$B:$B,0)+MATCH(F$1,$C$1:$F$1,0))="--",0,INDEX('Raw Data Pasting'!$B:$B,MATCH("Cash And Cash Equivalents",'Raw Data Pasting'!$B:$B,0)+MATCH(F$1,$C$1:$F$1,0))),
"N/A"
))</f>
        <v>8625000</v>
      </c>
      <c r="G22" s="144">
        <v>0</v>
      </c>
    </row>
    <row r="23" spans="1:7">
      <c r="A23" s="156" t="s">
        <v>375</v>
      </c>
      <c r="B23" s="117" t="str">
        <f t="array" ref="B23">IFERROR(INDEX('Raw Data Pasting'!$B:$B, MATCH("Accounts receivable", 'Raw Data Pasting'!$B:$B, 0) + MATCH(B$1, $C$1:$F$1, 0)),"N/A")</f>
        <v>N/A</v>
      </c>
      <c r="C23" s="117">
        <f t="array" ref="C23">IFERROR(INDEX('Raw Data Pasting'!$B:$B, MATCH("Accounts receivable", 'Raw Data Pasting'!$B:$B, 0) + MATCH(C$1, $C$1:$F$1, 0)),"N/A")</f>
        <v>11172000</v>
      </c>
      <c r="D23" s="117">
        <f t="array" ref="D23">IFERROR(INDEX('Raw Data Pasting'!$B:$B, MATCH("Accounts receivable", 'Raw Data Pasting'!$B:$B, 0) + MATCH(D$1, $C$1:$F$1, 0)),"N/A")</f>
        <v>9975000</v>
      </c>
      <c r="E23" s="117">
        <f t="array" ref="E23">IFERROR(INDEX('Raw Data Pasting'!$B:$B, MATCH("Accounts receivable", 'Raw Data Pasting'!$B:$B, 0) + MATCH(E$1, $C$1:$F$1, 0)),"N/A")</f>
        <v>8796000</v>
      </c>
      <c r="F23" s="42">
        <f t="array" ref="F23">IFERROR(INDEX('Raw Data Pasting'!$B:$B, MATCH("Accounts receivable", 'Raw Data Pasting'!$B:$B, 0) + MATCH(F$1, $C$1:$F$1, 0)),"N/A")</f>
        <v>7933000</v>
      </c>
      <c r="G23" s="144">
        <v>0</v>
      </c>
    </row>
    <row r="24" spans="1:7">
      <c r="A24" s="156" t="s">
        <v>376</v>
      </c>
      <c r="B24" s="117">
        <f t="array" ref="B24">IFERROR(IF(INDEX('Raw Data Pasting'!$B:$B,MATCH("Other Short Term Investments",'Raw Data Pasting'!$B:$B,0)+MATCH(B$1,$C$1:$F$1,0))="--",0,(INDEX('Raw Data Pasting'!$B:$B,MATCH("Other Short Term Investments",'Raw Data Pasting'!$B:$B,0)+MATCH(B$1,$C$1:$F$1,0)))), 0)</f>
        <v>0</v>
      </c>
      <c r="C24" s="117">
        <f t="array" ref="C24">IFERROR(IF(INDEX('Raw Data Pasting'!$B:$B,MATCH("Other Short Term Investments",'Raw Data Pasting'!$B:$B,0)+MATCH(C$1,$C$1:$F$1,0))="--",0,(INDEX('Raw Data Pasting'!$B:$B,MATCH("Other Short Term Investments",'Raw Data Pasting'!$B:$B,0)+MATCH(C$1,$C$1:$F$1,0)))), 0)</f>
        <v>0</v>
      </c>
      <c r="D24" s="117">
        <f t="array" ref="D24">IFERROR(IF(INDEX('Raw Data Pasting'!$B:$B,MATCH("Other Short Term Investments",'Raw Data Pasting'!$B:$B,0)+MATCH(D$1,$C$1:$F$1,0))="--",0,(INDEX('Raw Data Pasting'!$B:$B,MATCH("Other Short Term Investments",'Raw Data Pasting'!$B:$B,0)+MATCH(D$1,$C$1:$F$1,0)))), 0)</f>
        <v>0</v>
      </c>
      <c r="E24" s="117">
        <f t="array" ref="E24">IFERROR(IF(INDEX('Raw Data Pasting'!$B:$B,MATCH("Other Short Term Investments",'Raw Data Pasting'!$B:$B,0)+MATCH(E$1,$C$1:$F$1,0))="--",0,(INDEX('Raw Data Pasting'!$B:$B,MATCH("Other Short Term Investments",'Raw Data Pasting'!$B:$B,0)+MATCH(E$1,$C$1:$F$1,0)))), 0)</f>
        <v>0</v>
      </c>
      <c r="F24" s="42">
        <f t="array" ref="F24">IFERROR(IF(INDEX('Raw Data Pasting'!$B:$B,MATCH("Other Short Term Investments",'Raw Data Pasting'!$B:$B,0)+MATCH(F$1,$C$1:$F$1,0))="--",0,(INDEX('Raw Data Pasting'!$B:$B,MATCH("Other Short Term Investments",'Raw Data Pasting'!$B:$B,0)+MATCH(F$1,$C$1:$F$1,0)))), 0)</f>
        <v>0</v>
      </c>
      <c r="G24" s="144">
        <v>0</v>
      </c>
    </row>
    <row r="25" spans="1:7">
      <c r="A25" s="32" t="s">
        <v>377</v>
      </c>
      <c r="B25" s="117" t="str">
        <f t="array" ref="B25">IFERROR(INDEX('Raw Data Pasting'!$B:$B, MATCH("Inventory", 'Raw Data Pasting'!$B:$B, 0) + MATCH(B$1, $C$1:$F$1, 0)),"N/A")</f>
        <v>N/A</v>
      </c>
      <c r="C25" s="117">
        <f t="array" ref="C25">IFERROR(INDEX('Raw Data Pasting'!$B:$B, MATCH("Inventory", 'Raw Data Pasting'!$B:$B, 0) + MATCH(C$1, $C$1:$F$1, 0)),"N/A")</f>
        <v>58851000</v>
      </c>
      <c r="D25" s="117">
        <f t="array" ref="D25">IFERROR(INDEX('Raw Data Pasting'!$B:$B, MATCH("Inventory", 'Raw Data Pasting'!$B:$B, 0) + MATCH(D$1, $C$1:$F$1, 0)),"N/A")</f>
        <v>56435000</v>
      </c>
      <c r="E25" s="117">
        <f t="array" ref="E25">IFERROR(INDEX('Raw Data Pasting'!$B:$B, MATCH("Inventory", 'Raw Data Pasting'!$B:$B, 0) + MATCH(E$1, $C$1:$F$1, 0)),"N/A")</f>
        <v>54892000</v>
      </c>
      <c r="F25" s="42">
        <f t="array" ref="F25">IFERROR(INDEX('Raw Data Pasting'!$B:$B, MATCH("Inventory", 'Raw Data Pasting'!$B:$B, 0) + MATCH(F$1, $C$1:$F$1, 0)),"N/A")</f>
        <v>56576000</v>
      </c>
      <c r="G25" s="144">
        <v>0</v>
      </c>
    </row>
    <row r="26" spans="1:7">
      <c r="A26" s="32" t="s">
        <v>378</v>
      </c>
      <c r="B26" s="117" t="str">
        <f t="array" ref="B26">IFERROR(INDEX('Raw Data Pasting'!$B:$B, MATCH("Total Liabilities Net Minority Interest", 'Raw Data Pasting'!$B:$B, 0) + MATCH(B$1, $C$1:$F$1, 0)),"N/A")</f>
        <v>N/A</v>
      </c>
      <c r="C26" s="145">
        <f t="array" ref="C26">IFERROR(INDEX('Raw Data Pasting'!$B:$B, MATCH("Total Liabilities Net Minority Interest", 'Raw Data Pasting'!$B:$B, 0) + MATCH(C$1, $C$1:$F$1, 0)),"N/A")</f>
        <v>178488000</v>
      </c>
      <c r="D26" s="145">
        <f t="array" ref="D26">IFERROR(INDEX('Raw Data Pasting'!$B:$B, MATCH("Total Liabilities Net Minority Interest", 'Raw Data Pasting'!$B:$B, 0) + MATCH(D$1, $C$1:$F$1, 0)),"N/A")</f>
        <v>163131000</v>
      </c>
      <c r="E26" s="145">
        <f t="array" ref="E26">IFERROR(INDEX('Raw Data Pasting'!$B:$B, MATCH("Total Liabilities Net Minority Interest", 'Raw Data Pasting'!$B:$B, 0) + MATCH(E$1, $C$1:$F$1, 0)),"N/A")</f>
        <v>161828000</v>
      </c>
      <c r="F26" s="147">
        <f t="array" ref="F26">IFERROR(INDEX('Raw Data Pasting'!$B:$B, MATCH("Total Liabilities Net Minority Interest", 'Raw Data Pasting'!$B:$B, 0) + MATCH(F$1, $C$1:$F$1, 0)),"N/A")</f>
        <v>159206000</v>
      </c>
      <c r="G26" s="144">
        <v>0</v>
      </c>
    </row>
    <row r="27" spans="1:7">
      <c r="A27" s="32" t="s">
        <v>379</v>
      </c>
      <c r="B27" s="117" t="str">
        <f t="array" ref="B27">IFERROR(INDEX('Raw Data Pasting'!$B:$B, MATCH("Current Liabilities", 'Raw Data Pasting'!$B:$B, 0) + MATCH(B$1, $C$1:$F$1, 0)),"N/A")</f>
        <v>N/A</v>
      </c>
      <c r="C27" s="145">
        <f t="array" ref="C27">IFERROR(INDEX('Raw Data Pasting'!$B:$B, MATCH("Current Liabilities", 'Raw Data Pasting'!$B:$B, 0) + MATCH(C$1, $C$1:$F$1, 0)),"N/A")</f>
        <v>107469000</v>
      </c>
      <c r="D27" s="145">
        <f t="array" ref="D27">IFERROR(INDEX('Raw Data Pasting'!$B:$B, MATCH("Current Liabilities", 'Raw Data Pasting'!$B:$B, 0) + MATCH(D$1, $C$1:$F$1, 0)),"N/A")</f>
        <v>96584000</v>
      </c>
      <c r="E27" s="145">
        <f t="array" ref="E27">IFERROR(INDEX('Raw Data Pasting'!$B:$B, MATCH("Current Liabilities", 'Raw Data Pasting'!$B:$B, 0) + MATCH(E$1, $C$1:$F$1, 0)),"N/A")</f>
        <v>92415000</v>
      </c>
      <c r="F27" s="147">
        <f t="array" ref="F27">IFERROR(INDEX('Raw Data Pasting'!$B:$B, MATCH("Current Liabilities", 'Raw Data Pasting'!$B:$B, 0) + MATCH(F$1, $C$1:$F$1, 0)),"N/A")</f>
        <v>92198000</v>
      </c>
      <c r="G27" s="144">
        <v>0</v>
      </c>
    </row>
    <row r="28" spans="1:7">
      <c r="A28" s="32" t="s">
        <v>380</v>
      </c>
      <c r="B28" s="117" t="str">
        <f t="array" ref="B28">IFERROR(IF(INDEX('Raw Data Pasting'!$B:$B,MATCH("Current Debt",'Raw Data Pasting'!$B:$B,0)+MATCH(B$1,$C$1:$F$1,0))="--",0,(INDEX('Raw Data Pasting'!$B:$B,MATCH("Current Debt",'Raw Data Pasting'!$B:$B,0)+MATCH(B$1,$C$1:$F$1,0)))), "N/A")</f>
        <v>N/A</v>
      </c>
      <c r="C28" s="117">
        <f t="array" ref="C28">IFERROR(IF(INDEX('Raw Data Pasting'!$B:$B,MATCH("Current Debt",'Raw Data Pasting'!$B:$B,0)+MATCH(C$1,$C$1:$F$1,0))="--",0,(INDEX('Raw Data Pasting'!$B:$B,MATCH("Current Debt",'Raw Data Pasting'!$B:$B,0)+MATCH(C$1,$C$1:$F$1,0)))), "N/A")</f>
        <v>10138000</v>
      </c>
      <c r="D28" s="117">
        <f t="array" ref="D28">IFERROR(IF(INDEX('Raw Data Pasting'!$B:$B,MATCH("Current Debt",'Raw Data Pasting'!$B:$B,0)+MATCH(D$1,$C$1:$F$1,0))="--",0,(INDEX('Raw Data Pasting'!$B:$B,MATCH("Current Debt",'Raw Data Pasting'!$B:$B,0)+MATCH(D$1,$C$1:$F$1,0)))), "N/A")</f>
        <v>5666000</v>
      </c>
      <c r="E28" s="117">
        <f t="array" ref="E28">IFERROR(IF(INDEX('Raw Data Pasting'!$B:$B,MATCH("Current Debt",'Raw Data Pasting'!$B:$B,0)+MATCH(E$1,$C$1:$F$1,0))="--",0,(INDEX('Raw Data Pasting'!$B:$B,MATCH("Current Debt",'Raw Data Pasting'!$B:$B,0)+MATCH(E$1,$C$1:$F$1,0)))), "N/A")</f>
        <v>4325000</v>
      </c>
      <c r="F28" s="42">
        <f t="array" ref="F28">IFERROR(IF(INDEX('Raw Data Pasting'!$B:$B,MATCH("Current Debt",'Raw Data Pasting'!$B:$B,0)+MATCH(F$1,$C$1:$F$1,0))="--",0,(INDEX('Raw Data Pasting'!$B:$B,MATCH("Current Debt",'Raw Data Pasting'!$B:$B,0)+MATCH(F$1,$C$1:$F$1,0)))), "N/A")</f>
        <v>4563000</v>
      </c>
      <c r="G28" s="144">
        <v>0</v>
      </c>
    </row>
    <row r="29" spans="1:7">
      <c r="A29" s="32" t="s">
        <v>381</v>
      </c>
      <c r="B29" s="117" t="str">
        <f t="array" ref="B29">IFERROR(INDEX('Raw Data Pasting'!$B:$B, MATCH("Total Equity Gross Minority Interest", 'Raw Data Pasting'!$B:$B, 0) + MATCH(B$1, $C$1:$F$1, 0)),"N/A")</f>
        <v>N/A</v>
      </c>
      <c r="C29" s="145">
        <f t="array" ref="C29">IFERROR(INDEX('Raw Data Pasting'!$B:$B, MATCH("Total Equity Gross Minority Interest", 'Raw Data Pasting'!$B:$B, 0) + MATCH(C$1, $C$1:$F$1, 0)),"N/A")</f>
        <v>106180000</v>
      </c>
      <c r="D29" s="145">
        <f t="array" ref="D29">IFERROR(INDEX('Raw Data Pasting'!$B:$B, MATCH("Total Equity Gross Minority Interest", 'Raw Data Pasting'!$B:$B, 0) + MATCH(D$1, $C$1:$F$1, 0)),"N/A")</f>
        <v>97692000</v>
      </c>
      <c r="E29" s="145">
        <f t="array" ref="E29">IFERROR(INDEX('Raw Data Pasting'!$B:$B, MATCH("Total Equity Gross Minority Interest", 'Raw Data Pasting'!$B:$B, 0) + MATCH(E$1, $C$1:$F$1, 0)),"N/A")</f>
        <v>90571000</v>
      </c>
      <c r="F29" s="147">
        <f t="array" ref="F29">IFERROR(INDEX('Raw Data Pasting'!$B:$B, MATCH("Total Equity Gross Minority Interest", 'Raw Data Pasting'!$B:$B, 0) + MATCH(F$1, $C$1:$F$1, 0)),"N/A")</f>
        <v>83991000</v>
      </c>
      <c r="G29" s="144">
        <v>0</v>
      </c>
    </row>
    <row r="30" spans="1:7">
      <c r="A30" s="32" t="s">
        <v>382</v>
      </c>
      <c r="B30" s="117" t="str">
        <f t="array" ref="B30">IFERROR(INDEX('Raw Data Pasting'!$B:$B, MATCH("Common Stock Equity", 'Raw Data Pasting'!$B:$B, 0) + MATCH(B$1, $C$1:$F$1, 0)),"N/A")</f>
        <v>N/A</v>
      </c>
      <c r="C30" s="145">
        <f t="array" ref="C30">IFERROR(INDEX('Raw Data Pasting'!$B:$B, MATCH("Common Stock Equity", 'Raw Data Pasting'!$B:$B, 0) + MATCH(C$1, $C$1:$F$1, 0)),"N/A")</f>
        <v>99617000</v>
      </c>
      <c r="D30" s="145">
        <f t="array" ref="D30">IFERROR(INDEX('Raw Data Pasting'!$B:$B, MATCH("Common Stock Equity", 'Raw Data Pasting'!$B:$B, 0) + MATCH(D$1, $C$1:$F$1, 0)),"N/A")</f>
        <v>91013000</v>
      </c>
      <c r="E30" s="145">
        <f t="array" ref="E30">IFERROR(INDEX('Raw Data Pasting'!$B:$B, MATCH("Common Stock Equity", 'Raw Data Pasting'!$B:$B, 0) + MATCH(E$1, $C$1:$F$1, 0)),"N/A")</f>
        <v>83861000</v>
      </c>
      <c r="F30" s="147">
        <f t="array" ref="F30">IFERROR(INDEX('Raw Data Pasting'!$B:$B, MATCH("Common Stock Equity", 'Raw Data Pasting'!$B:$B, 0) + MATCH(F$1, $C$1:$F$1, 0)),"N/A")</f>
        <v>76693000</v>
      </c>
      <c r="G30" s="144">
        <v>0</v>
      </c>
    </row>
    <row r="31" spans="1:7">
      <c r="A31" s="32" t="s">
        <v>76</v>
      </c>
      <c r="B31" s="117" t="str">
        <f t="array" ref="B31">IFERROR(INDEX('Raw Data Pasting'!$B:$B, MATCH("Total Debt", 'Raw Data Pasting'!$B:$B, 0) + MATCH(B$1, $C$1:$F$1, 0)),"N/A")</f>
        <v>N/A</v>
      </c>
      <c r="C31" s="145">
        <f t="array" ref="C31">IFERROR(INDEX('Raw Data Pasting'!$B:$B, MATCH("Total Debt", 'Raw Data Pasting'!$B:$B, 0) + MATCH(C$1, $C$1:$F$1, 0)),"N/A")</f>
        <v>67095000</v>
      </c>
      <c r="D31" s="145">
        <f t="array" ref="D31">IFERROR(INDEX('Raw Data Pasting'!$B:$B, MATCH("Total Debt", 'Raw Data Pasting'!$B:$B, 0) + MATCH(D$1, $C$1:$F$1, 0)),"N/A")</f>
        <v>60114000</v>
      </c>
      <c r="E31" s="145">
        <f t="array" ref="E31">IFERROR(INDEX('Raw Data Pasting'!$B:$B, MATCH("Total Debt", 'Raw Data Pasting'!$B:$B, 0) + MATCH(E$1, $C$1:$F$1, 0)),"N/A")</f>
        <v>61321000</v>
      </c>
      <c r="F31" s="147">
        <f t="array" ref="F31">IFERROR(INDEX('Raw Data Pasting'!$B:$B, MATCH("Total Debt", 'Raw Data Pasting'!$B:$B, 0) + MATCH(F$1, $C$1:$F$1, 0)),"N/A")</f>
        <v>58923000</v>
      </c>
      <c r="G31" s="144">
        <v>0</v>
      </c>
    </row>
    <row r="32" spans="1:7">
      <c r="A32" s="32" t="s">
        <v>383</v>
      </c>
      <c r="B32" s="117" t="str">
        <f t="array" ref="B32">IFERROR(INDEX('Raw Data Pasting'!$B:$B, MATCH("Net Debt", 'Raw Data Pasting'!$B:$B, 0) + MATCH(B$1, $C$1:$F$1, 0)),"N/A")</f>
        <v>N/A</v>
      </c>
      <c r="C32" s="145">
        <f t="array" ref="C32">IFERROR(INDEX('Raw Data Pasting'!$B:$B, MATCH("Net Debt", 'Raw Data Pasting'!$B:$B, 0) + MATCH(C$1, $C$1:$F$1, 0)),"N/A")</f>
        <v>34035000</v>
      </c>
      <c r="D32" s="145">
        <f t="array" ref="D32">IFERROR(INDEX('Raw Data Pasting'!$B:$B, MATCH("Net Debt", 'Raw Data Pasting'!$B:$B, 0) + MATCH(D$1, $C$1:$F$1, 0)),"N/A")</f>
        <v>30030000</v>
      </c>
      <c r="E32" s="145">
        <f t="array" ref="E32">IFERROR(INDEX('Raw Data Pasting'!$B:$B, MATCH("Net Debt", 'Raw Data Pasting'!$B:$B, 0) + MATCH(E$1, $C$1:$F$1, 0)),"N/A")</f>
        <v>30590000</v>
      </c>
      <c r="F32" s="147">
        <f t="array" ref="F32">IFERROR(INDEX('Raw Data Pasting'!$B:$B, MATCH("Net Debt", 'Raw Data Pasting'!$B:$B, 0) + MATCH(F$1, $C$1:$F$1, 0)),"N/A")</f>
        <v>30587000</v>
      </c>
      <c r="G32" s="144">
        <v>0</v>
      </c>
    </row>
    <row r="33" spans="1:7">
      <c r="A33" s="32" t="s">
        <v>384</v>
      </c>
      <c r="B33" s="157" t="str">
        <f t="array" ref="B33">IFERROR(INDEX('Raw Data Pasting'!$B:$B, MATCH("Share Issued", 'Raw Data Pasting'!$B:$B, 0) + MATCH(B$1, $C$1:$F$1, 0)),"N/A")</f>
        <v>N/A</v>
      </c>
      <c r="C33" s="172">
        <f t="array" ref="C33">IFERROR(INDEX('Raw Data Pasting'!$B:$B, MATCH("Share Issued", 'Raw Data Pasting'!$B:$B, 0) + MATCH(C$1, $C$1:$F$1, 0)),"N/A")</f>
        <v>7969000</v>
      </c>
      <c r="D33" s="172">
        <f t="array" ref="D33">IFERROR(INDEX('Raw Data Pasting'!$B:$B, MATCH("Share Issued", 'Raw Data Pasting'!$B:$B, 0) + MATCH(D$1, $C$1:$F$1, 0)),"N/A")</f>
        <v>8024000</v>
      </c>
      <c r="E33" s="172">
        <f t="array" ref="E33">IFERROR(INDEX('Raw Data Pasting'!$B:$B, MATCH("Share Issued", 'Raw Data Pasting'!$B:$B, 0) + MATCH(E$1, $C$1:$F$1, 0)),"N/A")</f>
        <v>8054000</v>
      </c>
      <c r="F33" s="173">
        <f t="array" ref="F33">IFERROR(INDEX('Raw Data Pasting'!$B:$B, MATCH("Share Issued", 'Raw Data Pasting'!$B:$B, 0) + MATCH(F$1, $C$1:$F$1, 0)),"N/A")</f>
        <v>8100000</v>
      </c>
      <c r="G33" s="144">
        <v>0</v>
      </c>
    </row>
    <row r="34" spans="1:7" ht="15" thickBot="1">
      <c r="A34" s="28" t="s">
        <v>385</v>
      </c>
      <c r="B34" s="46" t="str">
        <f t="array" ref="B34">IFERROR(INDEX('Raw Data Pasting'!$B:$B, MATCH("Goodwill And Other Intangible Assets", 'Raw Data Pasting'!$B:$B, 0) + MATCH(B$1, $C$1:$F$1, 0)),"N/A")</f>
        <v>N/A</v>
      </c>
      <c r="C34" s="158">
        <f t="array" ref="C34">IFERROR(INDEX('Raw Data Pasting'!$B:$B, MATCH("Goodwill And Other Intangible Assets", 'Raw Data Pasting'!$B:$B, 0) + MATCH(C$1, $C$1:$F$1, 0)),"N/A")</f>
        <v>28735000</v>
      </c>
      <c r="D34" s="158">
        <f t="array" ref="D34">IFERROR(INDEX('Raw Data Pasting'!$B:$B, MATCH("Goodwill And Other Intangible Assets", 'Raw Data Pasting'!$B:$B, 0) + MATCH(D$1, $C$1:$F$1, 0)),"N/A")</f>
        <v>28792000</v>
      </c>
      <c r="E34" s="158">
        <f t="array" ref="E34">IFERROR(INDEX('Raw Data Pasting'!$B:$B, MATCH("Goodwill And Other Intangible Assets", 'Raw Data Pasting'!$B:$B, 0) + MATCH(E$1, $C$1:$F$1, 0)),"N/A")</f>
        <v>28113000</v>
      </c>
      <c r="F34" s="159">
        <f t="array" ref="F34">IFERROR(INDEX('Raw Data Pasting'!$B:$B, MATCH("Goodwill And Other Intangible Assets", 'Raw Data Pasting'!$B:$B, 0) + MATCH(F$1, $C$1:$F$1, 0)),"N/A")</f>
        <v>28174000</v>
      </c>
      <c r="G34" s="144">
        <v>0</v>
      </c>
    </row>
    <row r="35" spans="1:7" ht="15" thickBot="1">
      <c r="A35" s="646" t="s">
        <v>386</v>
      </c>
      <c r="B35" s="647"/>
      <c r="C35" s="647"/>
      <c r="D35" s="647"/>
      <c r="E35" s="647"/>
      <c r="F35" s="648"/>
      <c r="G35" s="144"/>
    </row>
    <row r="36" spans="1:7">
      <c r="A36" s="27" t="s">
        <v>387</v>
      </c>
      <c r="B36" s="8">
        <f t="array" ref="B36">IFERROR(INDEX('Raw Data Pasting'!$C:$C, MATCH("Depreciation &amp; Amortization", 'Raw Data Pasting'!$C:$C, 0) + MATCH(B$1, $B$1:$F$1, 0)),0)</f>
        <v>14203000</v>
      </c>
      <c r="C36" s="145">
        <f t="array" ref="C36">IFERROR(INDEX('Raw Data Pasting'!$C:$C, MATCH("Depreciation &amp; Amortization", 'Raw Data Pasting'!$C:$C, 0) + MATCH(C$1, $B$1:$F$1, 0)),0)</f>
        <v>14203000</v>
      </c>
      <c r="D36" s="145">
        <f t="array" ref="D36">IFERROR(INDEX('Raw Data Pasting'!$C:$C, MATCH("Depreciation &amp; Amortization", 'Raw Data Pasting'!$C:$C, 0) + MATCH(D$1, $B$1:$F$1, 0)),0)</f>
        <v>12973000</v>
      </c>
      <c r="E36" s="145">
        <f t="array" ref="E36">IFERROR(INDEX('Raw Data Pasting'!$C:$C, MATCH("Depreciation &amp; Amortization", 'Raw Data Pasting'!$C:$C, 0) + MATCH(E$1, $B$1:$F$1, 0)),0)</f>
        <v>11853000</v>
      </c>
      <c r="F36" s="147">
        <f t="array" ref="F36">IFERROR(INDEX('Raw Data Pasting'!$C:$C, MATCH("Depreciation &amp; Amortization", 'Raw Data Pasting'!$C:$C, 0) + MATCH(F$1, $B$1:$F$1, 0)),0)</f>
        <v>10945000</v>
      </c>
      <c r="G36" s="144">
        <v>0</v>
      </c>
    </row>
    <row r="37" spans="1:7">
      <c r="A37" s="32" t="s">
        <v>388</v>
      </c>
      <c r="B37" s="8">
        <f t="array" ref="B37">IFERROR(INDEX('Raw Data Pasting'!$C:$C, MATCH("Operating Cash Flow", 'Raw Data Pasting'!$C:$C, 0) + MATCH(B$1, $B$1:$F$1, 0)),0)</f>
        <v>41565000</v>
      </c>
      <c r="C37" s="145">
        <f t="array" ref="C37">IFERROR(INDEX('Raw Data Pasting'!$C:$C, MATCH("Operating Cash Flow", 'Raw Data Pasting'!$C:$C, 0) + MATCH(C$1, $B$1:$F$1, 0)),0)</f>
        <v>41565000</v>
      </c>
      <c r="D37" s="145">
        <f t="array" ref="D37">IFERROR(INDEX('Raw Data Pasting'!$C:$C, MATCH("Operating Cash Flow", 'Raw Data Pasting'!$C:$C, 0) + MATCH(D$1, $B$1:$F$1, 0)),0)</f>
        <v>36443000</v>
      </c>
      <c r="E37" s="145">
        <f t="array" ref="E37">IFERROR(INDEX('Raw Data Pasting'!$C:$C, MATCH("Operating Cash Flow", 'Raw Data Pasting'!$C:$C, 0) + MATCH(E$1, $B$1:$F$1, 0)),0)</f>
        <v>35726000</v>
      </c>
      <c r="F37" s="147">
        <f t="array" ref="F37">IFERROR(INDEX('Raw Data Pasting'!$C:$C, MATCH("Operating Cash Flow", 'Raw Data Pasting'!$C:$C, 0) + MATCH(F$1, $B$1:$F$1, 0)),0)</f>
        <v>28841000</v>
      </c>
      <c r="G37" s="144">
        <v>0</v>
      </c>
    </row>
    <row r="38" spans="1:7">
      <c r="A38" s="27" t="s">
        <v>389</v>
      </c>
      <c r="B38" s="8">
        <f t="array" ref="B38">IFERROR(INDEX('Raw Data Pasting'!$C:$C, MATCH("Capital Expenditure", 'Raw Data Pasting'!$C:$C, 0) + MATCH(B$1, $B$1:$F$1, 0)),0)</f>
        <v>-26642000</v>
      </c>
      <c r="C38" s="145">
        <f t="array" ref="C38">IFERROR(INDEX('Raw Data Pasting'!$C:$C, MATCH("Capital Expenditure", 'Raw Data Pasting'!$C:$C, 0) + MATCH(C$1, $B$1:$F$1, 0)),0)</f>
        <v>-26642000</v>
      </c>
      <c r="D38" s="145">
        <f t="array" ref="D38">IFERROR(INDEX('Raw Data Pasting'!$C:$C, MATCH("Capital Expenditure", 'Raw Data Pasting'!$C:$C, 0) + MATCH(D$1, $B$1:$F$1, 0)),0)</f>
        <v>-23783000</v>
      </c>
      <c r="E38" s="145">
        <f t="array" ref="E38">IFERROR(INDEX('Raw Data Pasting'!$C:$C, MATCH("Capital Expenditure", 'Raw Data Pasting'!$C:$C, 0) + MATCH(E$1, $B$1:$F$1, 0)),0)</f>
        <v>-20606000</v>
      </c>
      <c r="F38" s="147">
        <f t="array" ref="F38">IFERROR(INDEX('Raw Data Pasting'!$C:$C, MATCH("Capital Expenditure", 'Raw Data Pasting'!$C:$C, 0) + MATCH(F$1, $B$1:$F$1, 0)),0)</f>
        <v>-16857000</v>
      </c>
      <c r="G38" s="144">
        <v>0</v>
      </c>
    </row>
    <row r="39" spans="1:7">
      <c r="A39" s="32" t="s">
        <v>390</v>
      </c>
      <c r="B39" s="8">
        <f t="array" ref="B39">IFERROR(INDEX('Raw Data Pasting'!$C:$C, MATCH("Common Stock Payments", 'Raw Data Pasting'!$C:$C, 0) + MATCH(B$1, $B$1:$F$1, 0)),0)</f>
        <v>-8088000</v>
      </c>
      <c r="C39" s="145">
        <f t="array" ref="C39">IFERROR(INDEX('Raw Data Pasting'!$C:$C, MATCH("Common Stock Payments", 'Raw Data Pasting'!$C:$C, 0) + MATCH(C$1, $B$1:$F$1, 0)),0)</f>
        <v>-8088000</v>
      </c>
      <c r="D39" s="145">
        <f t="array" ref="D39">IFERROR(INDEX('Raw Data Pasting'!$C:$C, MATCH("Common Stock Payments", 'Raw Data Pasting'!$C:$C, 0) + MATCH(D$1, $B$1:$F$1, 0)),0)</f>
        <v>-4494000</v>
      </c>
      <c r="E39" s="145">
        <f t="array" ref="E39">IFERROR(INDEX('Raw Data Pasting'!$C:$C, MATCH("Common Stock Payments", 'Raw Data Pasting'!$C:$C, 0) + MATCH(E$1, $B$1:$F$1, 0)),0)</f>
        <v>-2779000</v>
      </c>
      <c r="F39" s="147">
        <f t="array" ref="F39">IFERROR(INDEX('Raw Data Pasting'!$C:$C, MATCH("Common Stock Payments", 'Raw Data Pasting'!$C:$C, 0) + MATCH(F$1, $B$1:$F$1, 0)),0)</f>
        <v>-9920000</v>
      </c>
      <c r="G39" s="144">
        <v>0</v>
      </c>
    </row>
    <row r="40" spans="1:7" ht="15" thickBot="1">
      <c r="A40" s="28" t="s">
        <v>391</v>
      </c>
      <c r="B40" s="160">
        <f t="array" ref="B40">IFERROR(INDEX('Raw Data Pasting'!$C:$C, MATCH("Free Cash Flow", 'Raw Data Pasting'!$C:$C, 0) + MATCH(B$1, $B$1:$F$1, 0)),0)</f>
        <v>14923000</v>
      </c>
      <c r="C40" s="158">
        <f t="array" ref="C40">IFERROR(INDEX('Raw Data Pasting'!$C:$C, MATCH("Free Cash Flow", 'Raw Data Pasting'!$C:$C, 0) + MATCH(C$1, $B$1:$F$1, 0)),0)</f>
        <v>14923000</v>
      </c>
      <c r="D40" s="158">
        <f t="array" ref="D40">IFERROR(INDEX('Raw Data Pasting'!$C:$C, MATCH("Free Cash Flow", 'Raw Data Pasting'!$C:$C, 0) + MATCH(D$1, $B$1:$F$1, 0)),0)</f>
        <v>12660000</v>
      </c>
      <c r="E40" s="158">
        <f t="array" ref="E40">IFERROR(INDEX('Raw Data Pasting'!$C:$C, MATCH("Free Cash Flow", 'Raw Data Pasting'!$C:$C, 0) + MATCH(E$1, $B$1:$F$1, 0)),0)</f>
        <v>15120000</v>
      </c>
      <c r="F40" s="159">
        <f t="array" ref="F40">IFERROR(INDEX('Raw Data Pasting'!$C:$C, MATCH("Free Cash Flow", 'Raw Data Pasting'!$C:$C, 0) + MATCH(F$1, $B$1:$F$1, 0)),0)</f>
        <v>11984000</v>
      </c>
      <c r="G40" s="144">
        <v>0</v>
      </c>
    </row>
    <row r="41" spans="1:7" ht="15" thickBot="1"/>
    <row r="42" spans="1:7">
      <c r="A42" s="671" t="s">
        <v>392</v>
      </c>
      <c r="B42" s="168"/>
      <c r="C42" s="168"/>
      <c r="D42" s="168"/>
      <c r="E42" s="168"/>
      <c r="F42" s="169"/>
    </row>
    <row r="43" spans="1:7">
      <c r="A43" s="170" t="s">
        <v>393</v>
      </c>
      <c r="B43" s="87" t="str">
        <f>'Raw Data Pasting'!V3</f>
        <v>WMT</v>
      </c>
      <c r="C43" s="87" t="str">
        <f>'Raw Data Pasting'!W3</f>
        <v>COST</v>
      </c>
      <c r="D43" s="87" t="str">
        <f>'Raw Data Pasting'!X3</f>
        <v>TGT</v>
      </c>
      <c r="E43" s="87" t="str">
        <f>'Raw Data Pasting'!Y3</f>
        <v>DG</v>
      </c>
      <c r="F43" s="171" t="s">
        <v>394</v>
      </c>
    </row>
    <row r="44" spans="1:7">
      <c r="A44" s="672" t="s">
        <v>113</v>
      </c>
      <c r="B44" s="86">
        <f>'Raw Data Pasting'!V5</f>
        <v>43.6</v>
      </c>
      <c r="C44" s="86">
        <f>'Raw Data Pasting'!W5</f>
        <v>50.56</v>
      </c>
      <c r="D44" s="86">
        <f>'Raw Data Pasting'!X5</f>
        <v>13.93</v>
      </c>
      <c r="E44" s="86">
        <f>'Raw Data Pasting'!Y5</f>
        <v>18.18</v>
      </c>
      <c r="F44" s="673">
        <f t="shared" ref="F44:F49" si="0">AVERAGE(C44:E44)</f>
        <v>27.556666666666672</v>
      </c>
    </row>
    <row r="45" spans="1:7">
      <c r="A45" s="672" t="s">
        <v>395</v>
      </c>
      <c r="B45" s="86">
        <f>'Raw Data Pasting'!V6</f>
        <v>40.32</v>
      </c>
      <c r="C45" s="86">
        <f>'Raw Data Pasting'!W6</f>
        <v>48.08</v>
      </c>
      <c r="D45" s="86">
        <f>'Raw Data Pasting'!X6</f>
        <v>14.16</v>
      </c>
      <c r="E45" s="86">
        <f>'Raw Data Pasting'!Y6</f>
        <v>17.329999999999998</v>
      </c>
      <c r="F45" s="673">
        <f t="shared" si="0"/>
        <v>26.52333333333333</v>
      </c>
    </row>
    <row r="46" spans="1:7">
      <c r="A46" s="672" t="s">
        <v>117</v>
      </c>
      <c r="B46" s="86">
        <f>'Raw Data Pasting'!V7</f>
        <v>63.98</v>
      </c>
      <c r="C46" s="86">
        <f>'Raw Data Pasting'!W7</f>
        <v>47.51</v>
      </c>
      <c r="D46" s="86">
        <f>'Raw Data Pasting'!X7</f>
        <v>18.2</v>
      </c>
      <c r="E46" s="86">
        <f>'Raw Data Pasting'!Y7</f>
        <v>11.49</v>
      </c>
      <c r="F46" s="673">
        <f t="shared" si="0"/>
        <v>25.733333333333331</v>
      </c>
    </row>
    <row r="47" spans="1:7">
      <c r="A47" s="672" t="s">
        <v>114</v>
      </c>
      <c r="B47" s="86">
        <f>'Raw Data Pasting'!V8</f>
        <v>9.5299999999999994</v>
      </c>
      <c r="C47" s="86">
        <f>'Raw Data Pasting'!W8</f>
        <v>13.44</v>
      </c>
      <c r="D47" s="86">
        <f>'Raw Data Pasting'!X8</f>
        <v>3.17</v>
      </c>
      <c r="E47" s="86">
        <f>'Raw Data Pasting'!Y8</f>
        <v>3.22</v>
      </c>
      <c r="F47" s="673">
        <f t="shared" si="0"/>
        <v>6.6099999999999994</v>
      </c>
    </row>
    <row r="48" spans="1:7">
      <c r="A48" s="672" t="s">
        <v>115</v>
      </c>
      <c r="B48" s="86">
        <f>'Raw Data Pasting'!V9</f>
        <v>1.34</v>
      </c>
      <c r="C48" s="86">
        <f>'Raw Data Pasting'!W9</f>
        <v>1.51</v>
      </c>
      <c r="D48" s="86">
        <f>'Raw Data Pasting'!X9</f>
        <v>0.49</v>
      </c>
      <c r="E48" s="86">
        <f>'Raw Data Pasting'!Y9</f>
        <v>0.64</v>
      </c>
      <c r="F48" s="673">
        <f t="shared" si="0"/>
        <v>0.88</v>
      </c>
    </row>
    <row r="49" spans="1:6" ht="15" thickBot="1">
      <c r="A49" s="674" t="s">
        <v>18</v>
      </c>
      <c r="B49" s="101">
        <f>'Raw Data Pasting'!V10</f>
        <v>21.63</v>
      </c>
      <c r="C49" s="101">
        <f>'Raw Data Pasting'!W10</f>
        <v>29.96</v>
      </c>
      <c r="D49" s="101">
        <f>'Raw Data Pasting'!X10</f>
        <v>7.92</v>
      </c>
      <c r="E49" s="101">
        <f>'Raw Data Pasting'!Y10</f>
        <v>12.95</v>
      </c>
      <c r="F49" s="675">
        <f t="shared" si="0"/>
        <v>16.943333333333332</v>
      </c>
    </row>
  </sheetData>
  <mergeCells count="2">
    <mergeCell ref="A18:F18"/>
    <mergeCell ref="A35:F35"/>
  </mergeCells>
  <pageMargins left="0.7" right="0.7" top="0.75" bottom="0.75" header="0.3" footer="0.3"/>
  <pageSetup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7"/>
  <sheetViews>
    <sheetView topLeftCell="A77" zoomScale="70" zoomScaleNormal="70" workbookViewId="0">
      <selection activeCell="F26" sqref="F26"/>
    </sheetView>
  </sheetViews>
  <sheetFormatPr defaultRowHeight="14.45"/>
  <cols>
    <col min="1" max="1" width="28" bestFit="1" customWidth="1"/>
    <col min="2" max="2" width="48.28515625" bestFit="1" customWidth="1"/>
    <col min="3" max="3" width="15.7109375" bestFit="1" customWidth="1"/>
    <col min="4" max="7" width="14.140625" bestFit="1" customWidth="1"/>
    <col min="8" max="8" width="17.28515625" bestFit="1" customWidth="1"/>
    <col min="10" max="10" width="9.5703125" bestFit="1" customWidth="1"/>
    <col min="12" max="12" width="14.7109375" bestFit="1" customWidth="1"/>
    <col min="13" max="13" width="9.28515625" customWidth="1"/>
    <col min="14" max="14" width="9.5703125" bestFit="1" customWidth="1"/>
    <col min="16" max="16" width="14.7109375" bestFit="1" customWidth="1"/>
  </cols>
  <sheetData>
    <row r="1" spans="1:8">
      <c r="A1" s="29" t="s">
        <v>396</v>
      </c>
      <c r="B1" s="37" t="s">
        <v>268</v>
      </c>
      <c r="C1" s="30" t="s">
        <v>67</v>
      </c>
      <c r="D1" s="37">
        <f>'Data Schema'!C1</f>
        <v>2026</v>
      </c>
      <c r="E1" s="37">
        <f>'Data Schema'!D1</f>
        <v>2025</v>
      </c>
      <c r="F1" s="37">
        <f>'Data Schema'!E1</f>
        <v>2024</v>
      </c>
      <c r="G1" s="37">
        <f>'Data Schema'!F1</f>
        <v>2023</v>
      </c>
      <c r="H1" s="38" t="s">
        <v>397</v>
      </c>
    </row>
    <row r="2" spans="1:8">
      <c r="A2" s="32" t="s">
        <v>287</v>
      </c>
      <c r="B2" t="s">
        <v>398</v>
      </c>
      <c r="C2" s="39" t="str">
        <f>IFERROR(('Data Schema'!B19-'Data Schema'!B26)/'Data Schema'!B33,"N/A")</f>
        <v>N/A</v>
      </c>
      <c r="D2" s="36">
        <f>IFERROR(('Data Schema'!C19-'Data Schema'!C26)/'Data Schema'!C33,"N/A")</f>
        <v>13.324131007654662</v>
      </c>
      <c r="E2" s="36">
        <f>IFERROR(('Data Schema'!D19-'Data Schema'!D26)/'Data Schema'!D33,"N/A")</f>
        <v>12.174975074775674</v>
      </c>
      <c r="F2" s="36">
        <f>IFERROR(('Data Schema'!E19-'Data Schema'!E26)/'Data Schema'!E33,"N/A")</f>
        <v>11.245468090389869</v>
      </c>
      <c r="G2" s="36">
        <f>IFERROR(('Data Schema'!F19-'Data Schema'!F26)/'Data Schema'!F33,"N/A")</f>
        <v>10.369259259259259</v>
      </c>
      <c r="H2" s="40">
        <f t="shared" ref="H2:H16" si="0">IFERROR(AVERAGE(C2:G2), "N/A")</f>
        <v>11.778458358019867</v>
      </c>
    </row>
    <row r="3" spans="1:8">
      <c r="A3" s="32" t="s">
        <v>155</v>
      </c>
      <c r="B3" s="39" t="s">
        <v>399</v>
      </c>
      <c r="C3" s="22" t="str">
        <f>IF(ABS('Data Schema'!B12/'Data Schema'!B11)=D3,"N/A",ABS('Data Schema'!B12/'Data Schema'!B11))</f>
        <v>N/A</v>
      </c>
      <c r="D3" s="22">
        <f>ABS('Data Schema'!C12/'Data Schema'!C11)</f>
        <v>0.24429061047202144</v>
      </c>
      <c r="E3" s="22">
        <f>ABS('Data Schema'!D12/'Data Schema'!D11)</f>
        <v>0.23383632977308144</v>
      </c>
      <c r="F3" s="22">
        <f>ABS('Data Schema'!E12/'Data Schema'!E11)</f>
        <v>0.25530941047235445</v>
      </c>
      <c r="G3" s="22">
        <f>ABS('Data Schema'!F12/'Data Schema'!F11)</f>
        <v>0.33638928067700985</v>
      </c>
      <c r="H3" s="41">
        <f t="shared" si="0"/>
        <v>0.2674564078486168</v>
      </c>
    </row>
    <row r="4" spans="1:8">
      <c r="A4" s="32" t="s">
        <v>400</v>
      </c>
      <c r="B4" s="39" t="s">
        <v>401</v>
      </c>
      <c r="C4" s="21" t="str">
        <f>IFERROR(('Data Schema'!B20-'Data Schema'!B27),"N/A")</f>
        <v>N/A</v>
      </c>
      <c r="D4" s="21">
        <f>IFERROR(('Data Schema'!C20-'Data Schema'!C27),"N/A")</f>
        <v>-22595000</v>
      </c>
      <c r="E4" s="21">
        <f>IFERROR(('Data Schema'!D20-'Data Schema'!D27),"N/A")</f>
        <v>-17126000</v>
      </c>
      <c r="F4" s="21">
        <f>IFERROR(('Data Schema'!E20-'Data Schema'!E27),"N/A")</f>
        <v>-15538000</v>
      </c>
      <c r="G4" s="21">
        <f>IFERROR(('Data Schema'!F20-'Data Schema'!F27),"N/A")</f>
        <v>-16543000</v>
      </c>
      <c r="H4" s="42">
        <f t="shared" si="0"/>
        <v>-17950500</v>
      </c>
    </row>
    <row r="5" spans="1:8">
      <c r="A5" s="32" t="s">
        <v>402</v>
      </c>
      <c r="B5" s="39" t="s">
        <v>403</v>
      </c>
      <c r="C5" s="21" t="str">
        <f>IFERROR(C4-D4,"N/A")</f>
        <v>N/A</v>
      </c>
      <c r="D5" s="21">
        <f>IFERROR(D4-E4,"N/A")</f>
        <v>-5469000</v>
      </c>
      <c r="E5" s="21">
        <f>IFERROR(E4-F4,"N/A")</f>
        <v>-1588000</v>
      </c>
      <c r="F5" s="21">
        <f>IFERROR(F4-G4,"N/A")</f>
        <v>1005000</v>
      </c>
      <c r="G5" s="21" t="s">
        <v>181</v>
      </c>
      <c r="H5" s="42">
        <f t="shared" si="0"/>
        <v>-2017333.3333333333</v>
      </c>
    </row>
    <row r="6" spans="1:8">
      <c r="A6" s="32" t="s">
        <v>404</v>
      </c>
      <c r="B6" s="39" t="s">
        <v>405</v>
      </c>
      <c r="C6" s="21" t="str">
        <f>IFERROR(('Data Schema'!B20-'Data Schema'!B22)-('Data Schema'!B27-'Data Schema'!B28), "N/A")</f>
        <v>N/A</v>
      </c>
      <c r="D6" s="21">
        <f>IFERROR(('Data Schema'!C20-'Data Schema'!C22)-('Data Schema'!C27-'Data Schema'!C28), "N/A")</f>
        <v>-23184000</v>
      </c>
      <c r="E6" s="21">
        <f>IFERROR(('Data Schema'!D20-'Data Schema'!D22)-('Data Schema'!D27-'Data Schema'!D28), "N/A")</f>
        <v>-20497000</v>
      </c>
      <c r="F6" s="21">
        <f>IFERROR(('Data Schema'!E20-'Data Schema'!E22)-('Data Schema'!E27-'Data Schema'!E28), "N/A")</f>
        <v>-21080000</v>
      </c>
      <c r="G6" s="21">
        <f>IFERROR(('Data Schema'!F20-'Data Schema'!F22)-('Data Schema'!F27-'Data Schema'!F28), "N/A")</f>
        <v>-20605000</v>
      </c>
      <c r="H6" s="42">
        <f t="shared" si="0"/>
        <v>-21341500</v>
      </c>
    </row>
    <row r="7" spans="1:8">
      <c r="A7" s="32" t="s">
        <v>406</v>
      </c>
      <c r="B7" s="39" t="s">
        <v>403</v>
      </c>
      <c r="C7" s="21" t="str">
        <f>IFERROR(C6-D6,"N/A")</f>
        <v>N/A</v>
      </c>
      <c r="D7" s="21">
        <f>IFERROR(D6-E6,"N/A")</f>
        <v>-2687000</v>
      </c>
      <c r="E7" s="21">
        <f>IFERROR(E6-F6,"N/A")</f>
        <v>583000</v>
      </c>
      <c r="F7" s="21">
        <f>IFERROR(F6-G6,"N/A")</f>
        <v>-475000</v>
      </c>
      <c r="G7" s="21" t="s">
        <v>181</v>
      </c>
      <c r="H7" s="42">
        <f t="shared" si="0"/>
        <v>-859666.66666666663</v>
      </c>
    </row>
    <row r="8" spans="1:8" ht="16.5" customHeight="1">
      <c r="A8" s="32" t="s">
        <v>407</v>
      </c>
      <c r="B8" s="39" t="s">
        <v>408</v>
      </c>
      <c r="C8" s="22" t="str">
        <f>IFERROR('Data Schema'!B9/'Data Schema'!B31,"N/A")</f>
        <v>N/A</v>
      </c>
      <c r="D8" s="22">
        <f>'Data Schema'!C9/'Data Schema'!C31</f>
        <v>4.1716968477531854E-2</v>
      </c>
      <c r="E8" s="22">
        <f>'Data Schema'!D9/'Data Schema'!D31</f>
        <v>4.53804438234022E-2</v>
      </c>
      <c r="F8" s="22">
        <f>'Data Schema'!E9/'Data Schema'!E31</f>
        <v>4.375336344808467E-2</v>
      </c>
      <c r="G8" s="22">
        <f>'Data Schema'!F9/'Data Schema'!F31</f>
        <v>3.6114929653955165E-2</v>
      </c>
      <c r="H8" s="41">
        <f t="shared" si="0"/>
        <v>4.1741426350743467E-2</v>
      </c>
    </row>
    <row r="9" spans="1:8">
      <c r="A9" s="32" t="s">
        <v>409</v>
      </c>
      <c r="B9" s="39" t="s">
        <v>410</v>
      </c>
      <c r="C9" s="22" t="str">
        <f>IF(('Data Schema'!B4/'Data Schema'!B3) = D9, "N/A", 'Data Schema'!B4/'Data Schema'!B3)</f>
        <v>N/A</v>
      </c>
      <c r="D9" s="22">
        <f>IFERROR('Data Schema'!C4/'Data Schema'!C3,"N/A")</f>
        <v>0.75073300213275229</v>
      </c>
      <c r="E9" s="22">
        <f>IFERROR('Data Schema'!D4/'Data Schema'!D3,"N/A")</f>
        <v>0.75148938669721066</v>
      </c>
      <c r="F9" s="22">
        <f>IFERROR('Data Schema'!E4/'Data Schema'!E3,"N/A")</f>
        <v>0.7562460945033751</v>
      </c>
      <c r="G9" s="22">
        <f>IFERROR('Data Schema'!F4/'Data Schema'!F3,"N/A")</f>
        <v>0.75859536160474017</v>
      </c>
      <c r="H9" s="41">
        <f t="shared" si="0"/>
        <v>0.75426596123451961</v>
      </c>
    </row>
    <row r="10" spans="1:8">
      <c r="A10" s="32" t="s">
        <v>411</v>
      </c>
      <c r="B10" s="39" t="s">
        <v>412</v>
      </c>
      <c r="C10" s="22" t="str">
        <f>IF(('Data Schema'!B6/'Data Schema'!B3) = D10, "N/A", 'Data Schema'!B6/'Data Schema'!B3)</f>
        <v>N/A</v>
      </c>
      <c r="D10" s="22">
        <f>IFERROR('Data Schema'!C6/'Data Schema'!C3,"N/A")</f>
        <v>0.20744626403781463</v>
      </c>
      <c r="E10" s="22">
        <f>IFERROR('Data Schema'!D6/'Data Schema'!D3,"N/A")</f>
        <v>0.20541421617216238</v>
      </c>
      <c r="F10" s="22">
        <f>IFERROR('Data Schema'!E6/'Data Schema'!E3,"N/A")</f>
        <v>0.20207675988428159</v>
      </c>
      <c r="G10" s="22">
        <f>IFERROR('Data Schema'!F6/'Data Schema'!F3,"N/A")</f>
        <v>0.20798672968105103</v>
      </c>
      <c r="H10" s="41">
        <f t="shared" si="0"/>
        <v>0.20573099244382739</v>
      </c>
    </row>
    <row r="11" spans="1:8">
      <c r="A11" s="32" t="s">
        <v>413</v>
      </c>
      <c r="B11" s="39" t="s">
        <v>414</v>
      </c>
      <c r="C11" s="23" t="str">
        <f>IF(('Data Schema'!B36/'Data Schema'!B3) = D11, "N/A", 'Data Schema'!B36/'Data Schema'!B3)</f>
        <v>N/A</v>
      </c>
      <c r="D11" s="22">
        <f>'Data Schema'!C36/'Data Schema'!C3</f>
        <v>1.9915503187910757E-2</v>
      </c>
      <c r="E11" s="22">
        <f>'Data Schema'!D36/'Data Schema'!D3</f>
        <v>1.9050346189710493E-2</v>
      </c>
      <c r="F11" s="22">
        <f>'Data Schema'!E36/'Data Schema'!E3</f>
        <v>1.8288138862102218E-2</v>
      </c>
      <c r="G11" s="22">
        <f>'Data Schema'!F36/'Data Schema'!F3</f>
        <v>1.7904788078961016E-2</v>
      </c>
      <c r="H11" s="41">
        <f t="shared" si="0"/>
        <v>1.878969407967112E-2</v>
      </c>
    </row>
    <row r="12" spans="1:8">
      <c r="A12" s="32" t="s">
        <v>415</v>
      </c>
      <c r="B12" s="39" t="s">
        <v>416</v>
      </c>
      <c r="C12" s="23" t="str">
        <f>IF(ABS('Data Schema'!B38/'Data Schema'!B3) = D12, "N/A", ABS('Data Schema'!B38/'Data Schema'!B3))</f>
        <v>N/A</v>
      </c>
      <c r="D12" s="23">
        <f>ABS('Data Schema'!C38/'Data Schema'!C3)</f>
        <v>3.73575185476532E-2</v>
      </c>
      <c r="E12" s="23">
        <f>ABS('Data Schema'!D38/'Data Schema'!D3)</f>
        <v>3.4924410963530765E-2</v>
      </c>
      <c r="F12" s="23">
        <f>ABS('Data Schema'!E38/'Data Schema'!E3)</f>
        <v>3.1793249758919964E-2</v>
      </c>
      <c r="G12" s="23">
        <f>ABS('Data Schema'!F38/'Data Schema'!F3)</f>
        <v>2.7576154650255445E-2</v>
      </c>
      <c r="H12" s="41">
        <f t="shared" si="0"/>
        <v>3.2912833480089845E-2</v>
      </c>
    </row>
    <row r="13" spans="1:8">
      <c r="A13" s="32" t="s">
        <v>22</v>
      </c>
      <c r="B13" s="39" t="s">
        <v>417</v>
      </c>
      <c r="C13" s="23" t="str">
        <f>IF(('Data Schema'!B13/'Data Schema'!B3) = D13, "N/A", 'Data Schema'!B13/'Data Schema'!B3)</f>
        <v>N/A</v>
      </c>
      <c r="D13" s="23">
        <f>'Data Schema'!C13/'Data Schema'!C3</f>
        <v>3.0698451826581021E-2</v>
      </c>
      <c r="E13" s="23">
        <f>'Data Schema'!D13/'Data Schema'!D3</f>
        <v>2.8541010448100913E-2</v>
      </c>
      <c r="F13" s="23">
        <f>'Data Schema'!E13/'Data Schema'!E3</f>
        <v>2.3932111861137896E-2</v>
      </c>
      <c r="G13" s="23">
        <f>'Data Schema'!F13/'Data Schema'!F3</f>
        <v>1.9107165350595218E-2</v>
      </c>
      <c r="H13" s="41">
        <f t="shared" si="0"/>
        <v>2.556968487160376E-2</v>
      </c>
    </row>
    <row r="14" spans="1:8">
      <c r="A14" s="32" t="s">
        <v>418</v>
      </c>
      <c r="B14" s="39" t="s">
        <v>419</v>
      </c>
      <c r="C14" s="22" t="str">
        <f>IF(ABS('Data Schema'!B39/'Data Schema'!B13)=D14,"N/A",ABS('Data Schema'!B39/'Data Schema'!B13))</f>
        <v>N/A</v>
      </c>
      <c r="D14" s="22">
        <f>ABS('Data Schema'!C39/'Data Schema'!C13)</f>
        <v>0.36943315214908873</v>
      </c>
      <c r="E14" s="22">
        <f>ABS('Data Schema'!D39/'Data Schema'!D13)</f>
        <v>0.23122041572339988</v>
      </c>
      <c r="F14" s="22">
        <f>ABS('Data Schema'!E39/'Data Schema'!E13)</f>
        <v>0.17916317452130745</v>
      </c>
      <c r="G14" s="22">
        <f>ABS('Data Schema'!F39/'Data Schema'!F13)</f>
        <v>0.84931506849315064</v>
      </c>
      <c r="H14" s="41">
        <f t="shared" si="0"/>
        <v>0.40728295272173665</v>
      </c>
    </row>
    <row r="15" spans="1:8">
      <c r="A15" s="32" t="s">
        <v>71</v>
      </c>
      <c r="B15" s="39" t="s">
        <v>420</v>
      </c>
      <c r="C15" s="24" t="str">
        <f>IFERROR('Data Schema'!B14*(1-Calculations!C3)+'Data Schema'!B36-Calculations!C5-ABS('Data Schema'!B38),"N/A")</f>
        <v>N/A</v>
      </c>
      <c r="D15" s="24">
        <f>IFERROR('Data Schema'!C14*(1-Calculations!D3)+'Data Schema'!C36-Calculations!D5-ABS('Data Schema'!C38),"N/A")</f>
        <v>17415230.581288815</v>
      </c>
      <c r="E15" s="24">
        <f>IFERROR('Data Schema'!D14*(1-Calculations!E3)+'Data Schema'!D36-Calculations!E5-ABS('Data Schema'!D38),"N/A")</f>
        <v>13025094.49237904</v>
      </c>
      <c r="F15" s="24">
        <f>IFERROR('Data Schema'!E14*(1-Calculations!F3)+'Data Schema'!E36-Calculations!F5-ABS('Data Schema'!E38),"N/A")</f>
        <v>8510004.8517026715</v>
      </c>
      <c r="G15" s="24" t="str">
        <f>IFERROR('Data Schema'!F14*(1-Calculations!G3)+'Data Schema'!F36-Calculations!G5-ABS('Data Schema'!F38),"N/A")</f>
        <v>N/A</v>
      </c>
      <c r="H15" s="42">
        <f t="shared" si="0"/>
        <v>12983443.308456844</v>
      </c>
    </row>
    <row r="16" spans="1:8" ht="16.899999999999999" customHeight="1" thickBot="1">
      <c r="A16" s="28" t="s">
        <v>421</v>
      </c>
      <c r="B16" s="44" t="s">
        <v>422</v>
      </c>
      <c r="C16" s="45">
        <f>B77*'Data Schema'!B17</f>
        <v>991759860</v>
      </c>
      <c r="D16" s="46">
        <f>_xlfn.XLOOKUP(DATE(D1, 12, 31), $A$76:$A$211, $B$76:$B$211, , -1)*'Data Schema'!C17</f>
        <v>991759860</v>
      </c>
      <c r="E16" s="46">
        <f>_xlfn.XLOOKUP(DATE(E1, 12, 31), $A$76:$A$211, $B$76:$B$211, , 1)*'Data Schema'!D17</f>
        <v>960830900</v>
      </c>
      <c r="F16" s="46">
        <f>_xlfn.XLOOKUP(DATE(F1, 12, 31), $A$76:$A$211, $B$76:$B$211, , 1)*'Data Schema'!E17</f>
        <v>786719240</v>
      </c>
      <c r="G16" s="46">
        <f>_xlfn.XLOOKUP(DATE(G1, 12, 31), $A$76:$A$211, $B$76:$B$211, , 1)*'Data Schema'!F17</f>
        <v>441267600</v>
      </c>
      <c r="H16" s="72">
        <f t="shared" si="0"/>
        <v>834467492</v>
      </c>
    </row>
    <row r="18" spans="1:8">
      <c r="A18" s="29" t="s">
        <v>423</v>
      </c>
      <c r="B18" s="37" t="s">
        <v>268</v>
      </c>
      <c r="C18" s="31" t="s">
        <v>83</v>
      </c>
      <c r="D18" s="4"/>
    </row>
    <row r="19" spans="1:8">
      <c r="A19" s="32" t="s">
        <v>424</v>
      </c>
      <c r="B19" s="93" t="s">
        <v>425</v>
      </c>
      <c r="C19" s="47">
        <f>'Data Schema'!C31</f>
        <v>67095000</v>
      </c>
    </row>
    <row r="20" spans="1:8" ht="16.5" customHeight="1">
      <c r="A20" s="32" t="s">
        <v>426</v>
      </c>
      <c r="B20" s="93" t="s">
        <v>427</v>
      </c>
      <c r="C20" s="48">
        <f>C27-C26</f>
        <v>4.9199999999999994E-2</v>
      </c>
    </row>
    <row r="21" spans="1:8" ht="16.5" customHeight="1">
      <c r="A21" s="32" t="s">
        <v>296</v>
      </c>
      <c r="B21" s="93" t="s">
        <v>428</v>
      </c>
      <c r="C21" s="48">
        <f>C26+(C24*C27)</f>
        <v>0.10043457771386032</v>
      </c>
    </row>
    <row r="22" spans="1:8" ht="16.5" customHeight="1">
      <c r="A22" s="32" t="s">
        <v>429</v>
      </c>
      <c r="B22" s="118" t="s">
        <v>430</v>
      </c>
      <c r="C22" s="47">
        <f>C16+C19</f>
        <v>1058854860</v>
      </c>
    </row>
    <row r="23" spans="1:8" ht="16.5" customHeight="1">
      <c r="A23" s="32" t="s">
        <v>58</v>
      </c>
      <c r="B23" s="93" t="s">
        <v>431</v>
      </c>
      <c r="C23" s="41">
        <f>((C16/C22)*C21)+((C19/C22)*D8*(1-D3))</f>
        <v>9.6068136584787495E-2</v>
      </c>
    </row>
    <row r="24" spans="1:8" ht="16.5" customHeight="1">
      <c r="A24" s="27" t="s">
        <v>432</v>
      </c>
      <c r="B24" s="93" t="s">
        <v>433</v>
      </c>
      <c r="C24" s="43">
        <f>_xlfn.COVARIANCE.P(C77:C138,G77:G138)/_xlfn.VAR.P(G77:G138)</f>
        <v>0.66260641904289241</v>
      </c>
    </row>
    <row r="25" spans="1:8">
      <c r="A25" s="49" t="s">
        <v>434</v>
      </c>
      <c r="B25" s="119" t="s">
        <v>435</v>
      </c>
      <c r="C25" s="50" t="s">
        <v>83</v>
      </c>
    </row>
    <row r="26" spans="1:8" ht="16.5" customHeight="1">
      <c r="A26" s="51" t="s">
        <v>436</v>
      </c>
      <c r="B26" s="91" t="s">
        <v>437</v>
      </c>
      <c r="C26" s="53">
        <v>4.0800000000000003E-2</v>
      </c>
    </row>
    <row r="27" spans="1:8" ht="16.5" customHeight="1">
      <c r="A27" s="51" t="s">
        <v>438</v>
      </c>
      <c r="B27" s="91" t="s">
        <v>439</v>
      </c>
      <c r="C27" s="54">
        <v>0.09</v>
      </c>
    </row>
    <row r="28" spans="1:8" ht="16.5" customHeight="1" thickBot="1">
      <c r="A28" s="55" t="s">
        <v>56</v>
      </c>
      <c r="B28" s="56" t="s">
        <v>440</v>
      </c>
      <c r="C28" s="57">
        <v>2.5000000000000001E-2</v>
      </c>
      <c r="D28" s="92"/>
      <c r="F28" s="92"/>
      <c r="G28" s="92"/>
      <c r="H28" s="92"/>
    </row>
    <row r="29" spans="1:8" ht="16.5" customHeight="1" thickBot="1">
      <c r="D29" s="92"/>
      <c r="E29" s="92"/>
      <c r="F29" s="92"/>
      <c r="G29" s="92"/>
      <c r="H29" s="92"/>
    </row>
    <row r="30" spans="1:8">
      <c r="A30" s="124" t="s">
        <v>441</v>
      </c>
      <c r="B30" s="125" t="s">
        <v>268</v>
      </c>
      <c r="C30" s="126" t="s">
        <v>67</v>
      </c>
      <c r="D30" s="126">
        <f>'Data Schema'!C1</f>
        <v>2026</v>
      </c>
      <c r="E30" s="126">
        <f>'Data Schema'!D1</f>
        <v>2025</v>
      </c>
      <c r="F30" s="126">
        <f>'Data Schema'!E1</f>
        <v>2024</v>
      </c>
      <c r="G30" s="126">
        <f>'Data Schema'!F1</f>
        <v>2023</v>
      </c>
      <c r="H30" s="127" t="s">
        <v>442</v>
      </c>
    </row>
    <row r="31" spans="1:8">
      <c r="A31" s="128" t="s">
        <v>443</v>
      </c>
      <c r="B31" s="88" t="s">
        <v>444</v>
      </c>
      <c r="C31" s="90" t="str">
        <f>IFERROR('Data Schema'!B20/'Data Schema'!B27,"N/A")</f>
        <v>N/A</v>
      </c>
      <c r="D31" s="90">
        <f>IFERROR('Data Schema'!C20/'Data Schema'!C27,"N/A")</f>
        <v>0.78975332421442468</v>
      </c>
      <c r="E31" s="90">
        <f>IFERROR('Data Schema'!D20/'Data Schema'!D27,"N/A")</f>
        <v>0.82268284602004471</v>
      </c>
      <c r="F31" s="90">
        <f>IFERROR('Data Schema'!E20/'Data Schema'!E27,"N/A")</f>
        <v>0.83186712113834338</v>
      </c>
      <c r="G31" s="90">
        <f>IFERROR('Data Schema'!F20/'Data Schema'!F27,"N/A")</f>
        <v>0.82057094513980777</v>
      </c>
      <c r="H31" s="95">
        <f>IFERROR(AVERAGE(C31:G31),"N/A")</f>
        <v>0.81621855912815511</v>
      </c>
    </row>
    <row r="32" spans="1:8">
      <c r="A32" s="128" t="s">
        <v>445</v>
      </c>
      <c r="B32" s="88" t="s">
        <v>446</v>
      </c>
      <c r="C32" s="90" t="str">
        <f>IFERROR((('Data Schema'!B21+'Data Schema'!B23+'Data Schema'!B24)/'Data Schema'!B27),"N/A")</f>
        <v>N/A</v>
      </c>
      <c r="D32" s="90">
        <f>IFERROR((('Data Schema'!C21+'Data Schema'!C23+'Data Schema'!C24)/'Data Schema'!C27),"N/A")</f>
        <v>0.20377038960072208</v>
      </c>
      <c r="E32" s="90">
        <f>IFERROR((('Data Schema'!D21+'Data Schema'!D23+'Data Schema'!D24)/'Data Schema'!D27),"N/A")</f>
        <v>0.19684419779673651</v>
      </c>
      <c r="F32" s="90">
        <f>IFERROR((('Data Schema'!E21+'Data Schema'!E23+'Data Schema'!E24)/'Data Schema'!E27),"N/A")</f>
        <v>0.20194773575718228</v>
      </c>
      <c r="G32" s="90">
        <f>IFERROR((('Data Schema'!F21+'Data Schema'!F23+'Data Schema'!F24)/'Data Schema'!F27),"N/A")</f>
        <v>0.17959174819410401</v>
      </c>
      <c r="H32" s="95">
        <f>IFERROR(AVERAGE(C32:G32),"N/A")</f>
        <v>0.19553851783718623</v>
      </c>
    </row>
    <row r="33" spans="1:8">
      <c r="A33" s="128" t="s">
        <v>447</v>
      </c>
      <c r="B33" s="129" t="s">
        <v>448</v>
      </c>
      <c r="C33" s="90" t="str">
        <f>IFERROR('Data Schema'!B31/'Data Schema'!B29,"N/A")</f>
        <v>N/A</v>
      </c>
      <c r="D33" s="90">
        <f>IFERROR('Data Schema'!C31/'Data Schema'!C29,"N/A")</f>
        <v>0.63189866264833305</v>
      </c>
      <c r="E33" s="90">
        <f>IFERROR('Data Schema'!D31/'Data Schema'!D29,"N/A")</f>
        <v>0.61534209556565533</v>
      </c>
      <c r="F33" s="90">
        <f>IFERROR('Data Schema'!E31/'Data Schema'!E29,"N/A")</f>
        <v>0.67704894502655377</v>
      </c>
      <c r="G33" s="90">
        <f>IFERROR('Data Schema'!F31/'Data Schema'!F29,"N/A")</f>
        <v>0.70153945065542733</v>
      </c>
      <c r="H33" s="95">
        <f>IFERROR(AVERAGE(C33:G33),"N/A")</f>
        <v>0.65645728847399232</v>
      </c>
    </row>
    <row r="34" spans="1:8">
      <c r="A34" s="128" t="s">
        <v>449</v>
      </c>
      <c r="B34" s="129" t="s">
        <v>450</v>
      </c>
      <c r="C34" s="90" t="str">
        <f>IFERROR('Data Schema'!B31/'Data Schema'!B19,"N/A")</f>
        <v>N/A</v>
      </c>
      <c r="D34" s="90">
        <f>IFERROR('Data Schema'!C31/'Data Schema'!C19,"N/A")</f>
        <v>0.23569561735073841</v>
      </c>
      <c r="E34" s="90">
        <f>IFERROR('Data Schema'!D31/'Data Schema'!D19,"N/A")</f>
        <v>0.23047814034805214</v>
      </c>
      <c r="F34" s="90">
        <f>IFERROR('Data Schema'!E31/'Data Schema'!E19,"N/A")</f>
        <v>0.24295262659519254</v>
      </c>
      <c r="G34" s="90">
        <f>IFERROR('Data Schema'!F31/'Data Schema'!F19,"N/A")</f>
        <v>0.24228506108216796</v>
      </c>
      <c r="H34" s="95">
        <f>IFERROR(AVERAGE(C34:G34),"N/A")</f>
        <v>0.23785286134403777</v>
      </c>
    </row>
    <row r="35" spans="1:8">
      <c r="A35" s="128" t="s">
        <v>451</v>
      </c>
      <c r="B35" s="130" t="s">
        <v>452</v>
      </c>
      <c r="C35" s="90" t="str">
        <f>IFERROR('Data Schema'!A14/'Data Schema'!A9,"N/A")</f>
        <v>N/A</v>
      </c>
      <c r="D35" s="90">
        <f>IFERROR('Data Schema'!B14/'Data Schema'!B9,"N/A")</f>
        <v>11.528403001071812</v>
      </c>
      <c r="E35" s="90">
        <f>IFERROR('Data Schema'!C14/'Data Schema'!C9,"N/A")</f>
        <v>11.528403001071812</v>
      </c>
      <c r="F35" s="90">
        <f>IFERROR('Data Schema'!D14/'Data Schema'!D9,"N/A")</f>
        <v>10.644061583577713</v>
      </c>
      <c r="G35" s="90">
        <f>IFERROR('Data Schema'!E14/'Data Schema'!E9,"N/A")</f>
        <v>9.1431233693626535</v>
      </c>
      <c r="H35" s="95">
        <f>IFERROR(AVERAGE(C35:G35),"N/A")</f>
        <v>10.710997738770999</v>
      </c>
    </row>
    <row r="36" spans="1:8">
      <c r="A36" s="131" t="s">
        <v>453</v>
      </c>
      <c r="B36" s="132" t="s">
        <v>268</v>
      </c>
      <c r="C36" s="133" t="s">
        <v>67</v>
      </c>
      <c r="D36" s="133">
        <f>'Data Schema'!C1</f>
        <v>2026</v>
      </c>
      <c r="E36" s="133">
        <f>'Data Schema'!D1</f>
        <v>2025</v>
      </c>
      <c r="F36" s="133">
        <f>'Data Schema'!E1</f>
        <v>2024</v>
      </c>
      <c r="G36" s="133">
        <f>'Data Schema'!F1</f>
        <v>2023</v>
      </c>
      <c r="H36" s="134" t="s">
        <v>442</v>
      </c>
    </row>
    <row r="37" spans="1:8">
      <c r="A37" s="128" t="s">
        <v>454</v>
      </c>
      <c r="B37" s="129" t="s">
        <v>455</v>
      </c>
      <c r="C37" s="135" t="str">
        <f>IF('Data Schema'!B5/'Data Schema'!B3=D37,"N/A",'Data Schema'!B5/'Data Schema'!B3)</f>
        <v>N/A</v>
      </c>
      <c r="D37" s="135">
        <f>'Data Schema'!C5/'Data Schema'!C3</f>
        <v>0.24926699786724774</v>
      </c>
      <c r="E37" s="135">
        <f>'Data Schema'!D5/'Data Schema'!D3</f>
        <v>0.24851061330278934</v>
      </c>
      <c r="F37" s="135">
        <f>'Data Schema'!E5/'Data Schema'!E3</f>
        <v>0.24375390549662487</v>
      </c>
      <c r="G37" s="135">
        <f>'Data Schema'!F5/'Data Schema'!F3</f>
        <v>0.24140463839525986</v>
      </c>
      <c r="H37" s="136">
        <f t="shared" ref="H37:H43" si="1">IFERROR(AVERAGE(C37:G37),"N/A")</f>
        <v>0.24573403876548044</v>
      </c>
    </row>
    <row r="38" spans="1:8">
      <c r="A38" s="128" t="s">
        <v>456</v>
      </c>
      <c r="B38" s="129" t="s">
        <v>457</v>
      </c>
      <c r="C38" s="135" t="str">
        <f>IF('Data Schema'!B14/'Data Schema'!B3=D38,"N/A",'Data Schema'!B14/'Data Schema'!B3)</f>
        <v>N/A</v>
      </c>
      <c r="D38" s="135">
        <f>'Data Schema'!C14/'Data Schema'!C3</f>
        <v>4.5246318162888426E-2</v>
      </c>
      <c r="E38" s="135">
        <f>'Data Schema'!D14/'Data Schema'!D3</f>
        <v>4.2639705720390317E-2</v>
      </c>
      <c r="F38" s="135">
        <f>'Data Schema'!E14/'Data Schema'!E3</f>
        <v>3.7849180327868853E-2</v>
      </c>
      <c r="G38" s="135">
        <f>'Data Schema'!F14/'Data Schema'!F3</f>
        <v>3.1317429235598875E-2</v>
      </c>
      <c r="H38" s="136">
        <f t="shared" si="1"/>
        <v>3.9263158361686618E-2</v>
      </c>
    </row>
    <row r="39" spans="1:8">
      <c r="A39" s="128" t="s">
        <v>458</v>
      </c>
      <c r="B39" s="129" t="s">
        <v>417</v>
      </c>
      <c r="C39" s="135" t="str">
        <f>IF('Data Schema'!B13/'Data Schema'!B3=D39,"N/A",'Data Schema'!B13/'Data Schema'!B3)</f>
        <v>N/A</v>
      </c>
      <c r="D39" s="135">
        <f>'Data Schema'!C13/'Data Schema'!C3</f>
        <v>3.0698451826581021E-2</v>
      </c>
      <c r="E39" s="135">
        <f>'Data Schema'!D13/'Data Schema'!D3</f>
        <v>2.8541010448100913E-2</v>
      </c>
      <c r="F39" s="135">
        <f>'Data Schema'!E13/'Data Schema'!E3</f>
        <v>2.3932111861137896E-2</v>
      </c>
      <c r="G39" s="135">
        <f>'Data Schema'!F13/'Data Schema'!F3</f>
        <v>1.9107165350595218E-2</v>
      </c>
      <c r="H39" s="136">
        <f t="shared" si="1"/>
        <v>2.556968487160376E-2</v>
      </c>
    </row>
    <row r="40" spans="1:8">
      <c r="A40" s="128" t="s">
        <v>459</v>
      </c>
      <c r="B40" s="130" t="s">
        <v>460</v>
      </c>
      <c r="C40" s="135" t="str">
        <f>IFERROR('Data Schema'!B13/'Data Schema'!B19,"N/A")</f>
        <v>N/A</v>
      </c>
      <c r="D40" s="135">
        <f>IFERROR('Data Schema'!C13/'Data Schema'!C19,"N/A")</f>
        <v>7.690713392443127E-2</v>
      </c>
      <c r="E40" s="135">
        <f>IFERROR('Data Schema'!D13/'Data Schema'!D19,"N/A")</f>
        <v>7.4517968123976791E-2</v>
      </c>
      <c r="F40" s="135">
        <f>IFERROR('Data Schema'!E13/'Data Schema'!E19,"N/A")</f>
        <v>6.1454284684170697E-2</v>
      </c>
      <c r="G40" s="135">
        <f>IFERROR('Data Schema'!F13/'Data Schema'!F19,"N/A")</f>
        <v>4.8026908226663979E-2</v>
      </c>
      <c r="H40" s="136">
        <f t="shared" si="1"/>
        <v>6.5226573739810681E-2</v>
      </c>
    </row>
    <row r="41" spans="1:8">
      <c r="A41" s="128" t="s">
        <v>461</v>
      </c>
      <c r="B41" s="88" t="s">
        <v>462</v>
      </c>
      <c r="C41" s="135" t="str">
        <f>IFERROR('Data Schema'!B13/'Data Schema'!B29,"N/A")</f>
        <v>N/A</v>
      </c>
      <c r="D41" s="135">
        <f>IFERROR('Data Schema'!C13/'Data Schema'!C29,"N/A")</f>
        <v>0.20618760595215671</v>
      </c>
      <c r="E41" s="135">
        <f>IFERROR('Data Schema'!D13/'Data Schema'!D29,"N/A")</f>
        <v>0.19895180772222903</v>
      </c>
      <c r="F41" s="135">
        <f>IFERROR('Data Schema'!E13/'Data Schema'!E29,"N/A")</f>
        <v>0.1712579081604487</v>
      </c>
      <c r="G41" s="135">
        <f>IFERROR('Data Schema'!F13/'Data Schema'!F29,"N/A")</f>
        <v>0.13906251860318367</v>
      </c>
      <c r="H41" s="136">
        <f t="shared" si="1"/>
        <v>0.17886496010950453</v>
      </c>
    </row>
    <row r="42" spans="1:8">
      <c r="A42" s="128" t="s">
        <v>463</v>
      </c>
      <c r="B42" s="88" t="s">
        <v>464</v>
      </c>
      <c r="C42" s="135" t="str">
        <f>IFERROR(C15/'Data Schema'!B3,"N/A")</f>
        <v>N/A</v>
      </c>
      <c r="D42" s="135">
        <f>IFERROR(D15/'Data Schema'!C3,"N/A")</f>
        <v>2.4419705707234972E-2</v>
      </c>
      <c r="E42" s="135">
        <f>IFERROR(E15/'Data Schema'!D3,"N/A")</f>
        <v>1.9126844926656297E-2</v>
      </c>
      <c r="F42" s="135">
        <f>IFERROR(F15/'Data Schema'!E3,"N/A")</f>
        <v>1.3130190706580785E-2</v>
      </c>
      <c r="G42" s="135" t="str">
        <f>IFERROR(G15/'Data Schema'!F3,"N/A")</f>
        <v>N/A</v>
      </c>
      <c r="H42" s="136">
        <f t="shared" si="1"/>
        <v>1.8892247113490686E-2</v>
      </c>
    </row>
    <row r="43" spans="1:8">
      <c r="A43" s="128" t="s">
        <v>465</v>
      </c>
      <c r="B43" s="88" t="s">
        <v>466</v>
      </c>
      <c r="C43" s="135" t="str">
        <f>IF('Data Schema'!B40/'Data Schema'!B13=D43,"N/A",'Data Schema'!B40/'Data Schema'!B13)</f>
        <v>N/A</v>
      </c>
      <c r="D43" s="135">
        <f>'Data Schema'!C40/'Data Schema'!C13</f>
        <v>0.68163339880327045</v>
      </c>
      <c r="E43" s="135">
        <f>'Data Schema'!D40/'Data Schema'!D13</f>
        <v>0.6513685943609796</v>
      </c>
      <c r="F43" s="135">
        <f>'Data Schema'!E40/'Data Schema'!E13</f>
        <v>0.97479208303784415</v>
      </c>
      <c r="G43" s="135">
        <f>'Data Schema'!F40/'Data Schema'!F13</f>
        <v>1.026027397260274</v>
      </c>
      <c r="H43" s="136">
        <f t="shared" si="1"/>
        <v>0.83345536836559209</v>
      </c>
    </row>
    <row r="44" spans="1:8">
      <c r="A44" s="131" t="s">
        <v>467</v>
      </c>
      <c r="B44" s="132" t="s">
        <v>268</v>
      </c>
      <c r="C44" s="133" t="s">
        <v>67</v>
      </c>
      <c r="D44" s="133">
        <f>'Data Schema'!C1</f>
        <v>2026</v>
      </c>
      <c r="E44" s="133">
        <f>'Data Schema'!D1</f>
        <v>2025</v>
      </c>
      <c r="F44" s="133">
        <f>'Data Schema'!E1</f>
        <v>2024</v>
      </c>
      <c r="G44" s="133">
        <f>'Data Schema'!F1</f>
        <v>2023</v>
      </c>
      <c r="H44" s="134" t="s">
        <v>442</v>
      </c>
    </row>
    <row r="45" spans="1:8">
      <c r="A45" s="128" t="s">
        <v>100</v>
      </c>
      <c r="B45" s="129" t="s">
        <v>468</v>
      </c>
      <c r="C45" s="90" t="str">
        <f>IFERROR('Data Schema'!A3/(('Data Schema'!B19+'Data Schema'!C19)/2),"N/A")</f>
        <v>N/A</v>
      </c>
      <c r="D45" s="90">
        <f>IFERROR('Data Schema'!B3/(('Data Schema'!C19+'Data Schema'!D19)/2),"N/A")</f>
        <v>2.6147562471241503</v>
      </c>
      <c r="E45" s="90">
        <f>IFERROR('Data Schema'!C3/(('Data Schema'!D19+'Data Schema'!E19)/2),"N/A")</f>
        <v>2.7791598957176427</v>
      </c>
      <c r="F45" s="90">
        <f>IFERROR('Data Schema'!D3/(('Data Schema'!E19+'Data Schema'!F19)/2),"N/A")</f>
        <v>2.7481456670352467</v>
      </c>
      <c r="G45" s="90" t="s">
        <v>181</v>
      </c>
      <c r="H45" s="95">
        <f>IFERROR(AVERAGE(C45:G45),"N/A")</f>
        <v>2.714020603292346</v>
      </c>
    </row>
    <row r="46" spans="1:8">
      <c r="A46" s="128" t="s">
        <v>469</v>
      </c>
      <c r="B46" s="129" t="s">
        <v>470</v>
      </c>
      <c r="C46" s="90" t="str">
        <f>IFERROR('Data Schema'!B4/(('Data Schema'!B25+'Data Schema'!C25)/2),"N/A")</f>
        <v>N/A</v>
      </c>
      <c r="D46" s="90">
        <f>IFERROR('Data Schema'!C4/(('Data Schema'!C25+'Data Schema'!D25)/2),"N/A")</f>
        <v>9.2881182450601116</v>
      </c>
      <c r="E46" s="90">
        <f>IFERROR('Data Schema'!D4/(('Data Schema'!D25+'Data Schema'!E25)/2),"N/A")</f>
        <v>9.1936906590494676</v>
      </c>
      <c r="F46" s="90">
        <f>IFERROR('Data Schema'!E4/(('Data Schema'!E25+'Data Schema'!F25)/2),"N/A")</f>
        <v>8.794308680518176</v>
      </c>
      <c r="G46" s="90">
        <f>IFERROR('Data Schema'!F4/(('Data Schema'!F25+'Data Schema'!G25)/2),"N/A")</f>
        <v>16.39285209276018</v>
      </c>
      <c r="H46" s="95">
        <f>IFERROR(AVERAGE(C46:G46),"N/A")</f>
        <v>10.917242419346984</v>
      </c>
    </row>
    <row r="47" spans="1:8" ht="15" customHeight="1">
      <c r="A47" s="128" t="s">
        <v>471</v>
      </c>
      <c r="B47" s="129" t="s">
        <v>472</v>
      </c>
      <c r="C47" s="90" t="str">
        <f>IFERROR('Data Schema'!B19/'Data Schema'!B29,"N/A")</f>
        <v>N/A</v>
      </c>
      <c r="D47" s="90">
        <f>IFERROR('Data Schema'!C19/'Data Schema'!C29,"N/A")</f>
        <v>2.6809945375776985</v>
      </c>
      <c r="E47" s="90">
        <f>IFERROR('Data Schema'!D19/'Data Schema'!D29,"N/A")</f>
        <v>2.6698501412602873</v>
      </c>
      <c r="F47" s="90">
        <f>IFERROR('Data Schema'!E19/'Data Schema'!E29,"N/A")</f>
        <v>2.7867529341621489</v>
      </c>
      <c r="G47" s="90">
        <f>IFERROR('Data Schema'!F19/'Data Schema'!F29,"N/A")</f>
        <v>2.895512614446786</v>
      </c>
      <c r="H47" s="95">
        <f>IFERROR(AVERAGE(C47:G47),"N/A")</f>
        <v>2.7582775568617297</v>
      </c>
    </row>
    <row r="48" spans="1:8" ht="15" customHeight="1">
      <c r="A48" s="131" t="s">
        <v>473</v>
      </c>
      <c r="B48" s="132" t="s">
        <v>268</v>
      </c>
      <c r="C48" s="133" t="s">
        <v>67</v>
      </c>
      <c r="D48" s="133">
        <f>'Data Schema'!C1</f>
        <v>2026</v>
      </c>
      <c r="E48" s="133">
        <f>'Data Schema'!D1</f>
        <v>2025</v>
      </c>
      <c r="F48" s="133">
        <f>'Data Schema'!E1</f>
        <v>2024</v>
      </c>
      <c r="G48" s="133">
        <f>'Data Schema'!F1</f>
        <v>2023</v>
      </c>
      <c r="H48" s="134" t="s">
        <v>442</v>
      </c>
    </row>
    <row r="49" spans="1:8" ht="15" customHeight="1">
      <c r="A49" s="128" t="s">
        <v>287</v>
      </c>
      <c r="B49" s="129" t="s">
        <v>474</v>
      </c>
      <c r="C49" s="137" t="str">
        <f>IFERROR('Data Schema'!B29/'Data Schema'!B17,"N/A")</f>
        <v>N/A</v>
      </c>
      <c r="D49" s="137">
        <f>IFERROR('Data Schema'!C29/'Data Schema'!C17,"N/A")</f>
        <v>13.236100723011718</v>
      </c>
      <c r="E49" s="137">
        <f>IFERROR('Data Schema'!D29/'Data Schema'!D17,"N/A")</f>
        <v>12.089097883925257</v>
      </c>
      <c r="F49" s="137">
        <f>IFERROR('Data Schema'!E29/'Data Schema'!E17,"N/A")</f>
        <v>11.17057227429699</v>
      </c>
      <c r="G49" s="137">
        <f>IFERROR('Data Schema'!F29/'Data Schema'!F17,"N/A")</f>
        <v>10.240307242136064</v>
      </c>
      <c r="H49" s="138">
        <f>AVERAGE(C49:G49)</f>
        <v>11.684019530842507</v>
      </c>
    </row>
    <row r="50" spans="1:8">
      <c r="A50" s="128" t="s">
        <v>475</v>
      </c>
      <c r="B50" s="129" t="s">
        <v>476</v>
      </c>
      <c r="C50" s="139">
        <f>B77/'Data Schema'!B16</f>
        <v>45.285714285714285</v>
      </c>
      <c r="D50" s="90">
        <f>_xlfn.XLOOKUP(DATE(D48, 12, 31), $A$76:$A$211, $B$76:$B$211, , -1)/'Data Schema'!C16</f>
        <v>45.285714285714285</v>
      </c>
      <c r="E50" s="90">
        <f>_xlfn.XLOOKUP(DATE(E48, 12, 31), $A$76:$A$211, $B$76:$B$211, , 1)/'Data Schema'!D16</f>
        <v>49.336099585062243</v>
      </c>
      <c r="F50" s="90">
        <f>_xlfn.XLOOKUP(DATE(F48, 12, 31), $A$76:$A$211, $B$76:$B$211, , 1)/'Data Schema'!E16</f>
        <v>50.801047120418851</v>
      </c>
      <c r="G50" s="90">
        <f>_xlfn.XLOOKUP(DATE(G48, 12, 31), $A$76:$A$211, $B$76:$B$211, , 1)/'Data Schema'!F16</f>
        <v>37.887323943661968</v>
      </c>
      <c r="H50" s="95">
        <f>AVERAGE(C50:G50)</f>
        <v>45.719179844114322</v>
      </c>
    </row>
    <row r="51" spans="1:8">
      <c r="A51" s="128" t="s">
        <v>477</v>
      </c>
      <c r="B51" s="88" t="s">
        <v>478</v>
      </c>
      <c r="C51" s="90" t="str">
        <f>IFERROR(IF(OR(B77/C2=D51,(B77/C2=0)),"N/A",B77/C2), "N/A")</f>
        <v>N/A</v>
      </c>
      <c r="D51" s="90">
        <f>_xlfn.XLOOKUP(DATE(D48, 12, 31), $A$76:$A$211, $B$76:$B$211, , -1)/D2</f>
        <v>9.2786538896213973</v>
      </c>
      <c r="E51" s="90">
        <f>_xlfn.XLOOKUP(DATE(E48, 12, 31), $A$76:$A$211, $B$76:$B$211, , 1)/E2</f>
        <v>9.7659337509724438</v>
      </c>
      <c r="F51" s="90">
        <f>_xlfn.XLOOKUP(DATE(F48, 12, 31), $A$76:$A$211, $B$76:$B$211, , 1)/F2</f>
        <v>8.6283647083503556</v>
      </c>
      <c r="G51" s="90">
        <f>_xlfn.XLOOKUP(DATE(G48, 12, 31), $A$76:$A$211, $B$76:$B$211, , 1)/G2</f>
        <v>5.1884130442547418</v>
      </c>
      <c r="H51" s="95">
        <f>AVERAGE(C51:G51)</f>
        <v>8.2153413482997344</v>
      </c>
    </row>
    <row r="52" spans="1:8">
      <c r="A52" s="128" t="s">
        <v>479</v>
      </c>
      <c r="B52" s="88" t="s">
        <v>480</v>
      </c>
      <c r="C52" s="139" t="str">
        <f>IFERROR(IF(OR(C16/'Data Schema'!B3=D52,(C16/'Data Schema'!B3=0)),"N/A",C16/'Data Schema'!B3), "N/A")</f>
        <v>N/A</v>
      </c>
      <c r="D52" s="139">
        <f>D16/'Data Schema'!C3</f>
        <v>1.3906496270838504</v>
      </c>
      <c r="E52" s="139">
        <f>E16/'Data Schema'!D3</f>
        <v>1.4109428254660528</v>
      </c>
      <c r="F52" s="139">
        <f>F16/'Data Schema'!E3</f>
        <v>1.2138387502410801</v>
      </c>
      <c r="G52" s="139">
        <f>G16/'Data Schema'!F3</f>
        <v>0.72186412646064302</v>
      </c>
      <c r="H52" s="140">
        <f>AVERAGE(C52:G52)</f>
        <v>1.1843238323129066</v>
      </c>
    </row>
    <row r="53" spans="1:8">
      <c r="A53" s="131" t="s">
        <v>481</v>
      </c>
      <c r="B53" s="132" t="s">
        <v>268</v>
      </c>
      <c r="C53" s="133" t="s">
        <v>67</v>
      </c>
      <c r="D53" s="133">
        <f>'Data Schema'!C1</f>
        <v>2026</v>
      </c>
      <c r="E53" s="133">
        <f>'Data Schema'!D1</f>
        <v>2025</v>
      </c>
      <c r="F53" s="133">
        <f>'Data Schema'!E1</f>
        <v>2024</v>
      </c>
      <c r="G53" s="133">
        <f>'Data Schema'!F1</f>
        <v>2023</v>
      </c>
      <c r="H53" s="134" t="s">
        <v>442</v>
      </c>
    </row>
    <row r="54" spans="1:8">
      <c r="A54" s="128" t="s">
        <v>60</v>
      </c>
      <c r="B54" s="650" t="s">
        <v>482</v>
      </c>
      <c r="C54" s="135" t="str">
        <f>IF(IFERROR(('Data Schema'!B3/'Data Schema'!C3)-1,"N/A")=0,"N/A",(IFERROR(('Data Schema'!B3/'Data Schema'!C3)-1,"N/A")))</f>
        <v>N/A</v>
      </c>
      <c r="D54" s="135">
        <f>IFERROR(('Data Schema'!C3/'Data Schema'!D3)-1,"N/A")</f>
        <v>4.7252142117667706E-2</v>
      </c>
      <c r="E54" s="135">
        <f>IFERROR(('Data Schema'!D3/'Data Schema'!E3)-1,"N/A")</f>
        <v>5.0700096432015451E-2</v>
      </c>
      <c r="F54" s="135">
        <f>IFERROR(('Data Schema'!E3/'Data Schema'!F3)-1,"N/A")</f>
        <v>6.02595499019285E-2</v>
      </c>
      <c r="G54" s="135" t="str">
        <f>IFERROR(('Data Schema'!F3/'Data Schema'!G3)-1,"N/A")</f>
        <v>N/A</v>
      </c>
      <c r="H54" s="94">
        <f>AVERAGE(C54:G54)</f>
        <v>5.2737262817203888E-2</v>
      </c>
    </row>
    <row r="55" spans="1:8">
      <c r="A55" s="128" t="s">
        <v>483</v>
      </c>
      <c r="B55" s="676"/>
      <c r="C55" s="135" t="str">
        <f>IF(IFERROR(('Data Schema'!B13/'Data Schema'!C13)-1,"N/A")=0,"N/A",(IFERROR(('Data Schema'!B13/'Data Schema'!C13)-1,"N/A")))</f>
        <v>N/A</v>
      </c>
      <c r="D55" s="135">
        <f>IFERROR(('Data Schema'!C13/'Data Schema'!D13)-1,"N/A")</f>
        <v>0.12641490018522328</v>
      </c>
      <c r="E55" s="135">
        <f>IFERROR(('Data Schema'!D13/'Data Schema'!E13)-1,"N/A")</f>
        <v>0.25304622525949316</v>
      </c>
      <c r="F55" s="135">
        <f>IFERROR(('Data Schema'!E13/'Data Schema'!F13)-1,"N/A")</f>
        <v>0.32799657534246585</v>
      </c>
      <c r="G55" s="135" t="str">
        <f>IFERROR(('Data Schema'!F13/'Data Schema'!G13)-1,"N/A")</f>
        <v>N/A</v>
      </c>
      <c r="H55" s="94">
        <f>AVERAGE(C55:G55)</f>
        <v>0.23581923359572743</v>
      </c>
    </row>
    <row r="56" spans="1:8">
      <c r="A56" s="128" t="s">
        <v>484</v>
      </c>
      <c r="B56" s="676"/>
      <c r="C56" s="135" t="str">
        <f>IF(IFERROR(('Data Schema'!B16/'Data Schema'!C16)-1,"N/A")=0,"N/A",(IFERROR(('Data Schema'!B16/'Data Schema'!C16)-1,"N/A")))</f>
        <v>N/A</v>
      </c>
      <c r="D56" s="135">
        <f>IFERROR(('Data Schema'!C16/'Data Schema'!D16)-1,"N/A")</f>
        <v>0.13278008298755184</v>
      </c>
      <c r="E56" s="135">
        <f>IFERROR(('Data Schema'!D16/'Data Schema'!E16)-1,"N/A")</f>
        <v>0.26178010471204205</v>
      </c>
      <c r="F56" s="135">
        <f>IFERROR(('Data Schema'!E16/'Data Schema'!F16)-1,"N/A")</f>
        <v>0.34507042253521125</v>
      </c>
      <c r="G56" s="135" t="str">
        <f>IFERROR(('Data Schema'!F16/'Data Schema'!G16)-1,"N/A")</f>
        <v>N/A</v>
      </c>
      <c r="H56" s="94">
        <f>AVERAGE(C56:G56)</f>
        <v>0.24654353674493504</v>
      </c>
    </row>
    <row r="57" spans="1:8">
      <c r="A57" s="128" t="s">
        <v>485</v>
      </c>
      <c r="B57" s="676"/>
      <c r="C57" s="135" t="str">
        <f>IF(IFERROR(('Data Schema'!B19/'Data Schema'!C19)-1,"N/A")=0,"N/A",(IFERROR(('Data Schema'!B19/'Data Schema'!C19)-1,"N/A")))</f>
        <v>N/A</v>
      </c>
      <c r="D57" s="135">
        <f>IFERROR(('Data Schema'!C19/'Data Schema'!D19)-1,"N/A")</f>
        <v>9.1422152187498718E-2</v>
      </c>
      <c r="E57" s="135">
        <f>IFERROR(('Data Schema'!D19/'Data Schema'!E19)-1,"N/A")</f>
        <v>3.3375726528235061E-2</v>
      </c>
      <c r="F57" s="135">
        <f>IFERROR(('Data Schema'!E19/'Data Schema'!F19)-1,"N/A")</f>
        <v>3.7837637799808421E-2</v>
      </c>
      <c r="G57" s="135" t="str">
        <f>IFERROR(('Data Schema'!F19/'Data Schema'!G19)-1,"N/A")</f>
        <v>N/A</v>
      </c>
      <c r="H57" s="94">
        <f>AVERAGE(C57:G57)</f>
        <v>5.4211838838514069E-2</v>
      </c>
    </row>
    <row r="58" spans="1:8" ht="15" thickBot="1">
      <c r="A58" s="141" t="s">
        <v>486</v>
      </c>
      <c r="B58" s="677"/>
      <c r="C58" s="142" t="str">
        <f>IF(IFERROR(('Data Schema'!B39/'Data Schema'!C39)-1,"N/A")=0,"N/A",(IFERROR(('Data Schema'!B39/'Data Schema'!C39)-1,"N/A")))</f>
        <v>N/A</v>
      </c>
      <c r="D58" s="142">
        <f>IFERROR(('Data Schema'!C39/'Data Schema'!D39)-1,"N/A")</f>
        <v>0.7997329773030708</v>
      </c>
      <c r="E58" s="142">
        <f>IFERROR(('Data Schema'!D39/'Data Schema'!E39)-1,"N/A")</f>
        <v>0.61712846347607053</v>
      </c>
      <c r="F58" s="142">
        <f>IFERROR(('Data Schema'!E39/'Data Schema'!F39)-1,"N/A")</f>
        <v>-0.71985887096774193</v>
      </c>
      <c r="G58" s="142" t="str">
        <f>IFERROR(('Data Schema'!F39/'Data Schema'!G39)-1,"N/A")</f>
        <v>N/A</v>
      </c>
      <c r="H58" s="143">
        <f>AVERAGE(C58:G58)</f>
        <v>0.23233418993713315</v>
      </c>
    </row>
    <row r="59" spans="1:8" ht="15" thickBot="1"/>
    <row r="60" spans="1:8" ht="16.5" customHeight="1">
      <c r="A60" s="671" t="s">
        <v>487</v>
      </c>
      <c r="B60" s="678" t="s">
        <v>268</v>
      </c>
      <c r="C60" s="678" t="s">
        <v>67</v>
      </c>
      <c r="D60" s="678">
        <f>'Data Schema'!C1</f>
        <v>2026</v>
      </c>
      <c r="E60" s="678">
        <f>'Data Schema'!D1</f>
        <v>2025</v>
      </c>
      <c r="F60" s="678">
        <f>'Data Schema'!E1</f>
        <v>2024</v>
      </c>
      <c r="G60" s="678">
        <f>'Data Schema'!F1</f>
        <v>2023</v>
      </c>
      <c r="H60" s="679" t="s">
        <v>397</v>
      </c>
    </row>
    <row r="61" spans="1:8" ht="16.5" customHeight="1">
      <c r="A61" s="672" t="s">
        <v>488</v>
      </c>
      <c r="B61" s="435" t="s">
        <v>489</v>
      </c>
      <c r="C61" s="89" t="str">
        <f>IFERROR('Data Schema'!B14*(1-Calculations!C3)/('Data Schema'!B29+'Data Schema'!B31-'Data Schema'!B21),"N/A")</f>
        <v>N/A</v>
      </c>
      <c r="D61" s="89">
        <f>IFERROR('Data Schema'!C14*(1-Calculations!D3)/('Data Schema'!C29+'Data Schema'!C31-'Data Schema'!C21),"N/A")</f>
        <v>0.15001864422379119</v>
      </c>
      <c r="E61" s="89">
        <f>IFERROR('Data Schema'!D14*(1-Calculations!E3)/('Data Schema'!D29+'Data Schema'!D31-'Data Schema'!D21),"N/A")</f>
        <v>0.1495411980478395</v>
      </c>
      <c r="F61" s="89">
        <f>IFERROR('Data Schema'!E14*(1-Calculations!F3)/('Data Schema'!E29+'Data Schema'!E31-'Data Schema'!E21),"N/A")</f>
        <v>0.128625276195759</v>
      </c>
      <c r="G61" s="89">
        <f>IFERROR('Data Schema'!F14*(1-Calculations!G3)/('Data Schema'!F29+'Data Schema'!F31-'Data Schema'!F21),"N/A")</f>
        <v>9.4603158938701776E-2</v>
      </c>
      <c r="H61" s="94">
        <f>IFERROR(AVERAGE(D61:G61),"N/A")</f>
        <v>0.13069706935152287</v>
      </c>
    </row>
    <row r="62" spans="1:8">
      <c r="A62" s="672" t="s">
        <v>490</v>
      </c>
      <c r="B62" s="435" t="s">
        <v>491</v>
      </c>
      <c r="C62" s="89">
        <f>IFERROR('Data Schema'!B15/'Data Schema'!B3,"N/A")</f>
        <v>6.516182135079919E-2</v>
      </c>
      <c r="D62" s="89">
        <f>IFERROR('Data Schema'!C15/'Data Schema'!C3,"N/A")</f>
        <v>6.516182135079919E-2</v>
      </c>
      <c r="E62" s="89">
        <f>IFERROR('Data Schema'!D15/'Data Schema'!D3,"N/A")</f>
        <v>6.169005191010081E-2</v>
      </c>
      <c r="F62" s="89">
        <f>IFERROR('Data Schema'!E15/'Data Schema'!E3,"N/A")</f>
        <v>5.6137319189971072E-2</v>
      </c>
      <c r="G62" s="89">
        <f>IFERROR('Data Schema'!F15/'Data Schema'!F3,"N/A")</f>
        <v>4.9222217314559891E-2</v>
      </c>
      <c r="H62" s="94">
        <f>IFERROR(AVERAGE(D62:G62),"N/A")</f>
        <v>5.8052852441357744E-2</v>
      </c>
    </row>
    <row r="63" spans="1:8">
      <c r="A63" s="672" t="s">
        <v>92</v>
      </c>
      <c r="B63" s="435" t="s">
        <v>492</v>
      </c>
      <c r="C63" s="90" t="str">
        <f>IFERROR('Data Schema'!B21/'Data Schema'!B27,"N/A")</f>
        <v>N/A</v>
      </c>
      <c r="D63" s="90">
        <f>IFERROR('Data Schema'!C21/'Data Schema'!C27,"N/A")</f>
        <v>9.9814830323162962E-2</v>
      </c>
      <c r="E63" s="90">
        <f>IFERROR('Data Schema'!D21/'Data Schema'!D27,"N/A")</f>
        <v>9.3566222148596043E-2</v>
      </c>
      <c r="F63" s="90">
        <f>IFERROR('Data Schema'!E21/'Data Schema'!E27,"N/A")</f>
        <v>0.10676838175620841</v>
      </c>
      <c r="G63" s="90">
        <f>IFERROR('Data Schema'!F21/'Data Schema'!F27,"N/A")</f>
        <v>9.3548666999284144E-2</v>
      </c>
      <c r="H63" s="95">
        <f>IFERROR(AVERAGE(D63:G63),"N/A")</f>
        <v>9.8424525306812893E-2</v>
      </c>
    </row>
    <row r="64" spans="1:8">
      <c r="A64" s="672" t="s">
        <v>493</v>
      </c>
      <c r="B64" s="435" t="s">
        <v>494</v>
      </c>
      <c r="C64" s="89">
        <f>IFERROR(('Data Schema'!C3/'Data Schema'!F3)^(1/3)-1,"N/A")</f>
        <v>5.2722909291688769E-2</v>
      </c>
      <c r="D64" s="93"/>
      <c r="E64" s="93"/>
      <c r="F64" s="93"/>
      <c r="G64" s="93"/>
      <c r="H64" s="96"/>
    </row>
    <row r="65" spans="1:8" ht="15" thickBot="1">
      <c r="A65" s="674" t="s">
        <v>495</v>
      </c>
      <c r="B65" s="436" t="s">
        <v>496</v>
      </c>
      <c r="C65" s="97">
        <f>H55</f>
        <v>0.23581923359572743</v>
      </c>
      <c r="D65" s="44"/>
      <c r="E65" s="44"/>
      <c r="F65" s="44"/>
      <c r="G65" s="44"/>
      <c r="H65" s="98"/>
    </row>
    <row r="66" spans="1:8" ht="15" thickBot="1">
      <c r="A66" s="92"/>
      <c r="B66" s="92"/>
      <c r="C66" s="99"/>
      <c r="D66" s="99"/>
      <c r="E66" s="99"/>
      <c r="F66" s="99"/>
      <c r="G66" s="99"/>
      <c r="H66" s="120"/>
    </row>
    <row r="67" spans="1:8" ht="28.9">
      <c r="A67" s="680" t="s">
        <v>393</v>
      </c>
      <c r="B67" s="681" t="s">
        <v>497</v>
      </c>
      <c r="C67" s="681" t="s">
        <v>110</v>
      </c>
      <c r="D67" s="681" t="s">
        <v>498</v>
      </c>
      <c r="E67" s="682" t="s">
        <v>499</v>
      </c>
    </row>
    <row r="68" spans="1:8">
      <c r="A68" s="672" t="s">
        <v>113</v>
      </c>
      <c r="B68" s="86">
        <f>'Data Schema'!B44</f>
        <v>43.6</v>
      </c>
      <c r="C68" s="86">
        <f>'Data Schema'!F44</f>
        <v>27.556666666666672</v>
      </c>
      <c r="D68" s="85">
        <f t="shared" ref="D68:D73" si="2">IFERROR((B68-C68)/C68,"N/A")</f>
        <v>0.5821942663602272</v>
      </c>
      <c r="E68" s="100">
        <f>IFERROR(C68*'Data Schema'!C16,"N/A")</f>
        <v>75.229700000000008</v>
      </c>
    </row>
    <row r="69" spans="1:8">
      <c r="A69" s="672" t="s">
        <v>395</v>
      </c>
      <c r="B69" s="86">
        <f>'Data Schema'!B45</f>
        <v>40.32</v>
      </c>
      <c r="C69" s="86">
        <f>'Data Schema'!F45</f>
        <v>26.52333333333333</v>
      </c>
      <c r="D69" s="85">
        <f t="shared" si="2"/>
        <v>0.52017091868794796</v>
      </c>
      <c r="E69" s="100">
        <f>IFERROR(C69*'Data Schema'!C16,"N/A")</f>
        <v>72.408699999999996</v>
      </c>
    </row>
    <row r="70" spans="1:8">
      <c r="A70" s="672" t="s">
        <v>117</v>
      </c>
      <c r="B70" s="86">
        <f>'Data Schema'!B46</f>
        <v>63.98</v>
      </c>
      <c r="C70" s="86">
        <f>'Data Schema'!F46</f>
        <v>25.733333333333331</v>
      </c>
      <c r="D70" s="85">
        <f t="shared" si="2"/>
        <v>1.4862694300518138</v>
      </c>
      <c r="E70" s="100">
        <f>IFERROR(C70*'Data Schema'!C40/'Data Schema'!B17,"N/A")</f>
        <v>47.870672317792732</v>
      </c>
    </row>
    <row r="71" spans="1:8">
      <c r="A71" s="672" t="s">
        <v>114</v>
      </c>
      <c r="B71" s="86">
        <f>'Data Schema'!B47</f>
        <v>9.5299999999999994</v>
      </c>
      <c r="C71" s="86">
        <f>'Data Schema'!F47</f>
        <v>6.6099999999999994</v>
      </c>
      <c r="D71" s="85">
        <f t="shared" si="2"/>
        <v>0.44175491679273832</v>
      </c>
      <c r="E71" s="100">
        <f>IFERROR(C71*Calculations!D2,"N/A")</f>
        <v>88.072505960597312</v>
      </c>
    </row>
    <row r="72" spans="1:8">
      <c r="A72" s="672" t="s">
        <v>115</v>
      </c>
      <c r="B72" s="86">
        <f>'Data Schema'!B48</f>
        <v>1.34</v>
      </c>
      <c r="C72" s="86">
        <f>'Data Schema'!F48</f>
        <v>0.88</v>
      </c>
      <c r="D72" s="85">
        <f t="shared" si="2"/>
        <v>0.52272727272727282</v>
      </c>
      <c r="E72" s="100">
        <f>IFERROR(C72*'Data Schema'!C3/'Data Schema'!B17,"N/A")</f>
        <v>78.232789827973079</v>
      </c>
    </row>
    <row r="73" spans="1:8" ht="15" thickBot="1">
      <c r="A73" s="674" t="s">
        <v>18</v>
      </c>
      <c r="B73" s="101">
        <f>'Data Schema'!B49</f>
        <v>21.63</v>
      </c>
      <c r="C73" s="101">
        <f>'Data Schema'!F49</f>
        <v>16.943333333333332</v>
      </c>
      <c r="D73" s="102">
        <f t="shared" si="2"/>
        <v>0.27660830218374982</v>
      </c>
      <c r="E73" s="103">
        <f>IFERROR((C73*'Data Schema'!C15-'Data Schema'!C31+'Data Schema'!C21)/'Data Schema'!B17,"N/A")</f>
        <v>91.125111360425493</v>
      </c>
      <c r="F73" s="92"/>
      <c r="G73" s="92"/>
    </row>
    <row r="74" spans="1:8" ht="15" thickBot="1">
      <c r="A74" s="683"/>
      <c r="B74" s="121"/>
      <c r="C74" s="121"/>
      <c r="D74" s="122"/>
      <c r="E74" s="123"/>
      <c r="F74" s="92"/>
      <c r="G74" s="92"/>
    </row>
    <row r="75" spans="1:8">
      <c r="A75" s="649" t="s">
        <v>500</v>
      </c>
      <c r="B75" s="684"/>
      <c r="C75" s="685"/>
      <c r="D75" s="92"/>
      <c r="E75" s="649" t="s">
        <v>501</v>
      </c>
      <c r="F75" s="684"/>
      <c r="G75" s="685"/>
    </row>
    <row r="76" spans="1:8">
      <c r="A76" s="104" t="s">
        <v>502</v>
      </c>
      <c r="B76" s="25" t="s">
        <v>503</v>
      </c>
      <c r="C76" s="105" t="s">
        <v>504</v>
      </c>
      <c r="E76" s="104" t="s">
        <v>502</v>
      </c>
      <c r="F76" s="25" t="s">
        <v>503</v>
      </c>
      <c r="G76" s="105" t="s">
        <v>504</v>
      </c>
    </row>
    <row r="77" spans="1:8">
      <c r="A77" s="106">
        <f t="array" ref="A77:B137">_xlfn._xlws.FILTER(CHOOSE({1,2}, 'Raw Data Pasting'!E:E, 'Raw Data Pasting'!J:J), ISNUMBER('Raw Data Pasting'!J:J))</f>
        <v>46105</v>
      </c>
      <c r="B77" s="112">
        <v>123.63</v>
      </c>
      <c r="C77" s="108">
        <f t="shared" ref="C77:C108" si="3">IFERROR(LN(B77/B78),"")</f>
        <v>4.0020191431121586E-2</v>
      </c>
      <c r="E77" s="106">
        <f t="array" ref="E77:F137">_xlfn._xlws.FILTER(CHOOSE({1,2}, 'Raw Data Pasting'!M:M, 'Raw Data Pasting'!R:R), ISNUMBER('Raw Data Pasting'!R:R))</f>
        <v>46097</v>
      </c>
      <c r="F77" s="107">
        <v>668.81</v>
      </c>
      <c r="G77" s="108">
        <f t="shared" ref="G77:G108" si="4">IFERROR(LN(F77/F78),"")</f>
        <v>9.7964873326557341E-3</v>
      </c>
    </row>
    <row r="78" spans="1:8">
      <c r="A78" s="113">
        <v>46082</v>
      </c>
      <c r="B78" s="114">
        <v>118.78</v>
      </c>
      <c r="C78" s="110">
        <f t="shared" si="3"/>
        <v>-7.2332408848875568E-2</v>
      </c>
      <c r="E78" s="109">
        <v>46082</v>
      </c>
      <c r="F78" s="92">
        <v>662.29</v>
      </c>
      <c r="G78" s="110">
        <f t="shared" si="4"/>
        <v>-3.5159523880997003E-2</v>
      </c>
    </row>
    <row r="79" spans="1:8">
      <c r="A79" s="113">
        <v>46054</v>
      </c>
      <c r="B79" s="114">
        <v>127.69</v>
      </c>
      <c r="C79" s="110">
        <f t="shared" si="3"/>
        <v>7.1322647739853501E-2</v>
      </c>
      <c r="E79" s="109">
        <v>46054</v>
      </c>
      <c r="F79" s="92">
        <v>685.99</v>
      </c>
      <c r="G79" s="110">
        <f t="shared" si="4"/>
        <v>-8.6795517166015773E-3</v>
      </c>
    </row>
    <row r="80" spans="1:8">
      <c r="A80" s="113">
        <v>46023</v>
      </c>
      <c r="B80" s="114">
        <v>118.9</v>
      </c>
      <c r="C80" s="110">
        <f t="shared" si="3"/>
        <v>6.9113027690160089E-2</v>
      </c>
      <c r="E80" s="109">
        <v>46023</v>
      </c>
      <c r="F80" s="92">
        <v>691.97</v>
      </c>
      <c r="G80" s="110">
        <f t="shared" si="4"/>
        <v>1.7582165607209949E-2</v>
      </c>
    </row>
    <row r="81" spans="1:7">
      <c r="A81" s="113">
        <v>45992</v>
      </c>
      <c r="B81" s="114">
        <v>110.96</v>
      </c>
      <c r="C81" s="110">
        <f t="shared" si="3"/>
        <v>8.1441043749633235E-3</v>
      </c>
      <c r="E81" s="109">
        <v>45992</v>
      </c>
      <c r="F81" s="92">
        <v>679.91</v>
      </c>
      <c r="G81" s="110">
        <f t="shared" si="4"/>
        <v>-2.1597169910691086E-3</v>
      </c>
    </row>
    <row r="82" spans="1:7">
      <c r="A82" s="113">
        <v>45962</v>
      </c>
      <c r="B82" s="114">
        <v>110.06</v>
      </c>
      <c r="C82" s="110">
        <f t="shared" si="3"/>
        <v>8.8184979339301722E-2</v>
      </c>
      <c r="E82" s="109">
        <v>45962</v>
      </c>
      <c r="F82" s="92">
        <v>681.38</v>
      </c>
      <c r="G82" s="110">
        <f t="shared" si="4"/>
        <v>1.9538285818591983E-3</v>
      </c>
    </row>
    <row r="83" spans="1:7">
      <c r="A83" s="113">
        <v>45931</v>
      </c>
      <c r="B83" s="114">
        <v>100.77</v>
      </c>
      <c r="C83" s="110">
        <f t="shared" si="3"/>
        <v>-1.8387028015070007E-2</v>
      </c>
      <c r="E83" s="109">
        <v>45931</v>
      </c>
      <c r="F83" s="92">
        <v>680.05</v>
      </c>
      <c r="G83" s="110">
        <f t="shared" si="4"/>
        <v>2.6326915500252349E-2</v>
      </c>
    </row>
    <row r="84" spans="1:7">
      <c r="A84" s="113">
        <v>45901</v>
      </c>
      <c r="B84" s="114">
        <v>102.64</v>
      </c>
      <c r="C84" s="110">
        <f t="shared" si="3"/>
        <v>6.3136542560710482E-2</v>
      </c>
      <c r="E84" s="109">
        <v>45901</v>
      </c>
      <c r="F84" s="92">
        <v>662.38</v>
      </c>
      <c r="G84" s="110">
        <f t="shared" si="4"/>
        <v>3.2232895898083626E-2</v>
      </c>
    </row>
    <row r="85" spans="1:7">
      <c r="A85" s="113">
        <v>45870</v>
      </c>
      <c r="B85" s="114">
        <v>96.36</v>
      </c>
      <c r="C85" s="110">
        <f t="shared" si="3"/>
        <v>-1.0221554071538028E-2</v>
      </c>
      <c r="E85" s="109">
        <v>45870</v>
      </c>
      <c r="F85" s="92">
        <v>641.37</v>
      </c>
      <c r="G85" s="110">
        <f t="shared" si="4"/>
        <v>2.030230775437996E-2</v>
      </c>
    </row>
    <row r="86" spans="1:7">
      <c r="A86" s="113">
        <v>45839</v>
      </c>
      <c r="B86" s="114">
        <v>97.35</v>
      </c>
      <c r="C86" s="110">
        <f t="shared" si="3"/>
        <v>2.0565559947595671E-3</v>
      </c>
      <c r="E86" s="109">
        <v>45839</v>
      </c>
      <c r="F86" s="92">
        <v>628.48</v>
      </c>
      <c r="G86" s="110">
        <f t="shared" si="4"/>
        <v>2.5722610779039423E-2</v>
      </c>
    </row>
    <row r="87" spans="1:7">
      <c r="A87" s="113">
        <v>45809</v>
      </c>
      <c r="B87" s="114">
        <v>97.15</v>
      </c>
      <c r="C87" s="110">
        <f t="shared" si="3"/>
        <v>-7.1795180186360226E-3</v>
      </c>
      <c r="E87" s="109">
        <v>45809</v>
      </c>
      <c r="F87" s="92">
        <v>612.52</v>
      </c>
      <c r="G87" s="110">
        <f t="shared" si="4"/>
        <v>4.7167045386615584E-2</v>
      </c>
    </row>
    <row r="88" spans="1:7">
      <c r="A88" s="113">
        <v>45778</v>
      </c>
      <c r="B88" s="114">
        <v>97.85</v>
      </c>
      <c r="C88" s="110">
        <f t="shared" si="3"/>
        <v>1.5033232046208499E-2</v>
      </c>
      <c r="E88" s="109">
        <v>45778</v>
      </c>
      <c r="F88" s="92">
        <v>584.29999999999995</v>
      </c>
      <c r="G88" s="110">
        <f t="shared" si="4"/>
        <v>6.0950920125520711E-2</v>
      </c>
    </row>
    <row r="89" spans="1:7">
      <c r="A89" s="113">
        <v>45748</v>
      </c>
      <c r="B89" s="114">
        <v>96.39</v>
      </c>
      <c r="C89" s="110">
        <f t="shared" si="3"/>
        <v>0.1050262814256722</v>
      </c>
      <c r="E89" s="109">
        <v>45748</v>
      </c>
      <c r="F89" s="92">
        <v>549.75</v>
      </c>
      <c r="G89" s="110">
        <f t="shared" si="4"/>
        <v>-5.713523909016657E-3</v>
      </c>
    </row>
    <row r="90" spans="1:7">
      <c r="A90" s="113">
        <v>45717</v>
      </c>
      <c r="B90" s="114">
        <v>86.78</v>
      </c>
      <c r="C90" s="110">
        <f t="shared" si="3"/>
        <v>-0.1162710483868009</v>
      </c>
      <c r="E90" s="109">
        <v>45717</v>
      </c>
      <c r="F90" s="92">
        <v>552.9</v>
      </c>
      <c r="G90" s="110">
        <f t="shared" si="4"/>
        <v>-6.0324554458638616E-2</v>
      </c>
    </row>
    <row r="91" spans="1:7">
      <c r="A91" s="113">
        <v>45689</v>
      </c>
      <c r="B91" s="114">
        <v>97.48</v>
      </c>
      <c r="C91" s="110">
        <f t="shared" si="3"/>
        <v>4.6270197197973879E-3</v>
      </c>
      <c r="E91" s="109">
        <v>45689</v>
      </c>
      <c r="F91" s="92">
        <v>587.28</v>
      </c>
      <c r="G91" s="110">
        <f t="shared" si="4"/>
        <v>-1.2773942633286958E-2</v>
      </c>
    </row>
    <row r="92" spans="1:7">
      <c r="A92" s="113">
        <v>45658</v>
      </c>
      <c r="B92" s="114">
        <v>97.03</v>
      </c>
      <c r="C92" s="110">
        <f t="shared" si="3"/>
        <v>8.5148647412579714E-2</v>
      </c>
      <c r="E92" s="109">
        <v>45658</v>
      </c>
      <c r="F92" s="92">
        <v>594.83000000000004</v>
      </c>
      <c r="G92" s="110">
        <f t="shared" si="4"/>
        <v>2.9861623670265177E-2</v>
      </c>
    </row>
    <row r="93" spans="1:7">
      <c r="A93" s="113">
        <v>45627</v>
      </c>
      <c r="B93" s="114">
        <v>89.11</v>
      </c>
      <c r="C93" s="110">
        <f t="shared" si="3"/>
        <v>-2.3512228732754575E-2</v>
      </c>
      <c r="E93" s="109">
        <v>45627</v>
      </c>
      <c r="F93" s="92">
        <v>577.33000000000004</v>
      </c>
      <c r="G93" s="110">
        <f t="shared" si="4"/>
        <v>-2.7724277372377825E-2</v>
      </c>
    </row>
    <row r="94" spans="1:7">
      <c r="A94" s="113">
        <v>45597</v>
      </c>
      <c r="B94" s="114">
        <v>91.23</v>
      </c>
      <c r="C94" s="110">
        <f t="shared" si="3"/>
        <v>0.12103560661163</v>
      </c>
      <c r="E94" s="109">
        <v>45597</v>
      </c>
      <c r="F94" s="92">
        <v>593.55999999999995</v>
      </c>
      <c r="G94" s="110">
        <f t="shared" si="4"/>
        <v>5.793369913319342E-2</v>
      </c>
    </row>
    <row r="95" spans="1:7">
      <c r="A95" s="113">
        <v>45566</v>
      </c>
      <c r="B95" s="114">
        <v>80.83</v>
      </c>
      <c r="C95" s="110">
        <f t="shared" si="3"/>
        <v>1.4831704549757432E-2</v>
      </c>
      <c r="E95" s="109">
        <v>45566</v>
      </c>
      <c r="F95" s="92">
        <v>560.15</v>
      </c>
      <c r="G95" s="110">
        <f t="shared" si="4"/>
        <v>-5.9094883710905507E-3</v>
      </c>
    </row>
    <row r="96" spans="1:7">
      <c r="A96" s="113">
        <v>45536</v>
      </c>
      <c r="B96" s="114">
        <v>79.64</v>
      </c>
      <c r="C96" s="110">
        <f t="shared" si="3"/>
        <v>4.730959325191042E-2</v>
      </c>
      <c r="E96" s="109">
        <v>45536</v>
      </c>
      <c r="F96" s="92">
        <v>563.47</v>
      </c>
      <c r="G96" s="110">
        <f t="shared" si="4"/>
        <v>1.7725881292179713E-2</v>
      </c>
    </row>
    <row r="97" spans="1:7">
      <c r="A97" s="113">
        <v>45505</v>
      </c>
      <c r="B97" s="114">
        <v>75.959999999999994</v>
      </c>
      <c r="C97" s="110">
        <f t="shared" si="3"/>
        <v>0.11793115089030584</v>
      </c>
      <c r="E97" s="109">
        <v>45505</v>
      </c>
      <c r="F97" s="92">
        <v>553.57000000000005</v>
      </c>
      <c r="G97" s="110">
        <f t="shared" si="4"/>
        <v>2.3098331627256389E-2</v>
      </c>
    </row>
    <row r="98" spans="1:7">
      <c r="A98" s="113">
        <v>45474</v>
      </c>
      <c r="B98" s="114">
        <v>67.510000000000005</v>
      </c>
      <c r="C98" s="110">
        <f t="shared" si="3"/>
        <v>1.372131893124813E-2</v>
      </c>
      <c r="E98" s="109">
        <v>45474</v>
      </c>
      <c r="F98" s="92">
        <v>540.92999999999995</v>
      </c>
      <c r="G98" s="110">
        <f t="shared" si="4"/>
        <v>1.5256380184096011E-2</v>
      </c>
    </row>
    <row r="99" spans="1:7">
      <c r="A99" s="113">
        <v>45444</v>
      </c>
      <c r="B99" s="114">
        <v>66.59</v>
      </c>
      <c r="C99" s="110">
        <f t="shared" si="3"/>
        <v>3.2664686737334643E-2</v>
      </c>
      <c r="E99" s="109">
        <v>45444</v>
      </c>
      <c r="F99" s="92">
        <v>532.74</v>
      </c>
      <c r="G99" s="110">
        <f t="shared" si="4"/>
        <v>3.1442355997048005E-2</v>
      </c>
    </row>
    <row r="100" spans="1:7">
      <c r="A100" s="113">
        <v>45413</v>
      </c>
      <c r="B100" s="114">
        <v>64.45</v>
      </c>
      <c r="C100" s="110">
        <f t="shared" si="3"/>
        <v>0.10251997146252623</v>
      </c>
      <c r="E100" s="109">
        <v>45413</v>
      </c>
      <c r="F100" s="92">
        <v>516.25</v>
      </c>
      <c r="G100" s="110">
        <f t="shared" si="4"/>
        <v>4.9353034415578277E-2</v>
      </c>
    </row>
    <row r="101" spans="1:7">
      <c r="A101" s="113">
        <v>45383</v>
      </c>
      <c r="B101" s="114">
        <v>58.17</v>
      </c>
      <c r="C101" s="110">
        <f t="shared" si="3"/>
        <v>-1.0261762701888924E-2</v>
      </c>
      <c r="E101" s="109">
        <v>45383</v>
      </c>
      <c r="F101" s="92">
        <v>491.39</v>
      </c>
      <c r="G101" s="110">
        <f t="shared" si="4"/>
        <v>-3.8054579755360168E-2</v>
      </c>
    </row>
    <row r="102" spans="1:7">
      <c r="A102" s="113">
        <v>45352</v>
      </c>
      <c r="B102" s="114">
        <v>58.77</v>
      </c>
      <c r="C102" s="110">
        <f t="shared" si="3"/>
        <v>2.6203878190210132E-2</v>
      </c>
      <c r="E102" s="109">
        <v>45352</v>
      </c>
      <c r="F102" s="92">
        <v>510.45</v>
      </c>
      <c r="G102" s="110">
        <f t="shared" si="4"/>
        <v>2.9079731981214739E-2</v>
      </c>
    </row>
    <row r="103" spans="1:7">
      <c r="A103" s="113">
        <v>45323</v>
      </c>
      <c r="B103" s="114">
        <v>57.25</v>
      </c>
      <c r="C103" s="110">
        <f t="shared" si="3"/>
        <v>6.2154175266610365E-2</v>
      </c>
      <c r="E103" s="109">
        <v>45323</v>
      </c>
      <c r="F103" s="92">
        <v>495.82</v>
      </c>
      <c r="G103" s="110">
        <f t="shared" si="4"/>
        <v>5.0866660090507339E-2</v>
      </c>
    </row>
    <row r="104" spans="1:7">
      <c r="A104" s="113">
        <v>45292</v>
      </c>
      <c r="B104" s="114">
        <v>53.8</v>
      </c>
      <c r="C104" s="110">
        <f t="shared" si="3"/>
        <v>5.0706497304698027E-2</v>
      </c>
      <c r="E104" s="109">
        <v>45292</v>
      </c>
      <c r="F104" s="92">
        <v>471.23</v>
      </c>
      <c r="G104" s="110">
        <f t="shared" si="4"/>
        <v>1.9846343634871078E-2</v>
      </c>
    </row>
    <row r="105" spans="1:7">
      <c r="A105" s="113">
        <v>45261</v>
      </c>
      <c r="B105" s="114">
        <v>51.14</v>
      </c>
      <c r="C105" s="110">
        <f t="shared" si="3"/>
        <v>1.2593633581726431E-2</v>
      </c>
      <c r="E105" s="109">
        <v>45261</v>
      </c>
      <c r="F105" s="92">
        <v>461.97</v>
      </c>
      <c r="G105" s="110">
        <f t="shared" si="4"/>
        <v>4.0599241517692453E-2</v>
      </c>
    </row>
    <row r="106" spans="1:7">
      <c r="A106" s="113">
        <v>45231</v>
      </c>
      <c r="B106" s="114">
        <v>50.5</v>
      </c>
      <c r="C106" s="110">
        <f t="shared" si="3"/>
        <v>-4.8507238718400583E-2</v>
      </c>
      <c r="E106" s="109">
        <v>45231</v>
      </c>
      <c r="F106" s="92">
        <v>443.59</v>
      </c>
      <c r="G106" s="110">
        <f t="shared" si="4"/>
        <v>8.7415189228577855E-2</v>
      </c>
    </row>
    <row r="107" spans="1:7">
      <c r="A107" s="113">
        <v>45200</v>
      </c>
      <c r="B107" s="114">
        <v>53.01</v>
      </c>
      <c r="C107" s="110">
        <f t="shared" si="3"/>
        <v>2.1547215551471533E-2</v>
      </c>
      <c r="E107" s="109">
        <v>45200</v>
      </c>
      <c r="F107" s="92">
        <v>406.46</v>
      </c>
      <c r="G107" s="110">
        <f t="shared" si="4"/>
        <v>-1.8428758675046557E-2</v>
      </c>
    </row>
    <row r="108" spans="1:7">
      <c r="A108" s="113">
        <v>45170</v>
      </c>
      <c r="B108" s="114">
        <v>51.88</v>
      </c>
      <c r="C108" s="110">
        <f t="shared" si="3"/>
        <v>-1.3022014728111967E-2</v>
      </c>
      <c r="E108" s="109">
        <v>45170</v>
      </c>
      <c r="F108" s="92">
        <v>414.02</v>
      </c>
      <c r="G108" s="110">
        <f t="shared" si="4"/>
        <v>-5.2117793774236448E-2</v>
      </c>
    </row>
    <row r="109" spans="1:7">
      <c r="A109" s="113">
        <v>45139</v>
      </c>
      <c r="B109" s="114">
        <v>52.56</v>
      </c>
      <c r="C109" s="110">
        <f t="shared" ref="C109:C140" si="5">IFERROR(LN(B109/B110),"")</f>
        <v>1.7078031877261802E-2</v>
      </c>
      <c r="E109" s="109">
        <v>45139</v>
      </c>
      <c r="F109" s="92">
        <v>436.17</v>
      </c>
      <c r="G109" s="110">
        <f t="shared" ref="G109:G140" si="6">IFERROR(LN(F109/F110),"")</f>
        <v>-1.639511455436311E-2</v>
      </c>
    </row>
    <row r="110" spans="1:7">
      <c r="A110" s="113">
        <v>45108</v>
      </c>
      <c r="B110" s="114">
        <v>51.67</v>
      </c>
      <c r="C110" s="110">
        <f t="shared" si="5"/>
        <v>1.6784156693452606E-2</v>
      </c>
      <c r="E110" s="109">
        <v>45108</v>
      </c>
      <c r="F110" s="92">
        <v>443.38</v>
      </c>
      <c r="G110" s="110">
        <f t="shared" si="6"/>
        <v>3.5911655808215016E-2</v>
      </c>
    </row>
    <row r="111" spans="1:7">
      <c r="A111" s="113">
        <v>45078</v>
      </c>
      <c r="B111" s="114">
        <v>50.81</v>
      </c>
      <c r="C111" s="110">
        <f t="shared" si="5"/>
        <v>7.1794328949856254E-2</v>
      </c>
      <c r="E111" s="109">
        <v>45078</v>
      </c>
      <c r="F111" s="92">
        <v>427.74</v>
      </c>
      <c r="G111" s="110">
        <f t="shared" si="6"/>
        <v>5.9082817600433296E-2</v>
      </c>
    </row>
    <row r="112" spans="1:7">
      <c r="A112" s="113">
        <v>45047</v>
      </c>
      <c r="B112" s="114">
        <v>47.29</v>
      </c>
      <c r="C112" s="110">
        <f t="shared" si="5"/>
        <v>-2.7530414401579748E-2</v>
      </c>
      <c r="E112" s="109">
        <v>45047</v>
      </c>
      <c r="F112" s="92">
        <v>403.2</v>
      </c>
      <c r="G112" s="110">
        <f t="shared" si="6"/>
        <v>4.5988521795729716E-3</v>
      </c>
    </row>
    <row r="113" spans="1:7">
      <c r="A113" s="113">
        <v>45017</v>
      </c>
      <c r="B113" s="114">
        <v>48.61</v>
      </c>
      <c r="C113" s="110">
        <f t="shared" si="5"/>
        <v>2.7530414401579658E-2</v>
      </c>
      <c r="E113" s="109">
        <v>45017</v>
      </c>
      <c r="F113" s="92">
        <v>401.35</v>
      </c>
      <c r="G113" s="110">
        <f t="shared" si="6"/>
        <v>1.9676560744334142E-2</v>
      </c>
    </row>
    <row r="114" spans="1:7">
      <c r="A114" s="113">
        <v>44986</v>
      </c>
      <c r="B114" s="114">
        <v>47.29</v>
      </c>
      <c r="C114" s="110">
        <f t="shared" si="5"/>
        <v>3.6829832838246125E-2</v>
      </c>
      <c r="E114" s="109">
        <v>44986</v>
      </c>
      <c r="F114" s="92">
        <v>393.53</v>
      </c>
      <c r="G114" s="110">
        <f t="shared" si="6"/>
        <v>3.2594177083441866E-2</v>
      </c>
    </row>
    <row r="115" spans="1:7">
      <c r="A115" s="113">
        <v>44958</v>
      </c>
      <c r="B115" s="114">
        <v>45.58</v>
      </c>
      <c r="C115" s="110">
        <f t="shared" si="5"/>
        <v>-1.2211228928069463E-2</v>
      </c>
      <c r="E115" s="109">
        <v>44958</v>
      </c>
      <c r="F115" s="92">
        <v>380.91</v>
      </c>
      <c r="G115" s="110">
        <f t="shared" si="6"/>
        <v>-2.5479250413679655E-2</v>
      </c>
    </row>
    <row r="116" spans="1:7">
      <c r="A116" s="113">
        <v>44927</v>
      </c>
      <c r="B116" s="114">
        <v>46.14</v>
      </c>
      <c r="C116" s="110">
        <f t="shared" si="5"/>
        <v>1.8373220256619322E-2</v>
      </c>
      <c r="E116" s="109">
        <v>44927</v>
      </c>
      <c r="F116" s="92">
        <v>390.74</v>
      </c>
      <c r="G116" s="110">
        <f t="shared" si="6"/>
        <v>6.5572991627069574E-2</v>
      </c>
    </row>
    <row r="117" spans="1:7">
      <c r="A117" s="113">
        <v>44896</v>
      </c>
      <c r="B117" s="114">
        <v>45.3</v>
      </c>
      <c r="C117" s="110">
        <f t="shared" si="5"/>
        <v>-7.2371997599555926E-2</v>
      </c>
      <c r="E117" s="109">
        <v>44896</v>
      </c>
      <c r="F117" s="92">
        <v>365.94</v>
      </c>
      <c r="G117" s="110">
        <f t="shared" si="6"/>
        <v>-6.3933730976190942E-2</v>
      </c>
    </row>
    <row r="118" spans="1:7">
      <c r="A118" s="113">
        <v>44866</v>
      </c>
      <c r="B118" s="114">
        <v>48.7</v>
      </c>
      <c r="C118" s="110">
        <f t="shared" si="5"/>
        <v>6.8626262251625006E-2</v>
      </c>
      <c r="E118" s="109">
        <v>44866</v>
      </c>
      <c r="F118" s="92">
        <v>390.1</v>
      </c>
      <c r="G118" s="110">
        <f t="shared" si="6"/>
        <v>5.411706728171517E-2</v>
      </c>
    </row>
    <row r="119" spans="1:7">
      <c r="A119" s="113">
        <v>44835</v>
      </c>
      <c r="B119" s="114">
        <v>45.47</v>
      </c>
      <c r="C119" s="110">
        <f t="shared" si="5"/>
        <v>9.2806169885691514E-2</v>
      </c>
      <c r="E119" s="109">
        <v>44835</v>
      </c>
      <c r="F119" s="92">
        <v>369.55</v>
      </c>
      <c r="G119" s="110">
        <f t="shared" si="6"/>
        <v>8.2223408664364908E-2</v>
      </c>
    </row>
    <row r="120" spans="1:7">
      <c r="A120" s="113">
        <v>44805</v>
      </c>
      <c r="B120" s="114">
        <v>41.44</v>
      </c>
      <c r="C120" s="110">
        <f t="shared" si="5"/>
        <v>-1.7462469807241022E-2</v>
      </c>
      <c r="E120" s="109">
        <v>44805</v>
      </c>
      <c r="F120" s="92">
        <v>340.38</v>
      </c>
      <c r="G120" s="110">
        <f t="shared" si="6"/>
        <v>-0.1010944219316959</v>
      </c>
    </row>
    <row r="121" spans="1:7">
      <c r="A121" s="113">
        <v>44774</v>
      </c>
      <c r="B121" s="114">
        <v>42.17</v>
      </c>
      <c r="C121" s="110">
        <f t="shared" si="5"/>
        <v>3.8013825771779277E-3</v>
      </c>
      <c r="E121" s="109">
        <v>44774</v>
      </c>
      <c r="F121" s="92">
        <v>376.59</v>
      </c>
      <c r="G121" s="110">
        <f t="shared" si="6"/>
        <v>-4.1659690237272326E-2</v>
      </c>
    </row>
    <row r="122" spans="1:7">
      <c r="A122" s="113">
        <v>44743</v>
      </c>
      <c r="B122" s="114">
        <v>42.01</v>
      </c>
      <c r="C122" s="110">
        <f t="shared" si="5"/>
        <v>8.2585014596197118E-2</v>
      </c>
      <c r="E122" s="109">
        <v>44743</v>
      </c>
      <c r="F122" s="92">
        <v>392.61</v>
      </c>
      <c r="G122" s="110">
        <f t="shared" si="6"/>
        <v>9.2395504420841476E-2</v>
      </c>
    </row>
    <row r="123" spans="1:7">
      <c r="A123" s="113">
        <v>44713</v>
      </c>
      <c r="B123" s="114">
        <v>38.68</v>
      </c>
      <c r="C123" s="110">
        <f t="shared" si="5"/>
        <v>-5.2623846246068529E-2</v>
      </c>
      <c r="E123" s="109">
        <v>44713</v>
      </c>
      <c r="F123" s="92">
        <v>357.96</v>
      </c>
      <c r="G123" s="110">
        <f t="shared" si="6"/>
        <v>-9.0355780096206748E-2</v>
      </c>
    </row>
    <row r="124" spans="1:7">
      <c r="A124" s="113">
        <v>44682</v>
      </c>
      <c r="B124" s="114">
        <v>40.770000000000003</v>
      </c>
      <c r="C124" s="110">
        <f t="shared" si="5"/>
        <v>-0.17341107428609889</v>
      </c>
      <c r="E124" s="109">
        <v>44682</v>
      </c>
      <c r="F124" s="92">
        <v>391.81</v>
      </c>
      <c r="G124" s="110">
        <f t="shared" si="6"/>
        <v>2.2485125859397857E-3</v>
      </c>
    </row>
    <row r="125" spans="1:7">
      <c r="A125" s="113">
        <v>44652</v>
      </c>
      <c r="B125" s="114">
        <v>48.49</v>
      </c>
      <c r="C125" s="110">
        <f t="shared" si="5"/>
        <v>3.0784548005337458E-2</v>
      </c>
      <c r="E125" s="109">
        <v>44652</v>
      </c>
      <c r="F125" s="92">
        <v>390.93</v>
      </c>
      <c r="G125" s="110">
        <f t="shared" si="6"/>
        <v>-8.8770587204604443E-2</v>
      </c>
    </row>
    <row r="126" spans="1:7">
      <c r="A126" s="113">
        <v>44621</v>
      </c>
      <c r="B126" s="114">
        <v>47.02</v>
      </c>
      <c r="C126" s="110">
        <f t="shared" si="5"/>
        <v>9.684261667837088E-2</v>
      </c>
      <c r="E126" s="109">
        <v>44621</v>
      </c>
      <c r="F126" s="92">
        <v>427.22</v>
      </c>
      <c r="G126" s="110">
        <f t="shared" si="6"/>
        <v>3.3803085090883193E-2</v>
      </c>
    </row>
    <row r="127" spans="1:7">
      <c r="A127" s="113">
        <v>44593</v>
      </c>
      <c r="B127" s="114">
        <v>42.68</v>
      </c>
      <c r="C127" s="110">
        <f t="shared" si="5"/>
        <v>-3.3635974395037752E-2</v>
      </c>
      <c r="E127" s="109">
        <v>44593</v>
      </c>
      <c r="F127" s="92">
        <v>413.02</v>
      </c>
      <c r="G127" s="110">
        <f t="shared" si="6"/>
        <v>-2.9956926503404695E-2</v>
      </c>
    </row>
    <row r="128" spans="1:7">
      <c r="A128" s="113">
        <v>44562</v>
      </c>
      <c r="B128" s="114">
        <v>44.14</v>
      </c>
      <c r="C128" s="110">
        <f t="shared" si="5"/>
        <v>-3.0345925128314372E-2</v>
      </c>
      <c r="E128" s="109">
        <v>44562</v>
      </c>
      <c r="F128" s="92">
        <v>425.58</v>
      </c>
      <c r="G128" s="110">
        <f t="shared" si="6"/>
        <v>-5.0670420804869505E-2</v>
      </c>
    </row>
    <row r="129" spans="1:7">
      <c r="A129" s="113">
        <v>44531</v>
      </c>
      <c r="B129" s="114">
        <v>45.5</v>
      </c>
      <c r="C129" s="110">
        <f t="shared" si="5"/>
        <v>2.8535150527604584E-2</v>
      </c>
      <c r="E129" s="109">
        <v>44531</v>
      </c>
      <c r="F129" s="92">
        <v>447.7</v>
      </c>
      <c r="G129" s="110">
        <f t="shared" si="6"/>
        <v>4.1711191764138837E-2</v>
      </c>
    </row>
    <row r="130" spans="1:7">
      <c r="A130" s="113">
        <v>44501</v>
      </c>
      <c r="B130" s="114">
        <v>44.22</v>
      </c>
      <c r="C130" s="110">
        <f t="shared" si="5"/>
        <v>-6.0757637685424144E-2</v>
      </c>
      <c r="E130" s="109">
        <v>44501</v>
      </c>
      <c r="F130" s="92">
        <v>429.41</v>
      </c>
      <c r="G130" s="110">
        <f t="shared" si="6"/>
        <v>-8.0714806752441824E-3</v>
      </c>
    </row>
    <row r="131" spans="1:7">
      <c r="A131" s="113">
        <v>44470</v>
      </c>
      <c r="B131" s="114">
        <v>46.99</v>
      </c>
      <c r="C131" s="110">
        <f t="shared" si="5"/>
        <v>6.9616298684006622E-2</v>
      </c>
      <c r="E131" s="109">
        <v>44470</v>
      </c>
      <c r="F131" s="92">
        <v>432.89</v>
      </c>
      <c r="G131" s="110">
        <f t="shared" si="6"/>
        <v>7.1001335456459841E-2</v>
      </c>
    </row>
    <row r="132" spans="1:7">
      <c r="A132" s="113">
        <v>44440</v>
      </c>
      <c r="B132" s="114">
        <v>43.83</v>
      </c>
      <c r="C132" s="110">
        <f t="shared" si="5"/>
        <v>-5.6980944801491823E-2</v>
      </c>
      <c r="E132" s="109">
        <v>44440</v>
      </c>
      <c r="F132" s="92">
        <v>403.22</v>
      </c>
      <c r="G132" s="110">
        <f t="shared" si="6"/>
        <v>-5.0911295935704044E-2</v>
      </c>
    </row>
    <row r="133" spans="1:7">
      <c r="A133" s="113">
        <v>44409</v>
      </c>
      <c r="B133" s="114">
        <v>46.4</v>
      </c>
      <c r="C133" s="110">
        <f t="shared" si="5"/>
        <v>3.8221212820197879E-2</v>
      </c>
      <c r="E133" s="109">
        <v>44409</v>
      </c>
      <c r="F133" s="92">
        <v>424.28</v>
      </c>
      <c r="G133" s="110">
        <f t="shared" si="6"/>
        <v>2.9321722776629439E-2</v>
      </c>
    </row>
    <row r="134" spans="1:7">
      <c r="A134" s="109">
        <v>44378</v>
      </c>
      <c r="B134" s="114">
        <v>44.66</v>
      </c>
      <c r="C134" s="110">
        <f t="shared" si="5"/>
        <v>1.080604842004056E-2</v>
      </c>
      <c r="E134" s="109">
        <v>44378</v>
      </c>
      <c r="F134" s="92">
        <v>412.02</v>
      </c>
      <c r="G134" s="110">
        <f t="shared" si="6"/>
        <v>2.7384816399560728E-2</v>
      </c>
    </row>
    <row r="135" spans="1:7">
      <c r="A135" s="109">
        <v>44348</v>
      </c>
      <c r="B135" s="114">
        <v>44.18</v>
      </c>
      <c r="C135" s="110">
        <f t="shared" si="5"/>
        <v>-3.3894507649910141E-3</v>
      </c>
      <c r="E135" s="109">
        <v>44348</v>
      </c>
      <c r="F135" s="92">
        <v>400.89</v>
      </c>
      <c r="G135" s="110">
        <f t="shared" si="6"/>
        <v>1.8911009639332593E-2</v>
      </c>
    </row>
    <row r="136" spans="1:7">
      <c r="A136" s="109">
        <v>44317</v>
      </c>
      <c r="B136" s="114">
        <v>44.33</v>
      </c>
      <c r="C136" s="110">
        <f t="shared" si="5"/>
        <v>1.5000281259492598E-2</v>
      </c>
      <c r="E136" s="109">
        <v>44317</v>
      </c>
      <c r="F136" s="92">
        <v>393.38</v>
      </c>
      <c r="G136" s="110">
        <f t="shared" si="6"/>
        <v>6.5289698899492765E-3</v>
      </c>
    </row>
    <row r="137" spans="1:7">
      <c r="A137" s="109">
        <v>44287</v>
      </c>
      <c r="B137" s="114">
        <v>43.67</v>
      </c>
      <c r="C137" s="110" t="str">
        <f t="shared" si="5"/>
        <v/>
      </c>
      <c r="E137" s="109">
        <v>44287</v>
      </c>
      <c r="F137" s="92">
        <v>390.82</v>
      </c>
      <c r="G137" s="110" t="str">
        <f t="shared" si="6"/>
        <v/>
      </c>
    </row>
    <row r="138" spans="1:7" ht="15" thickBot="1">
      <c r="A138" s="115"/>
      <c r="B138" s="116"/>
      <c r="C138" s="111" t="str">
        <f t="shared" si="5"/>
        <v/>
      </c>
      <c r="E138" s="28"/>
      <c r="F138" s="74"/>
      <c r="G138" s="111" t="str">
        <f t="shared" si="6"/>
        <v/>
      </c>
    </row>
    <row r="139" spans="1:7">
      <c r="C139" s="20" t="str">
        <f t="shared" si="5"/>
        <v/>
      </c>
      <c r="G139" s="20" t="str">
        <f t="shared" si="6"/>
        <v/>
      </c>
    </row>
    <row r="140" spans="1:7">
      <c r="C140" s="20" t="str">
        <f t="shared" si="5"/>
        <v/>
      </c>
      <c r="G140" s="20" t="str">
        <f t="shared" si="6"/>
        <v/>
      </c>
    </row>
    <row r="141" spans="1:7">
      <c r="C141" s="20" t="str">
        <f t="shared" ref="C141:C147" si="7">IFERROR(LN(B141/B142),"")</f>
        <v/>
      </c>
      <c r="G141" s="20" t="str">
        <f t="shared" ref="G141:G146" si="8">IFERROR(LN(F141/F142),"")</f>
        <v/>
      </c>
    </row>
    <row r="142" spans="1:7">
      <c r="C142" s="20" t="str">
        <f t="shared" si="7"/>
        <v/>
      </c>
      <c r="G142" s="20" t="str">
        <f t="shared" si="8"/>
        <v/>
      </c>
    </row>
    <row r="143" spans="1:7">
      <c r="C143" s="20" t="str">
        <f t="shared" si="7"/>
        <v/>
      </c>
      <c r="D143" s="11"/>
      <c r="E143" s="4"/>
      <c r="F143" s="11"/>
      <c r="G143" s="20" t="str">
        <f t="shared" si="8"/>
        <v/>
      </c>
    </row>
    <row r="144" spans="1:7">
      <c r="C144" s="20" t="str">
        <f t="shared" si="7"/>
        <v/>
      </c>
      <c r="E144" s="4"/>
      <c r="F144" s="11"/>
      <c r="G144" s="20" t="str">
        <f t="shared" si="8"/>
        <v/>
      </c>
    </row>
    <row r="145" spans="3:7">
      <c r="C145" s="20" t="str">
        <f t="shared" si="7"/>
        <v/>
      </c>
      <c r="D145" s="11"/>
      <c r="E145" s="4"/>
      <c r="F145" s="11"/>
      <c r="G145" s="20" t="str">
        <f t="shared" si="8"/>
        <v/>
      </c>
    </row>
    <row r="146" spans="3:7">
      <c r="C146" s="20" t="str">
        <f t="shared" si="7"/>
        <v/>
      </c>
      <c r="D146" s="11"/>
      <c r="E146" s="4"/>
      <c r="F146" s="11"/>
      <c r="G146" s="20" t="str">
        <f t="shared" si="8"/>
        <v/>
      </c>
    </row>
    <row r="147" spans="3:7">
      <c r="C147" s="20" t="str">
        <f t="shared" si="7"/>
        <v/>
      </c>
      <c r="D147" s="11"/>
      <c r="E147" s="4"/>
      <c r="F147" s="11"/>
    </row>
  </sheetData>
  <mergeCells count="3">
    <mergeCell ref="A75:C75"/>
    <mergeCell ref="B54:B58"/>
    <mergeCell ref="E75:G75"/>
  </mergeCells>
  <pageMargins left="0.7" right="0.7" top="0.75" bottom="0.75" header="0.3" footer="0.3"/>
  <pageSetup orientation="portrait"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37"/>
  <sheetViews>
    <sheetView topLeftCell="D1" zoomScaleNormal="100" workbookViewId="0">
      <selection activeCell="O5" sqref="O5"/>
    </sheetView>
  </sheetViews>
  <sheetFormatPr defaultRowHeight="14.45"/>
  <cols>
    <col min="1" max="1" width="52" bestFit="1" customWidth="1"/>
    <col min="2" max="2" width="47" bestFit="1" customWidth="1"/>
    <col min="3" max="3" width="40.28515625" bestFit="1" customWidth="1"/>
    <col min="4" max="4" width="9.5703125" style="175" bestFit="1" customWidth="1"/>
    <col min="5" max="5" width="9.5703125" bestFit="1" customWidth="1"/>
    <col min="10" max="11" width="9.7109375" bestFit="1" customWidth="1"/>
    <col min="12" max="12" width="9.7109375" style="175" bestFit="1" customWidth="1"/>
    <col min="13" max="13" width="11.7109375" customWidth="1"/>
    <col min="17" max="17" width="8.7109375" style="2" bestFit="1" customWidth="1"/>
    <col min="19" max="19" width="12.28515625" bestFit="1" customWidth="1"/>
    <col min="20" max="20" width="8.7109375" style="175"/>
    <col min="25" max="25" width="23.7109375" bestFit="1" customWidth="1"/>
    <col min="26" max="26" width="8.7109375" style="175"/>
  </cols>
  <sheetData>
    <row r="1" spans="1:33">
      <c r="A1" s="434" t="s">
        <v>505</v>
      </c>
      <c r="B1" s="419" t="s">
        <v>506</v>
      </c>
      <c r="C1" s="419" t="s">
        <v>507</v>
      </c>
      <c r="E1" s="52" t="s">
        <v>508</v>
      </c>
      <c r="F1" s="52"/>
      <c r="G1" s="52"/>
      <c r="H1" s="52"/>
      <c r="I1" s="52"/>
      <c r="J1" s="52" t="s">
        <v>509</v>
      </c>
      <c r="K1" s="52"/>
      <c r="M1" s="52" t="s">
        <v>510</v>
      </c>
      <c r="N1" s="52"/>
      <c r="O1" s="52"/>
      <c r="P1" s="52"/>
      <c r="Q1" s="420"/>
      <c r="R1" s="52"/>
      <c r="S1" s="52"/>
      <c r="U1" s="52" t="s">
        <v>511</v>
      </c>
      <c r="V1" s="52"/>
      <c r="W1" s="52"/>
      <c r="X1" s="52"/>
      <c r="Y1" s="52"/>
      <c r="AA1" s="52" t="s">
        <v>512</v>
      </c>
      <c r="AB1" s="52"/>
      <c r="AC1" s="52"/>
      <c r="AD1" s="52"/>
      <c r="AE1" s="52"/>
      <c r="AF1" s="52"/>
      <c r="AG1" s="52"/>
    </row>
    <row r="2" spans="1:33">
      <c r="A2" s="59" t="s">
        <v>513</v>
      </c>
      <c r="B2" s="59" t="s">
        <v>513</v>
      </c>
      <c r="C2" s="59" t="s">
        <v>513</v>
      </c>
      <c r="E2" t="s">
        <v>502</v>
      </c>
      <c r="F2" t="s">
        <v>514</v>
      </c>
      <c r="G2" t="s">
        <v>174</v>
      </c>
      <c r="H2" t="s">
        <v>171</v>
      </c>
      <c r="I2" t="s">
        <v>515</v>
      </c>
      <c r="J2" s="2" t="s">
        <v>516</v>
      </c>
      <c r="K2" t="s">
        <v>517</v>
      </c>
      <c r="M2" t="s">
        <v>502</v>
      </c>
      <c r="N2" t="s">
        <v>514</v>
      </c>
      <c r="O2" t="s">
        <v>174</v>
      </c>
      <c r="P2" t="s">
        <v>171</v>
      </c>
      <c r="Q2" s="2" t="s">
        <v>515</v>
      </c>
      <c r="R2" t="s">
        <v>516</v>
      </c>
      <c r="S2" t="s">
        <v>517</v>
      </c>
      <c r="U2" s="75" t="s">
        <v>518</v>
      </c>
      <c r="V2" s="58"/>
      <c r="W2" s="58"/>
      <c r="X2" s="58"/>
      <c r="Y2" s="58"/>
      <c r="AA2" s="81" t="s">
        <v>519</v>
      </c>
      <c r="AB2" s="82">
        <v>46053</v>
      </c>
      <c r="AC2" s="83">
        <v>45961</v>
      </c>
      <c r="AD2" s="82">
        <v>45869</v>
      </c>
      <c r="AE2" s="83">
        <v>45777</v>
      </c>
      <c r="AF2" s="82">
        <v>45688</v>
      </c>
      <c r="AG2" s="80"/>
    </row>
    <row r="3" spans="1:33" ht="43.5" customHeight="1">
      <c r="A3" s="60" t="s">
        <v>67</v>
      </c>
      <c r="B3" s="61">
        <v>46053</v>
      </c>
      <c r="C3" s="60" t="s">
        <v>67</v>
      </c>
      <c r="E3" s="12" t="s">
        <v>502</v>
      </c>
      <c r="F3" s="13" t="s">
        <v>514</v>
      </c>
      <c r="G3" s="13" t="s">
        <v>174</v>
      </c>
      <c r="H3" s="13" t="s">
        <v>171</v>
      </c>
      <c r="I3" s="13" t="s">
        <v>515</v>
      </c>
      <c r="J3" s="13" t="s">
        <v>516</v>
      </c>
      <c r="K3" s="13" t="s">
        <v>517</v>
      </c>
      <c r="M3" s="3">
        <v>46097</v>
      </c>
      <c r="N3">
        <v>669.27</v>
      </c>
      <c r="O3">
        <v>669.08</v>
      </c>
      <c r="P3">
        <v>667.69</v>
      </c>
      <c r="Q3" s="2">
        <v>668.81</v>
      </c>
      <c r="R3">
        <v>668.81</v>
      </c>
      <c r="S3" s="1">
        <v>6197383</v>
      </c>
      <c r="U3" s="76" t="s">
        <v>520</v>
      </c>
      <c r="V3" s="58" t="s">
        <v>521</v>
      </c>
      <c r="W3" s="58" t="s">
        <v>522</v>
      </c>
      <c r="X3" s="58" t="s">
        <v>523</v>
      </c>
      <c r="Y3" s="58" t="s">
        <v>524</v>
      </c>
      <c r="AA3" s="84" t="s">
        <v>525</v>
      </c>
      <c r="AB3" s="81" t="s">
        <v>526</v>
      </c>
      <c r="AC3" s="18" t="s">
        <v>527</v>
      </c>
      <c r="AD3" s="81" t="s">
        <v>528</v>
      </c>
      <c r="AE3" s="18" t="s">
        <v>529</v>
      </c>
      <c r="AF3" s="81" t="s">
        <v>530</v>
      </c>
      <c r="AG3" s="18" t="s">
        <v>531</v>
      </c>
    </row>
    <row r="4" spans="1:33">
      <c r="A4" s="61">
        <v>46053</v>
      </c>
      <c r="B4" s="61">
        <v>45688</v>
      </c>
      <c r="C4" s="61">
        <v>46053</v>
      </c>
      <c r="E4" s="14">
        <v>46105</v>
      </c>
      <c r="F4" s="15">
        <v>120.63</v>
      </c>
      <c r="G4" s="15">
        <v>124.11</v>
      </c>
      <c r="H4" s="15">
        <v>120.5</v>
      </c>
      <c r="I4" s="15">
        <v>123.63</v>
      </c>
      <c r="J4" s="15">
        <v>123.63</v>
      </c>
      <c r="K4" s="16">
        <v>7857448</v>
      </c>
      <c r="M4" s="3">
        <v>46082</v>
      </c>
      <c r="N4">
        <v>678.7</v>
      </c>
      <c r="O4">
        <v>688.62</v>
      </c>
      <c r="P4">
        <v>661.36</v>
      </c>
      <c r="Q4" s="2">
        <v>662.29</v>
      </c>
      <c r="R4">
        <v>662.29</v>
      </c>
      <c r="S4" s="1">
        <v>937358000</v>
      </c>
      <c r="U4" s="77"/>
      <c r="V4" s="58" t="s">
        <v>532</v>
      </c>
      <c r="W4" s="58" t="s">
        <v>533</v>
      </c>
      <c r="X4" s="58" t="s">
        <v>534</v>
      </c>
      <c r="Y4" s="58" t="s">
        <v>535</v>
      </c>
      <c r="AA4" s="84" t="s">
        <v>536</v>
      </c>
      <c r="AB4" s="81" t="s">
        <v>537</v>
      </c>
      <c r="AC4" s="18" t="s">
        <v>538</v>
      </c>
      <c r="AD4" s="81" t="s">
        <v>539</v>
      </c>
      <c r="AE4" s="18" t="s">
        <v>540</v>
      </c>
      <c r="AF4" s="81" t="s">
        <v>541</v>
      </c>
      <c r="AG4" s="18" t="s">
        <v>542</v>
      </c>
    </row>
    <row r="5" spans="1:33" ht="27" customHeight="1">
      <c r="A5" s="61">
        <v>45688</v>
      </c>
      <c r="B5" s="61">
        <v>45322</v>
      </c>
      <c r="C5" s="61">
        <v>45688</v>
      </c>
      <c r="E5" s="17">
        <v>46101</v>
      </c>
      <c r="F5" s="651" t="s">
        <v>543</v>
      </c>
      <c r="G5" s="686"/>
      <c r="H5" s="686"/>
      <c r="I5" s="686"/>
      <c r="J5" s="686"/>
      <c r="K5" s="686"/>
      <c r="M5" s="3">
        <v>46054</v>
      </c>
      <c r="N5">
        <v>689.58</v>
      </c>
      <c r="O5">
        <v>697.14</v>
      </c>
      <c r="P5">
        <v>675.78</v>
      </c>
      <c r="Q5" s="2">
        <v>685.99</v>
      </c>
      <c r="R5">
        <v>685.99</v>
      </c>
      <c r="S5" s="1">
        <v>1614970000</v>
      </c>
      <c r="U5" s="78" t="s">
        <v>544</v>
      </c>
      <c r="V5" s="58">
        <v>43.6</v>
      </c>
      <c r="W5" s="58">
        <v>50.56</v>
      </c>
      <c r="X5" s="58">
        <v>13.93</v>
      </c>
      <c r="Y5" s="58">
        <v>18.18</v>
      </c>
      <c r="AA5" s="84" t="s">
        <v>545</v>
      </c>
      <c r="AB5" s="81">
        <v>38.380000000000003</v>
      </c>
      <c r="AC5" s="18">
        <v>41.66</v>
      </c>
      <c r="AD5" s="81">
        <v>38.18</v>
      </c>
      <c r="AE5" s="18">
        <v>41.87</v>
      </c>
      <c r="AF5" s="81">
        <v>40.35</v>
      </c>
      <c r="AG5" s="18">
        <v>40.56</v>
      </c>
    </row>
    <row r="6" spans="1:33" ht="36" customHeight="1">
      <c r="A6" s="61">
        <v>45322</v>
      </c>
      <c r="B6" s="61">
        <v>44957</v>
      </c>
      <c r="C6" s="61">
        <v>45322</v>
      </c>
      <c r="E6" s="14">
        <v>46082</v>
      </c>
      <c r="F6" s="15">
        <v>127.46</v>
      </c>
      <c r="G6" s="15">
        <v>128.75</v>
      </c>
      <c r="H6" s="15">
        <v>118.02</v>
      </c>
      <c r="I6" s="15">
        <v>119.02</v>
      </c>
      <c r="J6" s="15">
        <v>118.78</v>
      </c>
      <c r="K6" s="16">
        <v>329012500</v>
      </c>
      <c r="M6" s="3">
        <v>46023</v>
      </c>
      <c r="N6">
        <v>685.71</v>
      </c>
      <c r="O6">
        <v>697.84</v>
      </c>
      <c r="P6">
        <v>676.57</v>
      </c>
      <c r="Q6" s="2">
        <v>691.97</v>
      </c>
      <c r="R6">
        <v>691.97</v>
      </c>
      <c r="S6" s="1">
        <v>1600537800</v>
      </c>
      <c r="U6" s="79" t="s">
        <v>546</v>
      </c>
      <c r="V6" s="58">
        <v>40.32</v>
      </c>
      <c r="W6" s="58">
        <v>48.08</v>
      </c>
      <c r="X6" s="58">
        <v>14.16</v>
      </c>
      <c r="Y6" s="58">
        <v>17.329999999999998</v>
      </c>
      <c r="AA6" s="84" t="s">
        <v>395</v>
      </c>
      <c r="AB6" s="81">
        <v>33.67</v>
      </c>
      <c r="AC6" s="18">
        <v>39.22</v>
      </c>
      <c r="AD6" s="81">
        <v>33.56</v>
      </c>
      <c r="AE6" s="18">
        <v>37.590000000000003</v>
      </c>
      <c r="AF6" s="81">
        <v>36.9</v>
      </c>
      <c r="AG6" s="18">
        <v>35.590000000000003</v>
      </c>
    </row>
    <row r="7" spans="1:33" ht="36" customHeight="1">
      <c r="A7" s="61">
        <v>44957</v>
      </c>
      <c r="B7" s="62" t="s">
        <v>75</v>
      </c>
      <c r="C7" s="61">
        <v>44957</v>
      </c>
      <c r="E7" s="17">
        <v>46054</v>
      </c>
      <c r="F7" s="18">
        <v>119.5</v>
      </c>
      <c r="G7" s="18">
        <v>134.69</v>
      </c>
      <c r="H7" s="18">
        <v>119.05</v>
      </c>
      <c r="I7" s="18">
        <v>127.95</v>
      </c>
      <c r="J7" s="18">
        <v>127.69</v>
      </c>
      <c r="K7" s="19">
        <v>540115800</v>
      </c>
      <c r="M7" s="3">
        <v>46010</v>
      </c>
      <c r="N7" t="s">
        <v>547</v>
      </c>
      <c r="U7" s="78" t="s">
        <v>548</v>
      </c>
      <c r="V7" s="58">
        <v>63.98</v>
      </c>
      <c r="W7" s="58">
        <v>47.51</v>
      </c>
      <c r="X7" s="58">
        <v>18.2</v>
      </c>
      <c r="Y7" s="58">
        <v>11.49</v>
      </c>
      <c r="AA7" s="84" t="s">
        <v>549</v>
      </c>
      <c r="AB7" s="81">
        <v>3.37</v>
      </c>
      <c r="AC7" s="18">
        <v>4.33</v>
      </c>
      <c r="AD7" s="81">
        <v>3.92</v>
      </c>
      <c r="AE7" s="18">
        <v>3.75</v>
      </c>
      <c r="AF7" s="81">
        <v>3.86</v>
      </c>
      <c r="AG7" s="18">
        <v>2.96</v>
      </c>
    </row>
    <row r="8" spans="1:33" ht="36" customHeight="1">
      <c r="A8" s="62" t="s">
        <v>550</v>
      </c>
      <c r="B8" s="63">
        <v>284668000</v>
      </c>
      <c r="C8" s="62" t="s">
        <v>388</v>
      </c>
      <c r="E8" s="14">
        <v>46023</v>
      </c>
      <c r="F8" s="15">
        <v>111.43</v>
      </c>
      <c r="G8" s="15">
        <v>121.62</v>
      </c>
      <c r="H8" s="15">
        <v>109.81</v>
      </c>
      <c r="I8" s="15">
        <v>119.14</v>
      </c>
      <c r="J8" s="15">
        <v>118.9</v>
      </c>
      <c r="K8" s="16">
        <v>909083600</v>
      </c>
      <c r="M8" s="3">
        <v>45992</v>
      </c>
      <c r="N8">
        <v>678.81</v>
      </c>
      <c r="O8">
        <v>691.66</v>
      </c>
      <c r="P8">
        <v>671.2</v>
      </c>
      <c r="Q8" s="2">
        <v>681.92</v>
      </c>
      <c r="R8">
        <v>679.91</v>
      </c>
      <c r="S8" s="1">
        <v>1656188700</v>
      </c>
      <c r="U8" s="79" t="s">
        <v>551</v>
      </c>
      <c r="V8" s="58">
        <v>9.5299999999999994</v>
      </c>
      <c r="W8" s="58">
        <v>13.44</v>
      </c>
      <c r="X8" s="58">
        <v>3.17</v>
      </c>
      <c r="Y8" s="58">
        <v>3.22</v>
      </c>
      <c r="AA8" s="84" t="s">
        <v>552</v>
      </c>
      <c r="AB8" s="81">
        <v>1.18</v>
      </c>
      <c r="AC8" s="18">
        <v>1.36</v>
      </c>
      <c r="AD8" s="81">
        <v>1.18</v>
      </c>
      <c r="AE8" s="18">
        <v>1.1499999999999999</v>
      </c>
      <c r="AF8" s="81">
        <v>1.1499999999999999</v>
      </c>
      <c r="AG8" s="18">
        <v>1.18</v>
      </c>
    </row>
    <row r="9" spans="1:33" ht="18" customHeight="1">
      <c r="A9" s="63">
        <v>713163000</v>
      </c>
      <c r="B9" s="63">
        <v>260823000</v>
      </c>
      <c r="C9" s="63">
        <v>41565000</v>
      </c>
      <c r="E9" s="17">
        <v>46003</v>
      </c>
      <c r="F9" s="651" t="s">
        <v>553</v>
      </c>
      <c r="G9" s="686"/>
      <c r="H9" s="686"/>
      <c r="I9" s="686"/>
      <c r="J9" s="686"/>
      <c r="K9" s="686"/>
      <c r="M9" s="3">
        <v>45962</v>
      </c>
      <c r="N9">
        <v>685.67</v>
      </c>
      <c r="O9">
        <v>685.8</v>
      </c>
      <c r="P9">
        <v>650.85</v>
      </c>
      <c r="Q9" s="2">
        <v>683.39</v>
      </c>
      <c r="R9">
        <v>681.38</v>
      </c>
      <c r="S9" s="1">
        <v>1664668300</v>
      </c>
      <c r="U9" s="78" t="s">
        <v>554</v>
      </c>
      <c r="V9" s="58">
        <v>1.34</v>
      </c>
      <c r="W9" s="58">
        <v>1.51</v>
      </c>
      <c r="X9" s="58">
        <v>0.49</v>
      </c>
      <c r="Y9" s="58">
        <v>0.64</v>
      </c>
      <c r="AA9" s="84" t="s">
        <v>555</v>
      </c>
      <c r="AB9" s="81">
        <v>9</v>
      </c>
      <c r="AC9" s="18">
        <v>9.8800000000000008</v>
      </c>
      <c r="AD9" s="81">
        <v>8.9499999999999993</v>
      </c>
      <c r="AE9" s="18">
        <v>9.33</v>
      </c>
      <c r="AF9" s="81">
        <v>8.5299999999999994</v>
      </c>
      <c r="AG9" s="18">
        <v>8.94</v>
      </c>
    </row>
    <row r="10" spans="1:33">
      <c r="A10" s="63">
        <v>713163000</v>
      </c>
      <c r="B10" s="63">
        <v>252399000</v>
      </c>
      <c r="C10" s="63">
        <v>41565000</v>
      </c>
      <c r="E10" s="14">
        <v>45992</v>
      </c>
      <c r="F10" s="15">
        <v>110.51</v>
      </c>
      <c r="G10" s="15">
        <v>117.45</v>
      </c>
      <c r="H10" s="15">
        <v>110.36</v>
      </c>
      <c r="I10" s="15">
        <v>111.41</v>
      </c>
      <c r="J10" s="15">
        <v>110.96</v>
      </c>
      <c r="K10" s="16">
        <v>442913500</v>
      </c>
      <c r="M10" s="3">
        <v>45931</v>
      </c>
      <c r="N10">
        <v>663.17</v>
      </c>
      <c r="O10">
        <v>689.7</v>
      </c>
      <c r="P10">
        <v>652.84</v>
      </c>
      <c r="Q10" s="2">
        <v>682.06</v>
      </c>
      <c r="R10">
        <v>680.05</v>
      </c>
      <c r="S10" s="1">
        <v>1781815100</v>
      </c>
      <c r="U10" s="79" t="s">
        <v>18</v>
      </c>
      <c r="V10" s="58">
        <v>21.63</v>
      </c>
      <c r="W10" s="58">
        <v>29.96</v>
      </c>
      <c r="X10" s="58">
        <v>7.92</v>
      </c>
      <c r="Y10" s="58">
        <v>12.95</v>
      </c>
      <c r="AA10" s="84" t="s">
        <v>556</v>
      </c>
      <c r="AB10" s="81">
        <v>1.25</v>
      </c>
      <c r="AC10" s="18">
        <v>1.43</v>
      </c>
      <c r="AD10" s="81">
        <v>1.24</v>
      </c>
      <c r="AE10" s="18">
        <v>1.23</v>
      </c>
      <c r="AF10" s="81">
        <v>1.22</v>
      </c>
      <c r="AG10" s="18">
        <v>1.25</v>
      </c>
    </row>
    <row r="11" spans="1:33">
      <c r="A11" s="63">
        <v>680985000</v>
      </c>
      <c r="B11" s="63">
        <v>243197000</v>
      </c>
      <c r="C11" s="63">
        <v>36443000</v>
      </c>
      <c r="E11" s="17">
        <v>45962</v>
      </c>
      <c r="F11" s="18">
        <v>100.82</v>
      </c>
      <c r="G11" s="18">
        <v>110.7</v>
      </c>
      <c r="H11" s="18">
        <v>98.88</v>
      </c>
      <c r="I11" s="18">
        <v>110.51</v>
      </c>
      <c r="J11" s="18">
        <v>110.06</v>
      </c>
      <c r="K11" s="19">
        <v>391415900</v>
      </c>
      <c r="M11" s="3">
        <v>45919</v>
      </c>
      <c r="N11" t="s">
        <v>557</v>
      </c>
      <c r="AA11" s="84" t="s">
        <v>558</v>
      </c>
      <c r="AB11" s="81">
        <v>19.420000000000002</v>
      </c>
      <c r="AC11" s="18">
        <v>21.39</v>
      </c>
      <c r="AD11" s="81">
        <v>19.329999999999998</v>
      </c>
      <c r="AE11" s="18">
        <v>20.399999999999999</v>
      </c>
      <c r="AF11" s="81">
        <v>19.7</v>
      </c>
      <c r="AG11" s="18">
        <v>19.850000000000001</v>
      </c>
    </row>
    <row r="12" spans="1:33">
      <c r="A12" s="63">
        <v>648125000</v>
      </c>
      <c r="B12" s="64" t="s">
        <v>372</v>
      </c>
      <c r="C12" s="63">
        <v>35726000</v>
      </c>
      <c r="E12" s="14">
        <v>45931</v>
      </c>
      <c r="F12" s="15">
        <v>102.56</v>
      </c>
      <c r="G12" s="15">
        <v>109.58</v>
      </c>
      <c r="H12" s="15">
        <v>99.87</v>
      </c>
      <c r="I12" s="15">
        <v>101.18</v>
      </c>
      <c r="J12" s="15">
        <v>100.77</v>
      </c>
      <c r="K12" s="16">
        <v>348809500</v>
      </c>
      <c r="M12" s="3">
        <v>45901</v>
      </c>
      <c r="N12">
        <v>637.5</v>
      </c>
      <c r="O12">
        <v>667.34</v>
      </c>
      <c r="P12">
        <v>634.91999999999996</v>
      </c>
      <c r="Q12" s="2">
        <v>666.18</v>
      </c>
      <c r="R12">
        <v>662.38</v>
      </c>
      <c r="S12" s="1">
        <v>1606348500</v>
      </c>
    </row>
    <row r="13" spans="1:33">
      <c r="A13" s="63">
        <v>611289000</v>
      </c>
      <c r="B13" s="63">
        <v>84874000</v>
      </c>
      <c r="C13" s="63">
        <v>28841000</v>
      </c>
      <c r="E13" s="17">
        <v>45901</v>
      </c>
      <c r="F13" s="18">
        <v>97.23</v>
      </c>
      <c r="G13" s="18">
        <v>106.11</v>
      </c>
      <c r="H13" s="18">
        <v>96.51</v>
      </c>
      <c r="I13" s="18">
        <v>103.06</v>
      </c>
      <c r="J13" s="18">
        <v>102.64</v>
      </c>
      <c r="K13" s="19">
        <v>326990400</v>
      </c>
      <c r="M13" s="3">
        <v>45870</v>
      </c>
      <c r="N13">
        <v>626.29999999999995</v>
      </c>
      <c r="O13">
        <v>649.48</v>
      </c>
      <c r="P13">
        <v>619.29</v>
      </c>
      <c r="Q13" s="2">
        <v>645.04999999999995</v>
      </c>
      <c r="R13">
        <v>641.37</v>
      </c>
      <c r="S13" s="1">
        <v>1424047400</v>
      </c>
    </row>
    <row r="14" spans="1:33">
      <c r="A14" s="64" t="s">
        <v>559</v>
      </c>
      <c r="B14" s="63">
        <v>79458000</v>
      </c>
      <c r="C14" s="64" t="s">
        <v>560</v>
      </c>
      <c r="E14" s="14">
        <v>45884</v>
      </c>
      <c r="F14" s="652" t="s">
        <v>553</v>
      </c>
      <c r="G14" s="686"/>
      <c r="H14" s="686"/>
      <c r="I14" s="686"/>
      <c r="J14" s="686"/>
      <c r="K14" s="686"/>
      <c r="M14" s="3">
        <v>45839</v>
      </c>
      <c r="N14">
        <v>616.36</v>
      </c>
      <c r="O14">
        <v>639.85</v>
      </c>
      <c r="P14">
        <v>615.52</v>
      </c>
      <c r="Q14" s="2">
        <v>632.08000000000004</v>
      </c>
      <c r="R14">
        <v>628.48</v>
      </c>
      <c r="S14" s="1">
        <v>1479850800</v>
      </c>
    </row>
    <row r="15" spans="1:33">
      <c r="A15" s="63">
        <v>713163000</v>
      </c>
      <c r="B15" s="63">
        <v>76877000</v>
      </c>
      <c r="C15" s="63">
        <v>41565000</v>
      </c>
      <c r="E15" s="17">
        <v>45870</v>
      </c>
      <c r="F15" s="18">
        <v>98</v>
      </c>
      <c r="G15" s="18">
        <v>104.72</v>
      </c>
      <c r="H15" s="18">
        <v>95.42</v>
      </c>
      <c r="I15" s="18">
        <v>96.98</v>
      </c>
      <c r="J15" s="18">
        <v>96.36</v>
      </c>
      <c r="K15" s="19">
        <v>397878500</v>
      </c>
      <c r="M15" s="3">
        <v>45828</v>
      </c>
      <c r="N15" t="s">
        <v>561</v>
      </c>
    </row>
    <row r="16" spans="1:33">
      <c r="A16" s="63">
        <v>713163000</v>
      </c>
      <c r="B16" s="63">
        <v>75655000</v>
      </c>
      <c r="C16" s="63">
        <v>41565000</v>
      </c>
      <c r="E16" s="14">
        <v>45839</v>
      </c>
      <c r="F16" s="15">
        <v>97.6</v>
      </c>
      <c r="G16" s="15">
        <v>99.35</v>
      </c>
      <c r="H16" s="15">
        <v>94.23</v>
      </c>
      <c r="I16" s="15">
        <v>97.98</v>
      </c>
      <c r="J16" s="15">
        <v>97.35</v>
      </c>
      <c r="K16" s="16">
        <v>289967200</v>
      </c>
      <c r="M16" s="3">
        <v>45809</v>
      </c>
      <c r="N16">
        <v>587.76</v>
      </c>
      <c r="O16">
        <v>619.22</v>
      </c>
      <c r="P16">
        <v>585.05999999999995</v>
      </c>
      <c r="Q16" s="2">
        <v>617.85</v>
      </c>
      <c r="R16">
        <v>612.52</v>
      </c>
      <c r="S16" s="1">
        <v>1495410200</v>
      </c>
    </row>
    <row r="17" spans="1:19">
      <c r="A17" s="63">
        <v>680985000</v>
      </c>
      <c r="B17" s="65" t="s">
        <v>373</v>
      </c>
      <c r="C17" s="63">
        <v>36443000</v>
      </c>
      <c r="E17" s="17">
        <v>45809</v>
      </c>
      <c r="F17" s="18">
        <v>98.84</v>
      </c>
      <c r="G17" s="18">
        <v>100.89</v>
      </c>
      <c r="H17" s="18">
        <v>93.43</v>
      </c>
      <c r="I17" s="18">
        <v>97.78</v>
      </c>
      <c r="J17" s="18">
        <v>97.15</v>
      </c>
      <c r="K17" s="19">
        <v>343221000</v>
      </c>
      <c r="M17" s="3">
        <v>45778</v>
      </c>
      <c r="N17">
        <v>560.37</v>
      </c>
      <c r="O17">
        <v>595.54</v>
      </c>
      <c r="P17">
        <v>556.04</v>
      </c>
      <c r="Q17" s="2">
        <v>589.39</v>
      </c>
      <c r="R17">
        <v>584.29999999999995</v>
      </c>
      <c r="S17" s="1">
        <v>1402172600</v>
      </c>
    </row>
    <row r="18" spans="1:19">
      <c r="A18" s="63">
        <v>648125000</v>
      </c>
      <c r="B18" s="63">
        <v>10727000</v>
      </c>
      <c r="C18" s="63">
        <v>35726000</v>
      </c>
      <c r="E18" s="14">
        <v>45786</v>
      </c>
      <c r="F18" s="652" t="s">
        <v>553</v>
      </c>
      <c r="G18" s="686"/>
      <c r="H18" s="686"/>
      <c r="I18" s="686"/>
      <c r="J18" s="686"/>
      <c r="K18" s="686"/>
      <c r="M18" s="3">
        <v>45748</v>
      </c>
      <c r="N18">
        <v>557.45000000000005</v>
      </c>
      <c r="O18">
        <v>567.41999999999996</v>
      </c>
      <c r="P18">
        <v>481.8</v>
      </c>
      <c r="Q18" s="2">
        <v>554.54</v>
      </c>
      <c r="R18">
        <v>549.75</v>
      </c>
      <c r="S18" s="1">
        <v>2237015100</v>
      </c>
    </row>
    <row r="19" spans="1:19">
      <c r="A19" s="63">
        <v>611289000</v>
      </c>
      <c r="B19" s="63">
        <v>9037000</v>
      </c>
      <c r="C19" s="63">
        <v>28841000</v>
      </c>
      <c r="E19" s="17">
        <v>45778</v>
      </c>
      <c r="F19" s="18">
        <v>97.02</v>
      </c>
      <c r="G19" s="18">
        <v>99.74</v>
      </c>
      <c r="H19" s="18">
        <v>91.89</v>
      </c>
      <c r="I19" s="18">
        <v>98.72</v>
      </c>
      <c r="J19" s="18">
        <v>97.85</v>
      </c>
      <c r="K19" s="19">
        <v>393144900</v>
      </c>
      <c r="M19" s="3">
        <v>45737</v>
      </c>
      <c r="N19" t="s">
        <v>562</v>
      </c>
    </row>
    <row r="20" spans="1:19">
      <c r="A20" s="62" t="s">
        <v>563</v>
      </c>
      <c r="B20" s="63">
        <v>9867000</v>
      </c>
      <c r="C20" s="65" t="s">
        <v>564</v>
      </c>
      <c r="E20" s="14">
        <v>45748</v>
      </c>
      <c r="F20" s="15">
        <v>87.54</v>
      </c>
      <c r="G20" s="15">
        <v>97.78</v>
      </c>
      <c r="H20" s="15">
        <v>79.81</v>
      </c>
      <c r="I20" s="15">
        <v>97.25</v>
      </c>
      <c r="J20" s="15">
        <v>96.39</v>
      </c>
      <c r="K20" s="16">
        <v>509882700</v>
      </c>
      <c r="M20" s="3">
        <v>45717</v>
      </c>
      <c r="N20">
        <v>596.17999999999995</v>
      </c>
      <c r="O20">
        <v>597.34</v>
      </c>
      <c r="P20">
        <v>546.87</v>
      </c>
      <c r="Q20" s="2">
        <v>559.39</v>
      </c>
      <c r="R20">
        <v>552.9</v>
      </c>
      <c r="S20" s="1">
        <v>1496591400</v>
      </c>
    </row>
    <row r="21" spans="1:19">
      <c r="A21" s="63">
        <v>535395000</v>
      </c>
      <c r="B21" s="63">
        <v>8625000</v>
      </c>
      <c r="C21" s="63">
        <v>22270000</v>
      </c>
      <c r="E21" s="17">
        <v>45737</v>
      </c>
      <c r="F21" s="651" t="s">
        <v>553</v>
      </c>
      <c r="G21" s="686"/>
      <c r="H21" s="686"/>
      <c r="I21" s="686"/>
      <c r="J21" s="686"/>
      <c r="K21" s="686"/>
      <c r="M21" s="3">
        <v>45689</v>
      </c>
      <c r="N21">
        <v>592.66999999999996</v>
      </c>
      <c r="O21">
        <v>613.23</v>
      </c>
      <c r="P21">
        <v>582.44000000000005</v>
      </c>
      <c r="Q21" s="2">
        <v>594.17999999999995</v>
      </c>
      <c r="R21">
        <v>587.28</v>
      </c>
      <c r="S21" s="1">
        <v>871641300</v>
      </c>
    </row>
    <row r="22" spans="1:19">
      <c r="A22" s="63">
        <v>535395000</v>
      </c>
      <c r="B22" s="66" t="s">
        <v>565</v>
      </c>
      <c r="C22" s="63">
        <v>22270000</v>
      </c>
      <c r="E22" s="14">
        <v>45717</v>
      </c>
      <c r="F22" s="15">
        <v>97.98</v>
      </c>
      <c r="G22" s="15">
        <v>99.49</v>
      </c>
      <c r="H22" s="15">
        <v>83.87</v>
      </c>
      <c r="I22" s="15">
        <v>87.79</v>
      </c>
      <c r="J22" s="15">
        <v>86.78</v>
      </c>
      <c r="K22" s="16">
        <v>529824400</v>
      </c>
      <c r="M22" s="3">
        <v>45658</v>
      </c>
      <c r="N22">
        <v>589.39</v>
      </c>
      <c r="O22">
        <v>610.78</v>
      </c>
      <c r="P22">
        <v>575.35</v>
      </c>
      <c r="Q22" s="2">
        <v>601.82000000000005</v>
      </c>
      <c r="R22">
        <v>594.83000000000004</v>
      </c>
      <c r="S22" s="1">
        <v>995501600</v>
      </c>
    </row>
    <row r="23" spans="1:19">
      <c r="A23" s="63">
        <v>511753000</v>
      </c>
      <c r="B23" s="63">
        <v>10727000</v>
      </c>
      <c r="C23" s="63">
        <v>20157000</v>
      </c>
      <c r="E23" s="17">
        <v>45689</v>
      </c>
      <c r="F23" s="18">
        <v>96.77</v>
      </c>
      <c r="G23" s="18">
        <v>105.3</v>
      </c>
      <c r="H23" s="18">
        <v>92.12</v>
      </c>
      <c r="I23" s="18">
        <v>98.61</v>
      </c>
      <c r="J23" s="18">
        <v>97.48</v>
      </c>
      <c r="K23" s="19">
        <v>393516500</v>
      </c>
      <c r="M23" s="3">
        <v>45646</v>
      </c>
      <c r="N23" t="s">
        <v>566</v>
      </c>
    </row>
    <row r="24" spans="1:19">
      <c r="A24" s="63">
        <v>490142000</v>
      </c>
      <c r="B24" s="63">
        <v>9037000</v>
      </c>
      <c r="C24" s="63">
        <v>16270000</v>
      </c>
      <c r="E24" s="14">
        <v>45658</v>
      </c>
      <c r="F24" s="15">
        <v>89.98</v>
      </c>
      <c r="G24" s="15">
        <v>99</v>
      </c>
      <c r="H24" s="15">
        <v>89.52</v>
      </c>
      <c r="I24" s="15">
        <v>98.16</v>
      </c>
      <c r="J24" s="15">
        <v>97.03</v>
      </c>
      <c r="K24" s="16">
        <v>301831600</v>
      </c>
      <c r="M24" s="3">
        <v>45627</v>
      </c>
      <c r="N24">
        <v>602.97</v>
      </c>
      <c r="O24">
        <v>609.07000000000005</v>
      </c>
      <c r="P24">
        <v>580.91</v>
      </c>
      <c r="Q24" s="2">
        <v>586.08000000000004</v>
      </c>
      <c r="R24">
        <v>577.33000000000004</v>
      </c>
      <c r="S24" s="1">
        <v>1059516700</v>
      </c>
    </row>
    <row r="25" spans="1:19">
      <c r="A25" s="63">
        <v>463721000</v>
      </c>
      <c r="B25" s="63">
        <v>9867000</v>
      </c>
      <c r="C25" s="63">
        <v>11292000</v>
      </c>
      <c r="E25" s="17">
        <v>45639</v>
      </c>
      <c r="F25" s="651" t="s">
        <v>567</v>
      </c>
      <c r="G25" s="686"/>
      <c r="H25" s="686"/>
      <c r="I25" s="686"/>
      <c r="J25" s="686"/>
      <c r="K25" s="686"/>
      <c r="M25" s="3">
        <v>45597</v>
      </c>
      <c r="N25">
        <v>571.32000000000005</v>
      </c>
      <c r="O25">
        <v>603.35</v>
      </c>
      <c r="P25">
        <v>567.89</v>
      </c>
      <c r="Q25" s="2">
        <v>602.54999999999995</v>
      </c>
      <c r="R25">
        <v>593.55999999999995</v>
      </c>
      <c r="S25" s="1">
        <v>901760600</v>
      </c>
    </row>
    <row r="26" spans="1:19">
      <c r="A26" s="62" t="s">
        <v>140</v>
      </c>
      <c r="B26" s="63">
        <v>8625000</v>
      </c>
      <c r="C26" s="65" t="s">
        <v>568</v>
      </c>
      <c r="E26" s="14">
        <v>45627</v>
      </c>
      <c r="F26" s="15">
        <v>92.82</v>
      </c>
      <c r="G26" s="15">
        <v>96.18</v>
      </c>
      <c r="H26" s="15">
        <v>88.91</v>
      </c>
      <c r="I26" s="15">
        <v>90.35</v>
      </c>
      <c r="J26" s="15">
        <v>89.11</v>
      </c>
      <c r="K26" s="16">
        <v>382128400</v>
      </c>
      <c r="M26" s="3">
        <v>45566</v>
      </c>
      <c r="N26">
        <v>573.4</v>
      </c>
      <c r="O26">
        <v>586.12</v>
      </c>
      <c r="P26">
        <v>565.27</v>
      </c>
      <c r="Q26" s="2">
        <v>568.64</v>
      </c>
      <c r="R26">
        <v>560.15</v>
      </c>
      <c r="S26" s="1">
        <v>976068800</v>
      </c>
    </row>
    <row r="27" spans="1:19">
      <c r="A27" s="63">
        <v>177768000</v>
      </c>
      <c r="B27" s="65" t="s">
        <v>569</v>
      </c>
      <c r="C27" s="63">
        <v>-2016000</v>
      </c>
      <c r="E27" s="17">
        <v>45597</v>
      </c>
      <c r="F27" s="18">
        <v>82.53</v>
      </c>
      <c r="G27" s="18">
        <v>92.64</v>
      </c>
      <c r="H27" s="18">
        <v>81.540000000000006</v>
      </c>
      <c r="I27" s="18">
        <v>92.5</v>
      </c>
      <c r="J27" s="18">
        <v>91.23</v>
      </c>
      <c r="K27" s="19">
        <v>340242300</v>
      </c>
      <c r="M27" s="3">
        <v>45555</v>
      </c>
      <c r="N27" t="s">
        <v>570</v>
      </c>
    </row>
    <row r="28" spans="1:19">
      <c r="A28" s="63">
        <v>177768000</v>
      </c>
      <c r="B28" s="63">
        <v>11172000</v>
      </c>
      <c r="C28" s="63">
        <v>-2016000</v>
      </c>
      <c r="E28" s="14">
        <v>45566</v>
      </c>
      <c r="F28" s="15">
        <v>80.680000000000007</v>
      </c>
      <c r="G28" s="15">
        <v>83.34</v>
      </c>
      <c r="H28" s="15">
        <v>78.98</v>
      </c>
      <c r="I28" s="15">
        <v>81.95</v>
      </c>
      <c r="J28" s="15">
        <v>80.83</v>
      </c>
      <c r="K28" s="16">
        <v>274951500</v>
      </c>
      <c r="M28" s="3">
        <v>45536</v>
      </c>
      <c r="N28">
        <v>558.35</v>
      </c>
      <c r="O28">
        <v>574.71</v>
      </c>
      <c r="P28">
        <v>539.44000000000005</v>
      </c>
      <c r="Q28" s="2">
        <v>573.76</v>
      </c>
      <c r="R28">
        <v>563.47</v>
      </c>
      <c r="S28" s="1">
        <v>1044988300</v>
      </c>
    </row>
    <row r="29" spans="1:19">
      <c r="A29" s="63">
        <v>169232000</v>
      </c>
      <c r="B29" s="63">
        <v>9975000</v>
      </c>
      <c r="C29" s="63">
        <v>878000</v>
      </c>
      <c r="E29" s="17">
        <v>45536</v>
      </c>
      <c r="F29" s="18">
        <v>77.33</v>
      </c>
      <c r="G29" s="18">
        <v>81.599999999999994</v>
      </c>
      <c r="H29" s="18">
        <v>76.3</v>
      </c>
      <c r="I29" s="18">
        <v>80.75</v>
      </c>
      <c r="J29" s="18">
        <v>79.64</v>
      </c>
      <c r="K29" s="19">
        <v>358154100</v>
      </c>
      <c r="M29" s="3">
        <v>45505</v>
      </c>
      <c r="N29">
        <v>552.57000000000005</v>
      </c>
      <c r="O29">
        <v>564.20000000000005</v>
      </c>
      <c r="P29">
        <v>510.27</v>
      </c>
      <c r="Q29" s="2">
        <v>563.67999999999995</v>
      </c>
      <c r="R29">
        <v>553.57000000000005</v>
      </c>
      <c r="S29" s="1">
        <v>1244599000</v>
      </c>
    </row>
    <row r="30" spans="1:19">
      <c r="A30" s="63">
        <v>157983000</v>
      </c>
      <c r="B30" s="63">
        <v>8796000</v>
      </c>
      <c r="C30" s="63">
        <v>3193000</v>
      </c>
      <c r="E30" s="14">
        <v>45520</v>
      </c>
      <c r="F30" s="652" t="s">
        <v>567</v>
      </c>
      <c r="G30" s="686"/>
      <c r="H30" s="686"/>
      <c r="I30" s="686"/>
      <c r="J30" s="686"/>
      <c r="K30" s="686"/>
      <c r="M30" s="3">
        <v>45474</v>
      </c>
      <c r="N30">
        <v>545.63</v>
      </c>
      <c r="O30">
        <v>565.16</v>
      </c>
      <c r="P30">
        <v>537.45000000000005</v>
      </c>
      <c r="Q30" s="2">
        <v>550.80999999999995</v>
      </c>
      <c r="R30">
        <v>540.92999999999995</v>
      </c>
      <c r="S30" s="1">
        <v>1038465500</v>
      </c>
    </row>
    <row r="31" spans="1:19">
      <c r="A31" s="63">
        <v>147568000</v>
      </c>
      <c r="B31" s="63">
        <v>7933000</v>
      </c>
      <c r="C31" s="63">
        <v>1683000</v>
      </c>
      <c r="E31" s="17">
        <v>45505</v>
      </c>
      <c r="F31" s="18">
        <v>68.91</v>
      </c>
      <c r="G31" s="18">
        <v>77.47</v>
      </c>
      <c r="H31" s="18">
        <v>66.67</v>
      </c>
      <c r="I31" s="18">
        <v>77.23</v>
      </c>
      <c r="J31" s="18">
        <v>75.959999999999994</v>
      </c>
      <c r="K31" s="19">
        <v>395298400</v>
      </c>
      <c r="M31" s="3">
        <v>45464</v>
      </c>
      <c r="N31" t="s">
        <v>571</v>
      </c>
    </row>
    <row r="32" spans="1:19">
      <c r="A32" s="62" t="s">
        <v>572</v>
      </c>
      <c r="B32" s="66" t="s">
        <v>375</v>
      </c>
      <c r="C32" s="66" t="s">
        <v>573</v>
      </c>
      <c r="E32" s="14">
        <v>45474</v>
      </c>
      <c r="F32" s="15">
        <v>67.89</v>
      </c>
      <c r="G32" s="15">
        <v>71.33</v>
      </c>
      <c r="H32" s="15">
        <v>67.25</v>
      </c>
      <c r="I32" s="15">
        <v>68.64</v>
      </c>
      <c r="J32" s="15">
        <v>67.510000000000005</v>
      </c>
      <c r="K32" s="16">
        <v>288053200</v>
      </c>
      <c r="M32" s="3">
        <v>45444</v>
      </c>
      <c r="N32">
        <v>529.02</v>
      </c>
      <c r="O32">
        <v>550.28</v>
      </c>
      <c r="P32">
        <v>522.6</v>
      </c>
      <c r="Q32" s="2">
        <v>544.22</v>
      </c>
      <c r="R32">
        <v>532.74</v>
      </c>
      <c r="S32" s="1">
        <v>888367600</v>
      </c>
    </row>
    <row r="33" spans="1:19">
      <c r="A33" s="63">
        <v>147943000</v>
      </c>
      <c r="B33" s="63">
        <v>11172000</v>
      </c>
      <c r="C33" s="62" t="s">
        <v>574</v>
      </c>
      <c r="E33" s="17">
        <v>45444</v>
      </c>
      <c r="F33" s="18">
        <v>65.510000000000005</v>
      </c>
      <c r="G33" s="18">
        <v>69.040000000000006</v>
      </c>
      <c r="H33" s="18">
        <v>65.16</v>
      </c>
      <c r="I33" s="18">
        <v>67.709999999999994</v>
      </c>
      <c r="J33" s="18">
        <v>66.59</v>
      </c>
      <c r="K33" s="19">
        <v>288503100</v>
      </c>
      <c r="M33" s="3">
        <v>45413</v>
      </c>
      <c r="N33">
        <v>501.38</v>
      </c>
      <c r="O33">
        <v>533.07000000000005</v>
      </c>
      <c r="P33">
        <v>499.55</v>
      </c>
      <c r="Q33" s="2">
        <v>527.37</v>
      </c>
      <c r="R33">
        <v>516.25</v>
      </c>
      <c r="S33" s="1">
        <v>1153206200</v>
      </c>
    </row>
    <row r="34" spans="1:19">
      <c r="A34" s="63">
        <v>147943000</v>
      </c>
      <c r="B34" s="63">
        <v>9975000</v>
      </c>
      <c r="C34" s="62" t="s">
        <v>574</v>
      </c>
      <c r="E34" s="14">
        <v>45421</v>
      </c>
      <c r="F34" s="652" t="s">
        <v>567</v>
      </c>
      <c r="G34" s="686"/>
      <c r="H34" s="686"/>
      <c r="I34" s="686"/>
      <c r="J34" s="686"/>
      <c r="K34" s="686"/>
      <c r="M34" s="3">
        <v>45383</v>
      </c>
      <c r="N34">
        <v>523.83000000000004</v>
      </c>
      <c r="O34">
        <v>524.38</v>
      </c>
      <c r="P34">
        <v>493.86</v>
      </c>
      <c r="Q34" s="2">
        <v>501.98</v>
      </c>
      <c r="R34">
        <v>491.39</v>
      </c>
      <c r="S34" s="1">
        <v>1593138700</v>
      </c>
    </row>
    <row r="35" spans="1:19">
      <c r="A35" s="63">
        <v>139884000</v>
      </c>
      <c r="B35" s="63">
        <v>8796000</v>
      </c>
      <c r="C35" s="62" t="s">
        <v>574</v>
      </c>
      <c r="E35" s="17">
        <v>45413</v>
      </c>
      <c r="F35" s="18">
        <v>59.31</v>
      </c>
      <c r="G35" s="18">
        <v>65.900000000000006</v>
      </c>
      <c r="H35" s="18">
        <v>58.58</v>
      </c>
      <c r="I35" s="18">
        <v>65.760000000000005</v>
      </c>
      <c r="J35" s="18">
        <v>64.45</v>
      </c>
      <c r="K35" s="19">
        <v>401568100</v>
      </c>
      <c r="M35" s="3">
        <v>45366</v>
      </c>
      <c r="N35" t="s">
        <v>575</v>
      </c>
    </row>
    <row r="36" spans="1:19">
      <c r="A36" s="63">
        <v>130971000</v>
      </c>
      <c r="B36" s="63">
        <v>7933000</v>
      </c>
      <c r="C36" s="62">
        <v>0</v>
      </c>
      <c r="E36" s="14">
        <v>45383</v>
      </c>
      <c r="F36" s="15">
        <v>60.31</v>
      </c>
      <c r="G36" s="15">
        <v>60.89</v>
      </c>
      <c r="H36" s="15">
        <v>58.56</v>
      </c>
      <c r="I36" s="15">
        <v>59.35</v>
      </c>
      <c r="J36" s="15">
        <v>58.17</v>
      </c>
      <c r="K36" s="16">
        <v>304730200</v>
      </c>
      <c r="M36" s="3">
        <v>45352</v>
      </c>
      <c r="N36">
        <v>508.98</v>
      </c>
      <c r="O36">
        <v>524.61</v>
      </c>
      <c r="P36">
        <v>504.91</v>
      </c>
      <c r="Q36" s="2">
        <v>523.07000000000005</v>
      </c>
      <c r="R36">
        <v>510.45</v>
      </c>
      <c r="S36" s="1">
        <v>1473501100</v>
      </c>
    </row>
    <row r="37" spans="1:19">
      <c r="A37" s="63">
        <v>127140000</v>
      </c>
      <c r="B37" s="65" t="s">
        <v>377</v>
      </c>
      <c r="C37" s="62">
        <v>0</v>
      </c>
      <c r="E37" s="17">
        <v>45365</v>
      </c>
      <c r="F37" s="651" t="s">
        <v>567</v>
      </c>
      <c r="G37" s="686"/>
      <c r="H37" s="686"/>
      <c r="I37" s="686"/>
      <c r="J37" s="686"/>
      <c r="K37" s="686"/>
      <c r="M37" s="3">
        <v>45323</v>
      </c>
      <c r="N37">
        <v>484.63</v>
      </c>
      <c r="O37">
        <v>510.13</v>
      </c>
      <c r="P37">
        <v>483.8</v>
      </c>
      <c r="Q37" s="2">
        <v>508.08</v>
      </c>
      <c r="R37">
        <v>495.82</v>
      </c>
      <c r="S37" s="1">
        <v>1393307200</v>
      </c>
    </row>
    <row r="38" spans="1:19">
      <c r="A38" s="64" t="s">
        <v>576</v>
      </c>
      <c r="B38" s="63">
        <v>58851000</v>
      </c>
      <c r="C38" s="66" t="s">
        <v>577</v>
      </c>
      <c r="E38" s="14">
        <v>45352</v>
      </c>
      <c r="F38" s="15">
        <v>58.8</v>
      </c>
      <c r="G38" s="15">
        <v>61.66</v>
      </c>
      <c r="H38" s="15">
        <v>58.2</v>
      </c>
      <c r="I38" s="15">
        <v>60.17</v>
      </c>
      <c r="J38" s="15">
        <v>58.77</v>
      </c>
      <c r="K38" s="16">
        <v>339293600</v>
      </c>
      <c r="M38" s="3">
        <v>45292</v>
      </c>
      <c r="N38">
        <v>472.16</v>
      </c>
      <c r="O38">
        <v>491.62</v>
      </c>
      <c r="P38">
        <v>466.43</v>
      </c>
      <c r="Q38" s="2">
        <v>482.88</v>
      </c>
      <c r="R38">
        <v>471.23</v>
      </c>
      <c r="S38" s="1">
        <v>1700872500</v>
      </c>
    </row>
    <row r="39" spans="1:19">
      <c r="A39" s="62" t="s">
        <v>574</v>
      </c>
      <c r="B39" s="63">
        <v>56435000</v>
      </c>
      <c r="C39" s="63">
        <v>-2016000</v>
      </c>
      <c r="E39" s="17">
        <v>45348</v>
      </c>
      <c r="F39" s="651" t="s">
        <v>578</v>
      </c>
      <c r="G39" s="686"/>
      <c r="H39" s="686"/>
      <c r="I39" s="686"/>
      <c r="J39" s="686"/>
      <c r="K39" s="686"/>
      <c r="M39" s="3">
        <v>45275</v>
      </c>
      <c r="N39" t="s">
        <v>579</v>
      </c>
    </row>
    <row r="40" spans="1:19">
      <c r="A40" s="62" t="s">
        <v>574</v>
      </c>
      <c r="B40" s="63">
        <v>54892000</v>
      </c>
      <c r="C40" s="63">
        <v>-2016000</v>
      </c>
      <c r="E40" s="14">
        <v>45323</v>
      </c>
      <c r="F40" s="15">
        <v>55.23</v>
      </c>
      <c r="G40" s="15">
        <v>60.45</v>
      </c>
      <c r="H40" s="15">
        <v>55.06</v>
      </c>
      <c r="I40" s="15">
        <v>58.61</v>
      </c>
      <c r="J40" s="15">
        <v>57.25</v>
      </c>
      <c r="K40" s="16">
        <v>523190700</v>
      </c>
      <c r="M40" s="3">
        <v>45261</v>
      </c>
      <c r="N40">
        <v>455.77</v>
      </c>
      <c r="O40">
        <v>477.55</v>
      </c>
      <c r="P40">
        <v>454.31</v>
      </c>
      <c r="Q40" s="2">
        <v>475.31</v>
      </c>
      <c r="R40">
        <v>461.97</v>
      </c>
      <c r="S40" s="1">
        <v>1643624300</v>
      </c>
    </row>
    <row r="41" spans="1:19">
      <c r="A41" s="63">
        <v>139884000</v>
      </c>
      <c r="B41" s="63">
        <v>56576000</v>
      </c>
      <c r="C41" s="63">
        <v>878000</v>
      </c>
      <c r="E41" s="17">
        <v>45292</v>
      </c>
      <c r="F41" s="18">
        <v>52.42</v>
      </c>
      <c r="G41" s="18">
        <v>55.93</v>
      </c>
      <c r="H41" s="18">
        <v>51.87</v>
      </c>
      <c r="I41" s="18">
        <v>55.08</v>
      </c>
      <c r="J41" s="18">
        <v>53.8</v>
      </c>
      <c r="K41" s="19">
        <v>385322100</v>
      </c>
      <c r="M41" s="3">
        <v>45231</v>
      </c>
      <c r="N41">
        <v>419.2</v>
      </c>
      <c r="O41">
        <v>458.32</v>
      </c>
      <c r="P41">
        <v>418.65</v>
      </c>
      <c r="Q41" s="2">
        <v>456.4</v>
      </c>
      <c r="R41">
        <v>443.59</v>
      </c>
      <c r="S41" s="1">
        <v>1500017600</v>
      </c>
    </row>
    <row r="42" spans="1:19">
      <c r="A42" s="63">
        <v>130971000</v>
      </c>
      <c r="B42" s="65" t="s">
        <v>580</v>
      </c>
      <c r="C42" s="63">
        <v>3193000</v>
      </c>
      <c r="E42" s="14">
        <v>45267</v>
      </c>
      <c r="F42" s="652" t="s">
        <v>581</v>
      </c>
      <c r="G42" s="686"/>
      <c r="H42" s="686"/>
      <c r="I42" s="686"/>
      <c r="J42" s="686"/>
      <c r="K42" s="686"/>
      <c r="M42" s="3">
        <v>45200</v>
      </c>
      <c r="N42">
        <v>426.62</v>
      </c>
      <c r="O42">
        <v>438.14</v>
      </c>
      <c r="P42">
        <v>409.21</v>
      </c>
      <c r="Q42" s="2">
        <v>418.2</v>
      </c>
      <c r="R42">
        <v>406.46</v>
      </c>
      <c r="S42" s="1">
        <v>1999294400</v>
      </c>
    </row>
    <row r="43" spans="1:19">
      <c r="A43" s="63">
        <v>127140000</v>
      </c>
      <c r="B43" s="63">
        <v>4124000</v>
      </c>
      <c r="C43" s="63">
        <v>1683000</v>
      </c>
      <c r="E43" s="17">
        <v>45261</v>
      </c>
      <c r="F43" s="18">
        <v>51.79</v>
      </c>
      <c r="G43" s="18">
        <v>52.78</v>
      </c>
      <c r="H43" s="18">
        <v>49.85</v>
      </c>
      <c r="I43" s="18">
        <v>52.55</v>
      </c>
      <c r="J43" s="18">
        <v>51.14</v>
      </c>
      <c r="K43" s="19">
        <v>543923100</v>
      </c>
      <c r="M43" s="3">
        <v>45184</v>
      </c>
      <c r="N43" t="s">
        <v>582</v>
      </c>
    </row>
    <row r="44" spans="1:19">
      <c r="A44" s="65" t="s">
        <v>583</v>
      </c>
      <c r="B44" s="63">
        <v>4011000</v>
      </c>
      <c r="C44" s="65" t="s">
        <v>584</v>
      </c>
      <c r="E44" s="14">
        <v>45231</v>
      </c>
      <c r="F44" s="15">
        <v>54.74</v>
      </c>
      <c r="G44" s="15">
        <v>56.65</v>
      </c>
      <c r="H44" s="15">
        <v>51.38</v>
      </c>
      <c r="I44" s="15">
        <v>51.9</v>
      </c>
      <c r="J44" s="15">
        <v>50.5</v>
      </c>
      <c r="K44" s="16">
        <v>536482200</v>
      </c>
      <c r="M44" s="3">
        <v>45170</v>
      </c>
      <c r="N44">
        <v>453.17</v>
      </c>
      <c r="O44">
        <v>453.67</v>
      </c>
      <c r="P44">
        <v>422.29</v>
      </c>
      <c r="Q44" s="2">
        <v>427.48</v>
      </c>
      <c r="R44">
        <v>414.02</v>
      </c>
      <c r="S44" s="1">
        <v>1588981600</v>
      </c>
    </row>
    <row r="45" spans="1:19">
      <c r="A45" s="62" t="s">
        <v>574</v>
      </c>
      <c r="B45" s="63">
        <v>3322000</v>
      </c>
      <c r="C45" s="63">
        <v>14203000</v>
      </c>
      <c r="E45" s="17">
        <v>45200</v>
      </c>
      <c r="F45" s="18">
        <v>53.16</v>
      </c>
      <c r="G45" s="18">
        <v>54.78</v>
      </c>
      <c r="H45" s="18">
        <v>50.55</v>
      </c>
      <c r="I45" s="18">
        <v>54.47</v>
      </c>
      <c r="J45" s="18">
        <v>53.01</v>
      </c>
      <c r="K45" s="19">
        <v>344001900</v>
      </c>
      <c r="M45" s="3">
        <v>45139</v>
      </c>
      <c r="N45">
        <v>456.27</v>
      </c>
      <c r="O45">
        <v>457.25</v>
      </c>
      <c r="P45">
        <v>433.01</v>
      </c>
      <c r="Q45" s="2">
        <v>450.35</v>
      </c>
      <c r="R45">
        <v>436.17</v>
      </c>
      <c r="S45" s="1">
        <v>1754892500</v>
      </c>
    </row>
    <row r="46" spans="1:19">
      <c r="A46" s="62" t="s">
        <v>574</v>
      </c>
      <c r="B46" s="63">
        <v>2521000</v>
      </c>
      <c r="C46" s="63">
        <v>14203000</v>
      </c>
      <c r="E46" s="14">
        <v>45170</v>
      </c>
      <c r="F46" s="15">
        <v>54.29</v>
      </c>
      <c r="G46" s="15">
        <v>55.28</v>
      </c>
      <c r="H46" s="15">
        <v>53.06</v>
      </c>
      <c r="I46" s="15">
        <v>53.31</v>
      </c>
      <c r="J46" s="15">
        <v>51.88</v>
      </c>
      <c r="K46" s="16">
        <v>331229700</v>
      </c>
      <c r="M46" s="3">
        <v>45108</v>
      </c>
      <c r="N46">
        <v>442.92</v>
      </c>
      <c r="O46">
        <v>459.44</v>
      </c>
      <c r="P46">
        <v>437.06</v>
      </c>
      <c r="Q46" s="2">
        <v>457.79</v>
      </c>
      <c r="R46">
        <v>443.38</v>
      </c>
      <c r="S46" s="1">
        <v>1374698500</v>
      </c>
    </row>
    <row r="47" spans="1:19">
      <c r="A47" s="62" t="s">
        <v>574</v>
      </c>
      <c r="B47" s="64" t="s">
        <v>585</v>
      </c>
      <c r="C47" s="63">
        <v>12973000</v>
      </c>
      <c r="E47" s="17">
        <v>45148</v>
      </c>
      <c r="F47" s="651" t="s">
        <v>581</v>
      </c>
      <c r="G47" s="686"/>
      <c r="H47" s="686"/>
      <c r="I47" s="686"/>
      <c r="J47" s="686"/>
      <c r="K47" s="686"/>
      <c r="M47" s="3">
        <v>45093</v>
      </c>
      <c r="N47" t="s">
        <v>586</v>
      </c>
    </row>
    <row r="48" spans="1:19">
      <c r="A48" s="62" t="s">
        <v>574</v>
      </c>
      <c r="B48" s="63">
        <v>199794000</v>
      </c>
      <c r="C48" s="63">
        <v>11853000</v>
      </c>
      <c r="E48" s="14">
        <v>45139</v>
      </c>
      <c r="F48" s="15">
        <v>53.32</v>
      </c>
      <c r="G48" s="15">
        <v>54.33</v>
      </c>
      <c r="H48" s="15">
        <v>51.67</v>
      </c>
      <c r="I48" s="15">
        <v>54.2</v>
      </c>
      <c r="J48" s="15">
        <v>52.56</v>
      </c>
      <c r="K48" s="16">
        <v>391674900</v>
      </c>
      <c r="M48" s="3">
        <v>45078</v>
      </c>
      <c r="N48">
        <v>418.09</v>
      </c>
      <c r="O48">
        <v>444.3</v>
      </c>
      <c r="P48">
        <v>416.79</v>
      </c>
      <c r="Q48" s="2">
        <v>443.28</v>
      </c>
      <c r="R48">
        <v>427.74</v>
      </c>
      <c r="S48" s="1">
        <v>1749901500</v>
      </c>
    </row>
    <row r="49" spans="1:19">
      <c r="A49" s="62" t="s">
        <v>574</v>
      </c>
      <c r="B49" s="63">
        <v>181365000</v>
      </c>
      <c r="C49" s="63">
        <v>10945000</v>
      </c>
      <c r="E49" s="17">
        <v>45108</v>
      </c>
      <c r="F49" s="18">
        <v>52.27</v>
      </c>
      <c r="G49" s="18">
        <v>53.65</v>
      </c>
      <c r="H49" s="18">
        <v>51.15</v>
      </c>
      <c r="I49" s="18">
        <v>53.29</v>
      </c>
      <c r="J49" s="18">
        <v>51.67</v>
      </c>
      <c r="K49" s="19">
        <v>272185500</v>
      </c>
      <c r="M49" s="3">
        <v>45047</v>
      </c>
      <c r="N49">
        <v>415.47</v>
      </c>
      <c r="O49">
        <v>422.58</v>
      </c>
      <c r="P49">
        <v>403.74</v>
      </c>
      <c r="Q49" s="2">
        <v>417.85</v>
      </c>
      <c r="R49">
        <v>403.2</v>
      </c>
      <c r="S49" s="1">
        <v>1780909100</v>
      </c>
    </row>
    <row r="50" spans="1:19">
      <c r="A50" s="66" t="s">
        <v>587</v>
      </c>
      <c r="B50" s="63">
        <v>175522000</v>
      </c>
      <c r="C50" s="66" t="s">
        <v>588</v>
      </c>
      <c r="E50" s="14">
        <v>45078</v>
      </c>
      <c r="F50" s="15">
        <v>48.74</v>
      </c>
      <c r="G50" s="15">
        <v>52.74</v>
      </c>
      <c r="H50" s="15">
        <v>48.65</v>
      </c>
      <c r="I50" s="15">
        <v>52.39</v>
      </c>
      <c r="J50" s="15">
        <v>50.81</v>
      </c>
      <c r="K50" s="16">
        <v>390332400</v>
      </c>
      <c r="M50" s="3">
        <v>45017</v>
      </c>
      <c r="N50">
        <v>408.85</v>
      </c>
      <c r="O50">
        <v>415.94</v>
      </c>
      <c r="P50">
        <v>403.78</v>
      </c>
      <c r="Q50" s="2">
        <v>415.93</v>
      </c>
      <c r="R50">
        <v>401.35</v>
      </c>
      <c r="S50" s="1">
        <v>1395780500</v>
      </c>
    </row>
    <row r="51" spans="1:19">
      <c r="A51" s="62" t="s">
        <v>574</v>
      </c>
      <c r="B51" s="63">
        <v>167542000</v>
      </c>
      <c r="C51" s="63">
        <v>14203000</v>
      </c>
      <c r="E51" s="17">
        <v>45050</v>
      </c>
      <c r="F51" s="651" t="s">
        <v>581</v>
      </c>
      <c r="G51" s="686"/>
      <c r="H51" s="686"/>
      <c r="I51" s="686"/>
      <c r="J51" s="686"/>
      <c r="K51" s="686"/>
      <c r="M51" s="3">
        <v>45002</v>
      </c>
      <c r="N51" t="s">
        <v>589</v>
      </c>
    </row>
    <row r="52" spans="1:19">
      <c r="A52" s="62" t="s">
        <v>574</v>
      </c>
      <c r="B52" s="65" t="s">
        <v>590</v>
      </c>
      <c r="C52" s="63">
        <v>14203000</v>
      </c>
      <c r="E52" s="14">
        <v>45047</v>
      </c>
      <c r="F52" s="15">
        <v>50.35</v>
      </c>
      <c r="G52" s="15">
        <v>51.45</v>
      </c>
      <c r="H52" s="15">
        <v>48.34</v>
      </c>
      <c r="I52" s="15">
        <v>48.96</v>
      </c>
      <c r="J52" s="15">
        <v>47.29</v>
      </c>
      <c r="K52" s="16">
        <v>406453500</v>
      </c>
      <c r="M52" s="3">
        <v>44986</v>
      </c>
      <c r="N52">
        <v>395.41</v>
      </c>
      <c r="O52">
        <v>409.7</v>
      </c>
      <c r="P52">
        <v>380.65</v>
      </c>
      <c r="Q52" s="2">
        <v>409.39</v>
      </c>
      <c r="R52">
        <v>393.53</v>
      </c>
      <c r="S52" s="1">
        <v>2515995800</v>
      </c>
    </row>
    <row r="53" spans="1:19">
      <c r="A53" s="62" t="s">
        <v>574</v>
      </c>
      <c r="B53" s="63">
        <v>156956000</v>
      </c>
      <c r="C53" s="63">
        <v>12973000</v>
      </c>
      <c r="E53" s="17">
        <v>45017</v>
      </c>
      <c r="F53" s="18">
        <v>49.24</v>
      </c>
      <c r="G53" s="18">
        <v>51.25</v>
      </c>
      <c r="H53" s="18">
        <v>49.01</v>
      </c>
      <c r="I53" s="18">
        <v>50.32</v>
      </c>
      <c r="J53" s="18">
        <v>48.61</v>
      </c>
      <c r="K53" s="19">
        <v>301894800</v>
      </c>
      <c r="M53" s="3">
        <v>44958</v>
      </c>
      <c r="N53">
        <v>405.21</v>
      </c>
      <c r="O53">
        <v>418.31</v>
      </c>
      <c r="P53">
        <v>393.64</v>
      </c>
      <c r="Q53" s="2">
        <v>396.26</v>
      </c>
      <c r="R53">
        <v>380.91</v>
      </c>
      <c r="S53" s="1">
        <v>1603094700</v>
      </c>
    </row>
    <row r="54" spans="1:19">
      <c r="A54" s="62" t="s">
        <v>574</v>
      </c>
      <c r="B54" s="63">
        <v>139704000</v>
      </c>
      <c r="C54" s="63">
        <v>11853000</v>
      </c>
      <c r="E54" s="14">
        <v>45001</v>
      </c>
      <c r="F54" s="652" t="s">
        <v>581</v>
      </c>
      <c r="G54" s="686"/>
      <c r="H54" s="686"/>
      <c r="I54" s="686"/>
      <c r="J54" s="686"/>
      <c r="K54" s="686"/>
      <c r="M54" s="3">
        <v>44927</v>
      </c>
      <c r="N54">
        <v>384.37</v>
      </c>
      <c r="O54">
        <v>408.16</v>
      </c>
      <c r="P54">
        <v>377.83</v>
      </c>
      <c r="Q54" s="2">
        <v>406.48</v>
      </c>
      <c r="R54">
        <v>390.74</v>
      </c>
      <c r="S54" s="1">
        <v>1575450100</v>
      </c>
    </row>
    <row r="55" spans="1:19">
      <c r="A55" s="62" t="s">
        <v>574</v>
      </c>
      <c r="B55" s="63">
        <v>130338000</v>
      </c>
      <c r="C55" s="63">
        <v>10945000</v>
      </c>
      <c r="E55" s="17">
        <v>44986</v>
      </c>
      <c r="F55" s="18">
        <v>47.02</v>
      </c>
      <c r="G55" s="18">
        <v>49.48</v>
      </c>
      <c r="H55" s="18">
        <v>45.36</v>
      </c>
      <c r="I55" s="18">
        <v>49.15</v>
      </c>
      <c r="J55" s="18">
        <v>47.29</v>
      </c>
      <c r="K55" s="19">
        <v>524648700</v>
      </c>
      <c r="M55" s="3">
        <v>44911</v>
      </c>
      <c r="N55" t="s">
        <v>591</v>
      </c>
    </row>
    <row r="56" spans="1:19">
      <c r="A56" s="65" t="s">
        <v>592</v>
      </c>
      <c r="B56" s="63">
        <v>119234000</v>
      </c>
      <c r="C56" s="65" t="s">
        <v>593</v>
      </c>
      <c r="E56" s="14">
        <v>44958</v>
      </c>
      <c r="F56" s="15">
        <v>47.89</v>
      </c>
      <c r="G56" s="15">
        <v>49.45</v>
      </c>
      <c r="H56" s="15">
        <v>46.23</v>
      </c>
      <c r="I56" s="15">
        <v>47.38</v>
      </c>
      <c r="J56" s="15">
        <v>45.58</v>
      </c>
      <c r="K56" s="16">
        <v>368553300</v>
      </c>
      <c r="M56" s="3">
        <v>44896</v>
      </c>
      <c r="N56">
        <v>408.77</v>
      </c>
      <c r="O56">
        <v>410.49</v>
      </c>
      <c r="P56">
        <v>374.77</v>
      </c>
      <c r="Q56" s="2">
        <v>382.43</v>
      </c>
      <c r="R56">
        <v>365.94</v>
      </c>
      <c r="S56" s="1">
        <v>1735973600</v>
      </c>
    </row>
    <row r="57" spans="1:19">
      <c r="A57" s="62" t="s">
        <v>574</v>
      </c>
      <c r="B57" s="66" t="s">
        <v>594</v>
      </c>
      <c r="C57" s="63">
        <v>2277000</v>
      </c>
      <c r="E57" s="17">
        <v>44927</v>
      </c>
      <c r="F57" s="18">
        <v>47.52</v>
      </c>
      <c r="G57" s="18">
        <v>49.29</v>
      </c>
      <c r="H57" s="18">
        <v>46.06</v>
      </c>
      <c r="I57" s="18">
        <v>47.96</v>
      </c>
      <c r="J57" s="18">
        <v>46.14</v>
      </c>
      <c r="K57" s="19">
        <v>324054600</v>
      </c>
      <c r="M57" s="3">
        <v>44866</v>
      </c>
      <c r="N57">
        <v>390.14</v>
      </c>
      <c r="O57">
        <v>407.68</v>
      </c>
      <c r="P57">
        <v>368.79</v>
      </c>
      <c r="Q57" s="2">
        <v>407.68</v>
      </c>
      <c r="R57">
        <v>390.1</v>
      </c>
      <c r="S57" s="1">
        <v>1745985300</v>
      </c>
    </row>
    <row r="58" spans="1:19">
      <c r="A58" s="62" t="s">
        <v>574</v>
      </c>
      <c r="B58" s="63">
        <v>277294000</v>
      </c>
      <c r="C58" s="63">
        <v>2277000</v>
      </c>
      <c r="E58" s="14">
        <v>44903</v>
      </c>
      <c r="F58" s="652" t="s">
        <v>595</v>
      </c>
      <c r="G58" s="686"/>
      <c r="H58" s="686"/>
      <c r="I58" s="686"/>
      <c r="J58" s="686"/>
      <c r="K58" s="686"/>
      <c r="M58" s="3">
        <v>44835</v>
      </c>
      <c r="N58">
        <v>361.08</v>
      </c>
      <c r="O58">
        <v>389.52</v>
      </c>
      <c r="P58">
        <v>348.11</v>
      </c>
      <c r="Q58" s="2">
        <v>386.21</v>
      </c>
      <c r="R58">
        <v>369.55</v>
      </c>
      <c r="S58" s="1">
        <v>2024732000</v>
      </c>
    </row>
    <row r="59" spans="1:19">
      <c r="A59" s="62" t="s">
        <v>574</v>
      </c>
      <c r="B59" s="63">
        <v>251328000</v>
      </c>
      <c r="C59" s="63">
        <v>-635000</v>
      </c>
      <c r="E59" s="17">
        <v>44896</v>
      </c>
      <c r="F59" s="18">
        <v>50.68</v>
      </c>
      <c r="G59" s="18">
        <v>51.2</v>
      </c>
      <c r="H59" s="18">
        <v>46.94</v>
      </c>
      <c r="I59" s="18">
        <v>47.26</v>
      </c>
      <c r="J59" s="18">
        <v>45.3</v>
      </c>
      <c r="K59" s="19">
        <v>382125300</v>
      </c>
      <c r="M59" s="3">
        <v>44820</v>
      </c>
      <c r="N59" t="s">
        <v>596</v>
      </c>
    </row>
    <row r="60" spans="1:19">
      <c r="A60" s="62" t="s">
        <v>574</v>
      </c>
      <c r="B60" s="63">
        <v>239387000</v>
      </c>
      <c r="C60" s="63">
        <v>-175000</v>
      </c>
      <c r="E60" s="14">
        <v>44866</v>
      </c>
      <c r="F60" s="15">
        <v>47.66</v>
      </c>
      <c r="G60" s="15">
        <v>51.55</v>
      </c>
      <c r="H60" s="15">
        <v>46.09</v>
      </c>
      <c r="I60" s="15">
        <v>50.81</v>
      </c>
      <c r="J60" s="15">
        <v>48.7</v>
      </c>
      <c r="K60" s="16">
        <v>454982100</v>
      </c>
      <c r="M60" s="3">
        <v>44805</v>
      </c>
      <c r="N60">
        <v>392.89</v>
      </c>
      <c r="O60">
        <v>411.73</v>
      </c>
      <c r="P60">
        <v>357.04</v>
      </c>
      <c r="Q60" s="2">
        <v>357.18</v>
      </c>
      <c r="R60">
        <v>340.38</v>
      </c>
      <c r="S60" s="1">
        <v>1998908600</v>
      </c>
    </row>
    <row r="61" spans="1:19">
      <c r="A61" s="62" t="s">
        <v>574</v>
      </c>
      <c r="B61" s="63">
        <v>220844000</v>
      </c>
      <c r="C61" s="63">
        <v>449000</v>
      </c>
      <c r="E61" s="17">
        <v>44835</v>
      </c>
      <c r="F61" s="18">
        <v>43.41</v>
      </c>
      <c r="G61" s="18">
        <v>47.69</v>
      </c>
      <c r="H61" s="18">
        <v>42.69</v>
      </c>
      <c r="I61" s="18">
        <v>47.44</v>
      </c>
      <c r="J61" s="18">
        <v>45.47</v>
      </c>
      <c r="K61" s="19">
        <v>350685000</v>
      </c>
      <c r="M61" s="3">
        <v>44774</v>
      </c>
      <c r="N61">
        <v>409.15</v>
      </c>
      <c r="O61">
        <v>431.73</v>
      </c>
      <c r="P61">
        <v>395.04</v>
      </c>
      <c r="Q61" s="2">
        <v>395.18</v>
      </c>
      <c r="R61">
        <v>376.59</v>
      </c>
      <c r="S61" s="1">
        <v>1443394400</v>
      </c>
    </row>
    <row r="62" spans="1:19">
      <c r="A62" s="64" t="s">
        <v>597</v>
      </c>
      <c r="B62" s="67" t="s">
        <v>598</v>
      </c>
      <c r="C62" s="66" t="s">
        <v>599</v>
      </c>
      <c r="E62" s="14">
        <v>44805</v>
      </c>
      <c r="F62" s="15">
        <v>44.18</v>
      </c>
      <c r="G62" s="15">
        <v>46.08</v>
      </c>
      <c r="H62" s="15">
        <v>42.76</v>
      </c>
      <c r="I62" s="15">
        <v>43.23</v>
      </c>
      <c r="J62" s="15">
        <v>41.44</v>
      </c>
      <c r="K62" s="16">
        <v>416526900</v>
      </c>
      <c r="M62" s="3">
        <v>44743</v>
      </c>
      <c r="N62">
        <v>376.56</v>
      </c>
      <c r="O62">
        <v>413.03</v>
      </c>
      <c r="P62">
        <v>371.04</v>
      </c>
      <c r="Q62" s="2">
        <v>411.99</v>
      </c>
      <c r="R62">
        <v>392.61</v>
      </c>
      <c r="S62" s="1">
        <v>1437748400</v>
      </c>
    </row>
    <row r="63" spans="1:19">
      <c r="A63" s="62" t="s">
        <v>574</v>
      </c>
      <c r="B63" s="62">
        <v>0</v>
      </c>
      <c r="C63" s="63">
        <v>2277000</v>
      </c>
      <c r="E63" s="17">
        <v>44784</v>
      </c>
      <c r="F63" s="651" t="s">
        <v>595</v>
      </c>
      <c r="G63" s="686"/>
      <c r="H63" s="686"/>
      <c r="I63" s="686"/>
      <c r="J63" s="686"/>
      <c r="K63" s="686"/>
      <c r="M63" s="3">
        <v>44729</v>
      </c>
      <c r="N63" t="s">
        <v>600</v>
      </c>
    </row>
    <row r="64" spans="1:19">
      <c r="A64" s="62" t="s">
        <v>574</v>
      </c>
      <c r="B64" s="62">
        <v>0</v>
      </c>
      <c r="C64" s="63">
        <v>2277000</v>
      </c>
      <c r="E64" s="14">
        <v>44774</v>
      </c>
      <c r="F64" s="15">
        <v>43.69</v>
      </c>
      <c r="G64" s="15">
        <v>47.57</v>
      </c>
      <c r="H64" s="15">
        <v>41.71</v>
      </c>
      <c r="I64" s="15">
        <v>44.18</v>
      </c>
      <c r="J64" s="15">
        <v>42.17</v>
      </c>
      <c r="K64" s="16">
        <v>623681700</v>
      </c>
      <c r="M64" s="3">
        <v>44713</v>
      </c>
      <c r="N64">
        <v>415.17</v>
      </c>
      <c r="O64">
        <v>417.44</v>
      </c>
      <c r="P64">
        <v>362.17</v>
      </c>
      <c r="Q64" s="2">
        <v>377.25</v>
      </c>
      <c r="R64">
        <v>357.96</v>
      </c>
      <c r="S64" s="1">
        <v>1958611900</v>
      </c>
    </row>
    <row r="65" spans="1:19">
      <c r="A65" s="62" t="s">
        <v>574</v>
      </c>
      <c r="B65" s="62">
        <v>0</v>
      </c>
      <c r="C65" s="63">
        <v>-635000</v>
      </c>
      <c r="E65" s="17">
        <v>44743</v>
      </c>
      <c r="F65" s="18">
        <v>40.65</v>
      </c>
      <c r="G65" s="18">
        <v>44.46</v>
      </c>
      <c r="H65" s="18">
        <v>40.020000000000003</v>
      </c>
      <c r="I65" s="18">
        <v>44.02</v>
      </c>
      <c r="J65" s="18">
        <v>42.01</v>
      </c>
      <c r="K65" s="19">
        <v>472936800</v>
      </c>
      <c r="M65" s="3">
        <v>44682</v>
      </c>
      <c r="N65">
        <v>412.07</v>
      </c>
      <c r="O65">
        <v>429.66</v>
      </c>
      <c r="P65">
        <v>380.54</v>
      </c>
      <c r="Q65" s="2">
        <v>412.93</v>
      </c>
      <c r="R65">
        <v>391.81</v>
      </c>
      <c r="S65" s="1">
        <v>2418478100</v>
      </c>
    </row>
    <row r="66" spans="1:19">
      <c r="A66" s="62" t="s">
        <v>574</v>
      </c>
      <c r="B66" s="62">
        <v>0</v>
      </c>
      <c r="C66" s="63">
        <v>-175000</v>
      </c>
      <c r="E66" s="14">
        <v>44713</v>
      </c>
      <c r="F66" s="15">
        <v>42.83</v>
      </c>
      <c r="G66" s="15">
        <v>42.97</v>
      </c>
      <c r="H66" s="15">
        <v>39.299999999999997</v>
      </c>
      <c r="I66" s="15">
        <v>40.53</v>
      </c>
      <c r="J66" s="15">
        <v>38.68</v>
      </c>
      <c r="K66" s="16">
        <v>512761800</v>
      </c>
      <c r="M66" s="3">
        <v>44652</v>
      </c>
      <c r="N66">
        <v>453.31</v>
      </c>
      <c r="O66">
        <v>457.83</v>
      </c>
      <c r="P66">
        <v>411.21</v>
      </c>
      <c r="Q66" s="2">
        <v>412</v>
      </c>
      <c r="R66">
        <v>390.93</v>
      </c>
      <c r="S66" s="1">
        <v>1856757400</v>
      </c>
    </row>
    <row r="67" spans="1:19">
      <c r="A67" s="62" t="s">
        <v>574</v>
      </c>
      <c r="B67" s="67" t="s">
        <v>601</v>
      </c>
      <c r="C67" s="63">
        <v>449000</v>
      </c>
      <c r="E67" s="17">
        <v>44686</v>
      </c>
      <c r="F67" s="651" t="s">
        <v>595</v>
      </c>
      <c r="G67" s="686"/>
      <c r="H67" s="686"/>
      <c r="I67" s="686"/>
      <c r="J67" s="686"/>
      <c r="K67" s="686"/>
      <c r="M67" s="3">
        <v>44638</v>
      </c>
      <c r="N67" t="s">
        <v>602</v>
      </c>
    </row>
    <row r="68" spans="1:19">
      <c r="A68" s="62" t="s">
        <v>603</v>
      </c>
      <c r="B68" s="63">
        <v>20754000</v>
      </c>
      <c r="C68" s="65" t="s">
        <v>604</v>
      </c>
      <c r="E68" s="14">
        <v>44682</v>
      </c>
      <c r="F68" s="15">
        <v>51.65</v>
      </c>
      <c r="G68" s="15">
        <v>51.66</v>
      </c>
      <c r="H68" s="15">
        <v>39.090000000000003</v>
      </c>
      <c r="I68" s="15">
        <v>42.88</v>
      </c>
      <c r="J68" s="15">
        <v>40.770000000000003</v>
      </c>
      <c r="K68" s="16">
        <v>816439800</v>
      </c>
      <c r="M68" s="3">
        <v>44621</v>
      </c>
      <c r="N68">
        <v>435.04</v>
      </c>
      <c r="O68">
        <v>462.07</v>
      </c>
      <c r="P68">
        <v>415.12</v>
      </c>
      <c r="Q68" s="2">
        <v>451.64</v>
      </c>
      <c r="R68">
        <v>427.22</v>
      </c>
      <c r="S68" s="1">
        <v>2380929500</v>
      </c>
    </row>
    <row r="69" spans="1:19">
      <c r="A69" s="63">
        <v>29825000</v>
      </c>
      <c r="B69" s="63">
        <v>19342000</v>
      </c>
      <c r="C69" s="63">
        <v>4079000</v>
      </c>
      <c r="E69" s="17">
        <v>44652</v>
      </c>
      <c r="F69" s="18">
        <v>49.89</v>
      </c>
      <c r="G69" s="18">
        <v>53.59</v>
      </c>
      <c r="H69" s="18">
        <v>49.61</v>
      </c>
      <c r="I69" s="18">
        <v>51</v>
      </c>
      <c r="J69" s="18">
        <v>48.49</v>
      </c>
      <c r="K69" s="19">
        <v>427213500</v>
      </c>
      <c r="M69" s="3">
        <v>44593</v>
      </c>
      <c r="N69">
        <v>450.68</v>
      </c>
      <c r="O69">
        <v>458.12</v>
      </c>
      <c r="P69">
        <v>410.64</v>
      </c>
      <c r="Q69" s="2">
        <v>436.63</v>
      </c>
      <c r="R69">
        <v>413.02</v>
      </c>
      <c r="S69" s="1">
        <v>2297975100</v>
      </c>
    </row>
    <row r="70" spans="1:19">
      <c r="A70" s="63">
        <v>29825000</v>
      </c>
      <c r="B70" s="63">
        <v>19562000</v>
      </c>
      <c r="C70" s="63">
        <v>4079000</v>
      </c>
      <c r="E70" s="14">
        <v>44637</v>
      </c>
      <c r="F70" s="652" t="s">
        <v>595</v>
      </c>
      <c r="G70" s="686"/>
      <c r="H70" s="686"/>
      <c r="I70" s="686"/>
      <c r="J70" s="686"/>
      <c r="K70" s="686"/>
      <c r="M70" s="3">
        <v>44562</v>
      </c>
      <c r="N70">
        <v>476.3</v>
      </c>
      <c r="O70">
        <v>479.98</v>
      </c>
      <c r="P70">
        <v>420.76</v>
      </c>
      <c r="Q70" s="2">
        <v>449.91</v>
      </c>
      <c r="R70">
        <v>425.58</v>
      </c>
      <c r="S70" s="1">
        <v>2485167800</v>
      </c>
    </row>
    <row r="71" spans="1:19">
      <c r="A71" s="63">
        <v>29348000</v>
      </c>
      <c r="B71" s="63">
        <v>19317000</v>
      </c>
      <c r="C71" s="63">
        <v>2889000</v>
      </c>
      <c r="E71" s="17">
        <v>44621</v>
      </c>
      <c r="F71" s="18">
        <v>45.29</v>
      </c>
      <c r="G71" s="18">
        <v>50.18</v>
      </c>
      <c r="H71" s="18">
        <v>45.01</v>
      </c>
      <c r="I71" s="18">
        <v>49.64</v>
      </c>
      <c r="J71" s="18">
        <v>47.02</v>
      </c>
      <c r="K71" s="19">
        <v>557647500</v>
      </c>
      <c r="M71" s="3">
        <v>44547</v>
      </c>
      <c r="N71" t="s">
        <v>605</v>
      </c>
    </row>
    <row r="72" spans="1:19">
      <c r="A72" s="63">
        <v>27012000</v>
      </c>
      <c r="B72" s="67" t="s">
        <v>606</v>
      </c>
      <c r="C72" s="63">
        <v>2642000</v>
      </c>
      <c r="E72" s="14">
        <v>44593</v>
      </c>
      <c r="F72" s="15">
        <v>46.4</v>
      </c>
      <c r="G72" s="15">
        <v>47.33</v>
      </c>
      <c r="H72" s="15">
        <v>44</v>
      </c>
      <c r="I72" s="15">
        <v>45.05</v>
      </c>
      <c r="J72" s="15">
        <v>42.68</v>
      </c>
      <c r="K72" s="16">
        <v>487764300</v>
      </c>
      <c r="M72" s="3">
        <v>44531</v>
      </c>
      <c r="N72">
        <v>461.64</v>
      </c>
      <c r="O72">
        <v>479</v>
      </c>
      <c r="P72">
        <v>448.92</v>
      </c>
      <c r="Q72" s="2">
        <v>474.96</v>
      </c>
      <c r="R72">
        <v>447.7</v>
      </c>
      <c r="S72" s="1">
        <v>1927433900</v>
      </c>
    </row>
    <row r="73" spans="1:19">
      <c r="A73" s="63">
        <v>20428000</v>
      </c>
      <c r="B73" s="63">
        <v>128472000</v>
      </c>
      <c r="C73" s="63">
        <v>1919000</v>
      </c>
      <c r="E73" s="17">
        <v>44562</v>
      </c>
      <c r="F73" s="18">
        <v>48</v>
      </c>
      <c r="G73" s="18">
        <v>48.88</v>
      </c>
      <c r="H73" s="18">
        <v>44.65</v>
      </c>
      <c r="I73" s="18">
        <v>46.6</v>
      </c>
      <c r="J73" s="18">
        <v>44.14</v>
      </c>
      <c r="K73" s="19">
        <v>497216100</v>
      </c>
      <c r="M73" s="3">
        <v>44501</v>
      </c>
      <c r="N73">
        <v>460.3</v>
      </c>
      <c r="O73">
        <v>473.54</v>
      </c>
      <c r="P73">
        <v>455.3</v>
      </c>
      <c r="Q73" s="2">
        <v>455.56</v>
      </c>
      <c r="R73">
        <v>429.41</v>
      </c>
      <c r="S73" s="1">
        <v>1335351500</v>
      </c>
    </row>
    <row r="74" spans="1:19">
      <c r="A74" s="62" t="s">
        <v>607</v>
      </c>
      <c r="B74" s="63">
        <v>117973000</v>
      </c>
      <c r="C74" s="65" t="s">
        <v>608</v>
      </c>
      <c r="E74" s="14">
        <v>44539</v>
      </c>
      <c r="F74" s="652" t="s">
        <v>609</v>
      </c>
      <c r="G74" s="686"/>
      <c r="H74" s="686"/>
      <c r="I74" s="686"/>
      <c r="J74" s="686"/>
      <c r="K74" s="686"/>
      <c r="M74" s="3">
        <v>44470</v>
      </c>
      <c r="N74">
        <v>430.98</v>
      </c>
      <c r="O74">
        <v>459.56</v>
      </c>
      <c r="P74">
        <v>426.36</v>
      </c>
      <c r="Q74" s="2">
        <v>459.25</v>
      </c>
      <c r="R74">
        <v>432.89</v>
      </c>
      <c r="S74" s="1">
        <v>1508665200</v>
      </c>
    </row>
    <row r="75" spans="1:19">
      <c r="A75" s="63">
        <v>-2431000</v>
      </c>
      <c r="B75" s="63">
        <v>111767000</v>
      </c>
      <c r="C75" s="63">
        <v>752000</v>
      </c>
      <c r="E75" s="17">
        <v>44531</v>
      </c>
      <c r="F75" s="18">
        <v>46.84</v>
      </c>
      <c r="G75" s="18">
        <v>48.84</v>
      </c>
      <c r="H75" s="18">
        <v>45.08</v>
      </c>
      <c r="I75" s="18">
        <v>48.23</v>
      </c>
      <c r="J75" s="18">
        <v>45.5</v>
      </c>
      <c r="K75" s="19">
        <v>716247600</v>
      </c>
      <c r="M75" s="3">
        <v>44456</v>
      </c>
      <c r="N75" t="s">
        <v>610</v>
      </c>
    </row>
    <row r="76" spans="1:19">
      <c r="A76" s="63">
        <v>-2431000</v>
      </c>
      <c r="B76" s="63">
        <v>104554000</v>
      </c>
      <c r="C76" s="63">
        <v>752000</v>
      </c>
      <c r="E76" s="14">
        <v>44501</v>
      </c>
      <c r="F76" s="15">
        <v>49.99</v>
      </c>
      <c r="G76" s="15">
        <v>50.67</v>
      </c>
      <c r="H76" s="15">
        <v>46.67</v>
      </c>
      <c r="I76" s="15">
        <v>46.88</v>
      </c>
      <c r="J76" s="15">
        <v>44.22</v>
      </c>
      <c r="K76" s="16">
        <v>534258600</v>
      </c>
      <c r="M76" s="3">
        <v>44440</v>
      </c>
      <c r="N76">
        <v>452.56</v>
      </c>
      <c r="O76">
        <v>454.05</v>
      </c>
      <c r="P76">
        <v>428.78</v>
      </c>
      <c r="Q76" s="2">
        <v>429.14</v>
      </c>
      <c r="R76">
        <v>403.22</v>
      </c>
      <c r="S76" s="1">
        <v>1745559600</v>
      </c>
    </row>
    <row r="77" spans="1:19">
      <c r="A77" s="63">
        <v>-2245000</v>
      </c>
      <c r="B77" s="67" t="s">
        <v>611</v>
      </c>
      <c r="C77" s="63">
        <v>181000</v>
      </c>
      <c r="E77" s="17">
        <v>44470</v>
      </c>
      <c r="F77" s="18">
        <v>46.42</v>
      </c>
      <c r="G77" s="18">
        <v>50.18</v>
      </c>
      <c r="H77" s="18">
        <v>44.9</v>
      </c>
      <c r="I77" s="18">
        <v>49.81</v>
      </c>
      <c r="J77" s="18">
        <v>46.99</v>
      </c>
      <c r="K77" s="19">
        <v>413998800</v>
      </c>
      <c r="M77" s="3">
        <v>44409</v>
      </c>
      <c r="N77">
        <v>440.34</v>
      </c>
      <c r="O77">
        <v>453.07</v>
      </c>
      <c r="P77">
        <v>436.1</v>
      </c>
      <c r="Q77" s="2">
        <v>451.56</v>
      </c>
      <c r="R77">
        <v>424.28</v>
      </c>
      <c r="S77" s="1">
        <v>1254001400</v>
      </c>
    </row>
    <row r="78" spans="1:19">
      <c r="A78" s="63">
        <v>-2137000</v>
      </c>
      <c r="B78" s="63">
        <v>88467000</v>
      </c>
      <c r="C78" s="63">
        <v>1943000</v>
      </c>
      <c r="E78" s="14">
        <v>44440</v>
      </c>
      <c r="F78" s="15">
        <v>49.19</v>
      </c>
      <c r="G78" s="15">
        <v>49.88</v>
      </c>
      <c r="H78" s="15">
        <v>46.42</v>
      </c>
      <c r="I78" s="15">
        <v>46.46</v>
      </c>
      <c r="J78" s="15">
        <v>43.83</v>
      </c>
      <c r="K78" s="16">
        <v>453765600</v>
      </c>
      <c r="M78" s="3">
        <v>44378</v>
      </c>
      <c r="N78">
        <v>428.87</v>
      </c>
      <c r="O78">
        <v>441.8</v>
      </c>
      <c r="P78">
        <v>421.97</v>
      </c>
      <c r="Q78" s="2">
        <v>438.51</v>
      </c>
      <c r="R78">
        <v>412.02</v>
      </c>
      <c r="S78" s="1">
        <v>1422104700</v>
      </c>
    </row>
    <row r="79" spans="1:19">
      <c r="A79" s="63">
        <v>-1874000</v>
      </c>
      <c r="B79" s="63">
        <v>78899000</v>
      </c>
      <c r="C79" s="63">
        <v>2553000</v>
      </c>
      <c r="E79" s="17">
        <v>44420</v>
      </c>
      <c r="F79" s="651" t="s">
        <v>609</v>
      </c>
      <c r="G79" s="686"/>
      <c r="H79" s="686"/>
      <c r="I79" s="686"/>
      <c r="J79" s="686"/>
      <c r="K79" s="686"/>
      <c r="M79" s="3">
        <v>44365</v>
      </c>
      <c r="N79" t="s">
        <v>612</v>
      </c>
    </row>
    <row r="80" spans="1:19">
      <c r="A80" s="64" t="s">
        <v>613</v>
      </c>
      <c r="B80" s="63">
        <v>75140000</v>
      </c>
      <c r="C80" s="66" t="s">
        <v>614</v>
      </c>
      <c r="E80" s="14">
        <v>44409</v>
      </c>
      <c r="F80" s="15">
        <v>47.61</v>
      </c>
      <c r="G80" s="15">
        <v>50.86</v>
      </c>
      <c r="H80" s="15">
        <v>47.22</v>
      </c>
      <c r="I80" s="15">
        <v>49.37</v>
      </c>
      <c r="J80" s="15">
        <v>46.4</v>
      </c>
      <c r="K80" s="16">
        <v>544199400</v>
      </c>
      <c r="M80" s="3">
        <v>44348</v>
      </c>
      <c r="N80">
        <v>422.57</v>
      </c>
      <c r="O80">
        <v>428.78</v>
      </c>
      <c r="P80">
        <v>414.7</v>
      </c>
      <c r="Q80" s="2">
        <v>428.06</v>
      </c>
      <c r="R80">
        <v>400.89</v>
      </c>
      <c r="S80" s="1">
        <v>1282152400</v>
      </c>
    </row>
    <row r="81" spans="1:19">
      <c r="A81" s="63">
        <v>368000</v>
      </c>
      <c r="B81" s="63">
        <v>67697000</v>
      </c>
      <c r="C81" s="63">
        <v>-1136000</v>
      </c>
      <c r="E81" s="17">
        <v>44378</v>
      </c>
      <c r="F81" s="18">
        <v>46.8</v>
      </c>
      <c r="G81" s="18">
        <v>47.95</v>
      </c>
      <c r="H81" s="18">
        <v>46.07</v>
      </c>
      <c r="I81" s="18">
        <v>47.52</v>
      </c>
      <c r="J81" s="18">
        <v>44.66</v>
      </c>
      <c r="K81" s="19">
        <v>395649300</v>
      </c>
      <c r="M81" s="3">
        <v>44317</v>
      </c>
      <c r="N81">
        <v>419.43</v>
      </c>
      <c r="O81">
        <v>422.82</v>
      </c>
      <c r="P81">
        <v>404</v>
      </c>
      <c r="Q81" s="2">
        <v>420.04</v>
      </c>
      <c r="R81">
        <v>393.38</v>
      </c>
      <c r="S81" s="1">
        <v>1547235900</v>
      </c>
    </row>
    <row r="82" spans="1:19">
      <c r="A82" s="63">
        <v>368000</v>
      </c>
      <c r="B82" s="67" t="s">
        <v>615</v>
      </c>
      <c r="C82" s="63">
        <v>-1136000</v>
      </c>
      <c r="E82" s="14">
        <v>44348</v>
      </c>
      <c r="F82" s="15">
        <v>47.4</v>
      </c>
      <c r="G82" s="15">
        <v>47.6</v>
      </c>
      <c r="H82" s="15">
        <v>44.8</v>
      </c>
      <c r="I82" s="15">
        <v>47.01</v>
      </c>
      <c r="J82" s="15">
        <v>44.18</v>
      </c>
      <c r="K82" s="16">
        <v>507321000</v>
      </c>
      <c r="M82" s="3">
        <v>44287</v>
      </c>
      <c r="N82">
        <v>398.4</v>
      </c>
      <c r="O82">
        <v>420.72</v>
      </c>
      <c r="P82">
        <v>398.18</v>
      </c>
      <c r="Q82" s="2">
        <v>417.3</v>
      </c>
      <c r="R82">
        <v>390.82</v>
      </c>
      <c r="S82" s="1">
        <v>1462106600</v>
      </c>
    </row>
    <row r="83" spans="1:19">
      <c r="A83" s="63">
        <v>483000</v>
      </c>
      <c r="B83" s="63">
        <v>20873000</v>
      </c>
      <c r="C83" s="63">
        <v>-1106000</v>
      </c>
      <c r="E83" s="17">
        <v>44322</v>
      </c>
      <c r="F83" s="651" t="s">
        <v>609</v>
      </c>
      <c r="G83" s="686"/>
      <c r="H83" s="686"/>
      <c r="I83" s="686"/>
      <c r="J83" s="686"/>
      <c r="K83" s="686"/>
    </row>
    <row r="84" spans="1:19">
      <c r="A84" s="63">
        <v>546000</v>
      </c>
      <c r="B84" s="63">
        <v>19711000</v>
      </c>
      <c r="C84" s="63">
        <v>-797000</v>
      </c>
      <c r="E84" s="14">
        <v>44317</v>
      </c>
      <c r="F84" s="15">
        <v>46.56</v>
      </c>
      <c r="G84" s="15">
        <v>48.19</v>
      </c>
      <c r="H84" s="15">
        <v>45.25</v>
      </c>
      <c r="I84" s="15">
        <v>47.34</v>
      </c>
      <c r="J84" s="15">
        <v>44.33</v>
      </c>
      <c r="K84" s="16">
        <v>524333400</v>
      </c>
    </row>
    <row r="85" spans="1:19">
      <c r="A85" s="63">
        <v>254000</v>
      </c>
      <c r="B85" s="63">
        <v>19528000</v>
      </c>
      <c r="C85" s="63">
        <v>240000</v>
      </c>
      <c r="E85" s="33">
        <v>44287</v>
      </c>
      <c r="F85" s="34">
        <v>45.31</v>
      </c>
      <c r="G85" s="34">
        <v>47.26</v>
      </c>
      <c r="H85" s="34">
        <v>45.11</v>
      </c>
      <c r="I85" s="34">
        <v>46.64</v>
      </c>
      <c r="J85" s="34">
        <v>43.67</v>
      </c>
      <c r="K85" s="35">
        <v>459365700</v>
      </c>
    </row>
    <row r="86" spans="1:19">
      <c r="A86" s="64" t="s">
        <v>616</v>
      </c>
      <c r="B86" s="63">
        <v>18474000</v>
      </c>
      <c r="C86" s="66" t="s">
        <v>617</v>
      </c>
    </row>
    <row r="87" spans="1:19">
      <c r="A87" s="63">
        <v>2799000</v>
      </c>
      <c r="B87" s="67" t="s">
        <v>618</v>
      </c>
      <c r="C87" s="63">
        <v>-1443000</v>
      </c>
    </row>
    <row r="88" spans="1:19">
      <c r="A88" s="63">
        <v>2799000</v>
      </c>
      <c r="B88" s="63">
        <v>18728000</v>
      </c>
      <c r="C88" s="63">
        <v>-1443000</v>
      </c>
    </row>
    <row r="89" spans="1:19">
      <c r="A89" s="63">
        <v>2728000</v>
      </c>
      <c r="B89" s="63">
        <v>15403000</v>
      </c>
      <c r="C89" s="63">
        <v>-2755000</v>
      </c>
    </row>
    <row r="90" spans="1:19">
      <c r="A90" s="63">
        <v>2683000</v>
      </c>
      <c r="B90" s="63">
        <v>13390000</v>
      </c>
      <c r="C90" s="63">
        <v>2017000</v>
      </c>
    </row>
    <row r="91" spans="1:19">
      <c r="A91" s="63">
        <v>2128000</v>
      </c>
      <c r="B91" s="63">
        <v>10802000</v>
      </c>
      <c r="C91" s="63">
        <v>-528000</v>
      </c>
    </row>
    <row r="92" spans="1:19">
      <c r="A92" s="62" t="s">
        <v>619</v>
      </c>
      <c r="B92" s="66" t="s">
        <v>620</v>
      </c>
      <c r="C92" s="66" t="s">
        <v>621</v>
      </c>
    </row>
    <row r="93" spans="1:19">
      <c r="A93" s="63">
        <v>2075000</v>
      </c>
      <c r="B93" s="63">
        <v>-120338000</v>
      </c>
      <c r="C93" s="63">
        <v>3331000</v>
      </c>
    </row>
    <row r="94" spans="1:19">
      <c r="A94" s="63">
        <v>2075000</v>
      </c>
      <c r="B94" s="63">
        <v>-111624000</v>
      </c>
      <c r="C94" s="63">
        <v>3331000</v>
      </c>
    </row>
    <row r="95" spans="1:19">
      <c r="A95" s="63">
        <v>-794000</v>
      </c>
      <c r="B95" s="63">
        <v>-109049000</v>
      </c>
      <c r="C95" s="63">
        <v>4042000</v>
      </c>
    </row>
    <row r="96" spans="1:19">
      <c r="A96" s="63">
        <v>-3027000</v>
      </c>
      <c r="B96" s="63">
        <v>-101610000</v>
      </c>
      <c r="C96" s="63">
        <v>723000</v>
      </c>
    </row>
    <row r="97" spans="1:3">
      <c r="A97" s="63">
        <v>-1538000</v>
      </c>
      <c r="B97" s="65" t="s">
        <v>622</v>
      </c>
      <c r="C97" s="63">
        <v>2841000</v>
      </c>
    </row>
    <row r="98" spans="1:3">
      <c r="A98" s="64" t="s">
        <v>623</v>
      </c>
      <c r="B98" s="63">
        <v>28735000</v>
      </c>
      <c r="C98" s="67" t="s">
        <v>624</v>
      </c>
    </row>
    <row r="99" spans="1:3">
      <c r="A99" s="62" t="s">
        <v>574</v>
      </c>
      <c r="B99" s="63">
        <v>28792000</v>
      </c>
      <c r="C99" s="63">
        <v>1724000</v>
      </c>
    </row>
    <row r="100" spans="1:3">
      <c r="A100" s="62" t="s">
        <v>574</v>
      </c>
      <c r="B100" s="63">
        <v>28113000</v>
      </c>
      <c r="C100" s="63">
        <v>1724000</v>
      </c>
    </row>
    <row r="101" spans="1:3">
      <c r="A101" s="62" t="s">
        <v>574</v>
      </c>
      <c r="B101" s="63">
        <v>28174000</v>
      </c>
      <c r="C101" s="63">
        <v>3663000</v>
      </c>
    </row>
    <row r="102" spans="1:3">
      <c r="A102" s="62">
        <v>0</v>
      </c>
      <c r="B102" s="66" t="s">
        <v>625</v>
      </c>
      <c r="C102" s="63">
        <v>2047000</v>
      </c>
    </row>
    <row r="103" spans="1:3">
      <c r="A103" s="62">
        <v>0</v>
      </c>
      <c r="B103" s="63">
        <v>28735000</v>
      </c>
      <c r="C103" s="63">
        <v>-1552000</v>
      </c>
    </row>
    <row r="104" spans="1:3">
      <c r="A104" s="64" t="s">
        <v>626</v>
      </c>
      <c r="B104" s="63">
        <v>28792000</v>
      </c>
      <c r="C104" s="68" t="s">
        <v>627</v>
      </c>
    </row>
    <row r="105" spans="1:3">
      <c r="A105" s="63">
        <v>2075000</v>
      </c>
      <c r="B105" s="63">
        <v>28113000</v>
      </c>
      <c r="C105" s="63">
        <v>113000</v>
      </c>
    </row>
    <row r="106" spans="1:3">
      <c r="A106" s="63">
        <v>2075000</v>
      </c>
      <c r="B106" s="63">
        <v>28174000</v>
      </c>
      <c r="C106" s="63">
        <v>113000</v>
      </c>
    </row>
    <row r="107" spans="1:3">
      <c r="A107" s="63">
        <v>-794000</v>
      </c>
      <c r="B107" s="65" t="s">
        <v>628</v>
      </c>
      <c r="C107" s="63">
        <v>435000</v>
      </c>
    </row>
    <row r="108" spans="1:3">
      <c r="A108" s="63">
        <v>-3027000</v>
      </c>
      <c r="B108" s="63">
        <v>14103000</v>
      </c>
      <c r="C108" s="63">
        <v>-468000</v>
      </c>
    </row>
    <row r="109" spans="1:3">
      <c r="A109" s="63">
        <v>-1538000</v>
      </c>
      <c r="B109" s="63">
        <v>12869000</v>
      </c>
      <c r="C109" s="63">
        <v>-127000</v>
      </c>
    </row>
    <row r="110" spans="1:3">
      <c r="A110" s="62" t="s">
        <v>629</v>
      </c>
      <c r="B110" s="63">
        <v>17071000</v>
      </c>
      <c r="C110" s="69" t="s">
        <v>630</v>
      </c>
    </row>
    <row r="111" spans="1:3">
      <c r="A111" s="63">
        <v>29469000</v>
      </c>
      <c r="B111" s="63">
        <v>20134000</v>
      </c>
      <c r="C111" s="63">
        <v>113000</v>
      </c>
    </row>
    <row r="112" spans="1:3">
      <c r="A112" s="63">
        <v>29469000</v>
      </c>
      <c r="B112" s="62" t="s">
        <v>631</v>
      </c>
      <c r="C112" s="63">
        <v>113000</v>
      </c>
    </row>
    <row r="113" spans="1:3">
      <c r="A113" s="63">
        <v>26309000</v>
      </c>
      <c r="B113" s="63">
        <v>178488000</v>
      </c>
      <c r="C113" s="63">
        <v>435000</v>
      </c>
    </row>
    <row r="114" spans="1:3">
      <c r="A114" s="63">
        <v>21848000</v>
      </c>
      <c r="B114" s="63">
        <v>163131000</v>
      </c>
      <c r="C114" s="63">
        <v>-468000</v>
      </c>
    </row>
    <row r="115" spans="1:3">
      <c r="A115" s="63">
        <v>17016000</v>
      </c>
      <c r="B115" s="63">
        <v>161828000</v>
      </c>
      <c r="C115" s="63">
        <v>-127000</v>
      </c>
    </row>
    <row r="116" spans="1:3">
      <c r="A116" s="62" t="s">
        <v>632</v>
      </c>
      <c r="B116" s="63">
        <v>159206000</v>
      </c>
      <c r="C116" s="68" t="s">
        <v>633</v>
      </c>
    </row>
    <row r="117" spans="1:3">
      <c r="A117" s="63">
        <v>7199000</v>
      </c>
      <c r="B117" s="64" t="s">
        <v>379</v>
      </c>
      <c r="C117" s="63">
        <v>1611000</v>
      </c>
    </row>
    <row r="118" spans="1:3">
      <c r="A118" s="63">
        <v>7199000</v>
      </c>
      <c r="B118" s="63">
        <v>107469000</v>
      </c>
      <c r="C118" s="63">
        <v>1611000</v>
      </c>
    </row>
    <row r="119" spans="1:3">
      <c r="A119" s="63">
        <v>6152000</v>
      </c>
      <c r="B119" s="63">
        <v>96584000</v>
      </c>
      <c r="C119" s="63">
        <v>3228000</v>
      </c>
    </row>
    <row r="120" spans="1:3">
      <c r="A120" s="63">
        <v>5578000</v>
      </c>
      <c r="B120" s="63">
        <v>92415000</v>
      </c>
      <c r="C120" s="63">
        <v>2515000</v>
      </c>
    </row>
    <row r="121" spans="1:3">
      <c r="A121" s="63">
        <v>5724000</v>
      </c>
      <c r="B121" s="63">
        <v>92198000</v>
      </c>
      <c r="C121" s="63">
        <v>-1425000</v>
      </c>
    </row>
    <row r="122" spans="1:3">
      <c r="A122" s="62" t="s">
        <v>634</v>
      </c>
      <c r="B122" s="65" t="s">
        <v>635</v>
      </c>
      <c r="C122" s="67" t="s">
        <v>636</v>
      </c>
    </row>
    <row r="123" spans="1:3">
      <c r="A123" s="63">
        <v>21893000</v>
      </c>
      <c r="B123" s="63">
        <v>91903000</v>
      </c>
      <c r="C123" s="63">
        <v>1607000</v>
      </c>
    </row>
    <row r="124" spans="1:3">
      <c r="A124" s="63">
        <v>21893000</v>
      </c>
      <c r="B124" s="63">
        <v>85864000</v>
      </c>
      <c r="C124" s="63">
        <v>1607000</v>
      </c>
    </row>
    <row r="125" spans="1:3">
      <c r="A125" s="63">
        <v>19436000</v>
      </c>
      <c r="B125" s="63">
        <v>83214000</v>
      </c>
      <c r="C125" s="63">
        <v>379000</v>
      </c>
    </row>
    <row r="126" spans="1:3">
      <c r="A126" s="63">
        <v>15511000</v>
      </c>
      <c r="B126" s="63">
        <v>83107000</v>
      </c>
      <c r="C126" s="63">
        <v>-1324000</v>
      </c>
    </row>
    <row r="127" spans="1:3">
      <c r="A127" s="63">
        <v>11680000</v>
      </c>
      <c r="B127" s="66" t="s">
        <v>637</v>
      </c>
      <c r="C127" s="63">
        <v>4393000</v>
      </c>
    </row>
    <row r="128" spans="1:3">
      <c r="A128" s="64" t="s">
        <v>69</v>
      </c>
      <c r="B128" s="63">
        <v>67767000</v>
      </c>
      <c r="C128" s="62" t="s">
        <v>638</v>
      </c>
    </row>
    <row r="129" spans="1:3">
      <c r="A129" s="63">
        <v>21893000</v>
      </c>
      <c r="B129" s="63">
        <v>62777000</v>
      </c>
      <c r="C129" s="63">
        <v>-26350000</v>
      </c>
    </row>
    <row r="130" spans="1:3">
      <c r="A130" s="63">
        <v>21893000</v>
      </c>
      <c r="B130" s="63">
        <v>60578000</v>
      </c>
      <c r="C130" s="63">
        <v>-26350000</v>
      </c>
    </row>
    <row r="131" spans="1:3">
      <c r="A131" s="63">
        <v>19436000</v>
      </c>
      <c r="B131" s="63">
        <v>57894000</v>
      </c>
      <c r="C131" s="63">
        <v>-21379000</v>
      </c>
    </row>
    <row r="132" spans="1:3">
      <c r="A132" s="63">
        <v>15511000</v>
      </c>
      <c r="B132" s="67" t="s">
        <v>639</v>
      </c>
      <c r="C132" s="63">
        <v>-21287000</v>
      </c>
    </row>
    <row r="133" spans="1:3">
      <c r="A133" s="63">
        <v>11680000</v>
      </c>
      <c r="B133" s="63">
        <v>63061000</v>
      </c>
      <c r="C133" s="63">
        <v>-17722000</v>
      </c>
    </row>
    <row r="134" spans="1:3">
      <c r="A134" s="65" t="s">
        <v>640</v>
      </c>
      <c r="B134" s="63">
        <v>58666000</v>
      </c>
      <c r="C134" s="64" t="s">
        <v>641</v>
      </c>
    </row>
    <row r="135" spans="1:3">
      <c r="A135" s="63">
        <v>22270000</v>
      </c>
      <c r="B135" s="63">
        <v>56812000</v>
      </c>
      <c r="C135" s="63">
        <v>-26350000</v>
      </c>
    </row>
    <row r="136" spans="1:3">
      <c r="A136" s="63">
        <v>22270000</v>
      </c>
      <c r="B136" s="63">
        <v>53742000</v>
      </c>
      <c r="C136" s="63">
        <v>-26350000</v>
      </c>
    </row>
    <row r="137" spans="1:3">
      <c r="A137" s="63">
        <v>20157000</v>
      </c>
      <c r="B137" s="67" t="s">
        <v>642</v>
      </c>
      <c r="C137" s="63">
        <v>-21379000</v>
      </c>
    </row>
    <row r="138" spans="1:3">
      <c r="A138" s="63">
        <v>16270000</v>
      </c>
      <c r="B138" s="63">
        <v>4706000</v>
      </c>
      <c r="C138" s="63">
        <v>-21287000</v>
      </c>
    </row>
    <row r="139" spans="1:3">
      <c r="A139" s="63">
        <v>11292000</v>
      </c>
      <c r="B139" s="63">
        <v>4111000</v>
      </c>
      <c r="C139" s="63">
        <v>-17722000</v>
      </c>
    </row>
    <row r="140" spans="1:3">
      <c r="A140" s="66" t="s">
        <v>643</v>
      </c>
      <c r="B140" s="63">
        <v>3766000</v>
      </c>
      <c r="C140" s="65" t="s">
        <v>644</v>
      </c>
    </row>
    <row r="141" spans="1:3">
      <c r="A141" s="63">
        <v>22270000</v>
      </c>
      <c r="B141" s="63">
        <v>4152000</v>
      </c>
      <c r="C141" s="63">
        <v>-26536000</v>
      </c>
    </row>
    <row r="142" spans="1:3">
      <c r="A142" s="63">
        <v>22270000</v>
      </c>
      <c r="B142" s="68" t="s">
        <v>645</v>
      </c>
      <c r="C142" s="63">
        <v>-26536000</v>
      </c>
    </row>
    <row r="143" spans="1:3">
      <c r="A143" s="63">
        <v>20157000</v>
      </c>
      <c r="B143" s="63">
        <v>596000</v>
      </c>
      <c r="C143" s="63">
        <v>-23351000</v>
      </c>
    </row>
    <row r="144" spans="1:3">
      <c r="A144" s="63">
        <v>16270000</v>
      </c>
      <c r="B144" s="63">
        <v>608000</v>
      </c>
      <c r="C144" s="63">
        <v>-20356000</v>
      </c>
    </row>
    <row r="145" spans="1:3">
      <c r="A145" s="63">
        <v>11292000</v>
      </c>
      <c r="B145" s="63">
        <v>307000</v>
      </c>
      <c r="C145" s="63">
        <v>-16687000</v>
      </c>
    </row>
    <row r="146" spans="1:3">
      <c r="A146" s="65" t="s">
        <v>646</v>
      </c>
      <c r="B146" s="63">
        <v>727000</v>
      </c>
      <c r="C146" s="66" t="s">
        <v>647</v>
      </c>
    </row>
    <row r="147" spans="1:3">
      <c r="A147" s="63">
        <v>-377000</v>
      </c>
      <c r="B147" s="66" t="s">
        <v>648</v>
      </c>
      <c r="C147" s="63">
        <v>-26642000</v>
      </c>
    </row>
    <row r="148" spans="1:3">
      <c r="A148" s="63">
        <v>-377000</v>
      </c>
      <c r="B148" s="63">
        <v>24136000</v>
      </c>
      <c r="C148" s="63">
        <v>-26642000</v>
      </c>
    </row>
    <row r="149" spans="1:3">
      <c r="A149" s="63">
        <v>-721000</v>
      </c>
      <c r="B149" s="63">
        <v>23087000</v>
      </c>
      <c r="C149" s="63">
        <v>-23783000</v>
      </c>
    </row>
    <row r="150" spans="1:3">
      <c r="A150" s="63">
        <v>-759000</v>
      </c>
      <c r="B150" s="63">
        <v>22636000</v>
      </c>
      <c r="C150" s="63">
        <v>-20606000</v>
      </c>
    </row>
    <row r="151" spans="1:3">
      <c r="A151" s="63">
        <v>388000</v>
      </c>
      <c r="B151" s="63">
        <v>25213000</v>
      </c>
      <c r="C151" s="63">
        <v>-16857000</v>
      </c>
    </row>
    <row r="152" spans="1:3">
      <c r="A152" s="62" t="s">
        <v>649</v>
      </c>
      <c r="B152" s="65" t="s">
        <v>650</v>
      </c>
      <c r="C152" s="66" t="s">
        <v>651</v>
      </c>
    </row>
    <row r="153" spans="1:3">
      <c r="A153" s="63">
        <v>21893000</v>
      </c>
      <c r="B153" s="63">
        <v>12625000</v>
      </c>
      <c r="C153" s="63">
        <v>106000</v>
      </c>
    </row>
    <row r="154" spans="1:3">
      <c r="A154" s="63">
        <v>21893000</v>
      </c>
      <c r="B154" s="63">
        <v>7965000</v>
      </c>
      <c r="C154" s="63">
        <v>106000</v>
      </c>
    </row>
    <row r="155" spans="1:3">
      <c r="A155" s="63">
        <v>19436000</v>
      </c>
      <c r="B155" s="63">
        <v>6537000</v>
      </c>
      <c r="C155" s="63">
        <v>432000</v>
      </c>
    </row>
    <row r="156" spans="1:3">
      <c r="A156" s="63">
        <v>15511000</v>
      </c>
      <c r="B156" s="63">
        <v>6603000</v>
      </c>
      <c r="C156" s="63">
        <v>250000</v>
      </c>
    </row>
    <row r="157" spans="1:3">
      <c r="A157" s="63">
        <v>11680000</v>
      </c>
      <c r="B157" s="66" t="s">
        <v>652</v>
      </c>
      <c r="C157" s="63">
        <v>170000</v>
      </c>
    </row>
    <row r="158" spans="1:3">
      <c r="A158" s="62" t="s">
        <v>653</v>
      </c>
      <c r="B158" s="63">
        <v>10138000</v>
      </c>
      <c r="C158" s="65" t="s">
        <v>654</v>
      </c>
    </row>
    <row r="159" spans="1:3">
      <c r="A159" s="62">
        <v>2.74</v>
      </c>
      <c r="B159" s="63">
        <v>5666000</v>
      </c>
      <c r="C159" s="63">
        <v>-53000</v>
      </c>
    </row>
    <row r="160" spans="1:3">
      <c r="A160" s="62">
        <v>2.74</v>
      </c>
      <c r="B160" s="63">
        <v>4325000</v>
      </c>
      <c r="C160" s="63">
        <v>-53000</v>
      </c>
    </row>
    <row r="161" spans="1:3">
      <c r="A161" s="62">
        <v>2.42</v>
      </c>
      <c r="B161" s="63">
        <v>4563000</v>
      </c>
      <c r="C161" s="63">
        <v>-1896000</v>
      </c>
    </row>
    <row r="162" spans="1:3">
      <c r="A162" s="62">
        <v>1.92</v>
      </c>
      <c r="B162" s="67" t="s">
        <v>655</v>
      </c>
      <c r="C162" s="63">
        <v>-9000</v>
      </c>
    </row>
    <row r="163" spans="1:3">
      <c r="A163" s="62">
        <v>1.43</v>
      </c>
      <c r="B163" s="63">
        <v>10138000</v>
      </c>
      <c r="C163" s="63">
        <v>-740000</v>
      </c>
    </row>
    <row r="164" spans="1:3">
      <c r="A164" s="62" t="s">
        <v>656</v>
      </c>
      <c r="B164" s="63">
        <v>5666000</v>
      </c>
      <c r="C164" s="66" t="s">
        <v>657</v>
      </c>
    </row>
    <row r="165" spans="1:3">
      <c r="A165" s="62">
        <v>2.73</v>
      </c>
      <c r="B165" s="63">
        <v>4325000</v>
      </c>
      <c r="C165" s="63">
        <v>-53000</v>
      </c>
    </row>
    <row r="166" spans="1:3">
      <c r="A166" s="62">
        <v>2.73</v>
      </c>
      <c r="B166" s="63">
        <v>4563000</v>
      </c>
      <c r="C166" s="63">
        <v>-53000</v>
      </c>
    </row>
    <row r="167" spans="1:3">
      <c r="A167" s="62">
        <v>2.41</v>
      </c>
      <c r="B167" s="66" t="s">
        <v>658</v>
      </c>
      <c r="C167" s="63">
        <v>-1896000</v>
      </c>
    </row>
    <row r="168" spans="1:3">
      <c r="A168" s="62">
        <v>1.91</v>
      </c>
      <c r="B168" s="63">
        <v>2487000</v>
      </c>
      <c r="C168" s="63">
        <v>-9000</v>
      </c>
    </row>
    <row r="169" spans="1:3">
      <c r="A169" s="62">
        <v>1.42</v>
      </c>
      <c r="B169" s="63">
        <v>2299000</v>
      </c>
      <c r="C169" s="63">
        <v>-740000</v>
      </c>
    </row>
    <row r="170" spans="1:3">
      <c r="A170" s="62" t="s">
        <v>659</v>
      </c>
      <c r="B170" s="63">
        <v>2212000</v>
      </c>
      <c r="C170" s="66" t="s">
        <v>660</v>
      </c>
    </row>
    <row r="171" spans="1:3">
      <c r="A171" s="63">
        <v>7983000</v>
      </c>
      <c r="B171" s="63">
        <v>2040000</v>
      </c>
      <c r="C171" s="62" t="s">
        <v>574</v>
      </c>
    </row>
    <row r="172" spans="1:3">
      <c r="A172" s="63">
        <v>7983000</v>
      </c>
      <c r="B172" s="65" t="s">
        <v>661</v>
      </c>
      <c r="C172" s="62" t="s">
        <v>574</v>
      </c>
    </row>
    <row r="173" spans="1:3">
      <c r="A173" s="63">
        <v>8041000</v>
      </c>
      <c r="B173" s="63">
        <v>2941000</v>
      </c>
      <c r="C173" s="62" t="s">
        <v>574</v>
      </c>
    </row>
    <row r="174" spans="1:3">
      <c r="A174" s="63">
        <v>8077000</v>
      </c>
      <c r="B174" s="63">
        <v>2755000</v>
      </c>
      <c r="C174" s="63">
        <v>135000</v>
      </c>
    </row>
    <row r="175" spans="1:3">
      <c r="A175" s="63">
        <v>8171000</v>
      </c>
      <c r="B175" s="63">
        <v>2664000</v>
      </c>
      <c r="C175" s="62">
        <v>0</v>
      </c>
    </row>
    <row r="176" spans="1:3">
      <c r="A176" s="62" t="s">
        <v>662</v>
      </c>
      <c r="B176" s="63">
        <v>2488000</v>
      </c>
      <c r="C176" s="65" t="s">
        <v>663</v>
      </c>
    </row>
    <row r="177" spans="1:3">
      <c r="A177" s="63">
        <v>8022000</v>
      </c>
      <c r="B177" s="66" t="s">
        <v>664</v>
      </c>
      <c r="C177" s="63">
        <v>927000</v>
      </c>
    </row>
    <row r="178" spans="1:3">
      <c r="A178" s="63">
        <v>8022000</v>
      </c>
      <c r="B178" s="63">
        <v>2941000</v>
      </c>
      <c r="C178" s="63">
        <v>927000</v>
      </c>
    </row>
    <row r="179" spans="1:3">
      <c r="A179" s="63">
        <v>8081000</v>
      </c>
      <c r="B179" s="63">
        <v>2755000</v>
      </c>
      <c r="C179" s="63">
        <v>4080000</v>
      </c>
    </row>
    <row r="180" spans="1:3">
      <c r="A180" s="63">
        <v>8108000</v>
      </c>
      <c r="B180" s="63">
        <v>2664000</v>
      </c>
      <c r="C180" s="62">
        <v>0</v>
      </c>
    </row>
    <row r="181" spans="1:3">
      <c r="A181" s="63">
        <v>8202000</v>
      </c>
      <c r="B181" s="63">
        <v>2488000</v>
      </c>
      <c r="C181" s="62">
        <v>0</v>
      </c>
    </row>
    <row r="182" spans="1:3">
      <c r="A182" s="62" t="s">
        <v>665</v>
      </c>
      <c r="B182" s="64" t="s">
        <v>666</v>
      </c>
      <c r="C182" s="66" t="s">
        <v>667</v>
      </c>
    </row>
    <row r="183" spans="1:3">
      <c r="A183" s="63">
        <v>29825000</v>
      </c>
      <c r="B183" s="63">
        <v>71019000</v>
      </c>
      <c r="C183" s="63">
        <v>927000</v>
      </c>
    </row>
    <row r="184" spans="1:3">
      <c r="A184" s="63">
        <v>29825000</v>
      </c>
      <c r="B184" s="63">
        <v>66547000</v>
      </c>
      <c r="C184" s="63">
        <v>927000</v>
      </c>
    </row>
    <row r="185" spans="1:3">
      <c r="A185" s="63">
        <v>29348000</v>
      </c>
      <c r="B185" s="63">
        <v>69413000</v>
      </c>
      <c r="C185" s="63">
        <v>4080000</v>
      </c>
    </row>
    <row r="186" spans="1:3">
      <c r="A186" s="63">
        <v>27012000</v>
      </c>
      <c r="B186" s="63">
        <v>67008000</v>
      </c>
      <c r="C186" s="62">
        <v>0</v>
      </c>
    </row>
    <row r="187" spans="1:3">
      <c r="A187" s="63">
        <v>20428000</v>
      </c>
      <c r="B187" s="65" t="s">
        <v>668</v>
      </c>
      <c r="C187" s="62">
        <v>0</v>
      </c>
    </row>
    <row r="188" spans="1:3">
      <c r="A188" s="62" t="s">
        <v>669</v>
      </c>
      <c r="B188" s="63">
        <v>54470000</v>
      </c>
      <c r="C188" s="65" t="s">
        <v>670</v>
      </c>
    </row>
    <row r="189" spans="1:3">
      <c r="A189" s="63">
        <v>683338000</v>
      </c>
      <c r="B189" s="63">
        <v>52149000</v>
      </c>
      <c r="C189" s="63">
        <v>-688000</v>
      </c>
    </row>
    <row r="190" spans="1:3">
      <c r="A190" s="63">
        <v>683338000</v>
      </c>
      <c r="B190" s="63">
        <v>54784000</v>
      </c>
      <c r="C190" s="63">
        <v>-688000</v>
      </c>
    </row>
    <row r="191" spans="1:3">
      <c r="A191" s="63">
        <v>651637000</v>
      </c>
      <c r="B191" s="63">
        <v>52320000</v>
      </c>
      <c r="C191" s="63">
        <v>-212000</v>
      </c>
    </row>
    <row r="192" spans="1:3">
      <c r="A192" s="63">
        <v>621113000</v>
      </c>
      <c r="B192" s="66" t="s">
        <v>671</v>
      </c>
      <c r="C192" s="63">
        <v>-922000</v>
      </c>
    </row>
    <row r="193" spans="1:3">
      <c r="A193" s="63">
        <v>590861000</v>
      </c>
      <c r="B193" s="63">
        <v>34624000</v>
      </c>
      <c r="C193" s="63">
        <v>-295000</v>
      </c>
    </row>
    <row r="194" spans="1:3">
      <c r="A194" s="62" t="s">
        <v>672</v>
      </c>
      <c r="B194" s="63">
        <v>33401000</v>
      </c>
      <c r="C194" s="62" t="s">
        <v>673</v>
      </c>
    </row>
    <row r="195" spans="1:3">
      <c r="A195" s="63">
        <v>21893000</v>
      </c>
      <c r="B195" s="63">
        <v>36132000</v>
      </c>
      <c r="C195" s="63">
        <v>-13553000</v>
      </c>
    </row>
    <row r="196" spans="1:3">
      <c r="A196" s="63">
        <v>21893000</v>
      </c>
      <c r="B196" s="63">
        <v>34649000</v>
      </c>
      <c r="C196" s="63">
        <v>-13553000</v>
      </c>
    </row>
    <row r="197" spans="1:3">
      <c r="A197" s="63">
        <v>19436000</v>
      </c>
      <c r="B197" s="66" t="s">
        <v>674</v>
      </c>
      <c r="C197" s="63">
        <v>-14822000</v>
      </c>
    </row>
    <row r="198" spans="1:3">
      <c r="A198" s="63">
        <v>15511000</v>
      </c>
      <c r="B198" s="63">
        <v>19846000</v>
      </c>
      <c r="C198" s="63">
        <v>-13414000</v>
      </c>
    </row>
    <row r="199" spans="1:3">
      <c r="A199" s="63">
        <v>11680000</v>
      </c>
      <c r="B199" s="63">
        <v>18748000</v>
      </c>
      <c r="C199" s="63">
        <v>-17039000</v>
      </c>
    </row>
    <row r="200" spans="1:3">
      <c r="A200" s="62" t="s">
        <v>675</v>
      </c>
      <c r="B200" s="63">
        <v>18652000</v>
      </c>
      <c r="C200" s="64" t="s">
        <v>676</v>
      </c>
    </row>
    <row r="201" spans="1:3">
      <c r="A201" s="63">
        <v>21893000</v>
      </c>
      <c r="B201" s="63">
        <v>17671000</v>
      </c>
      <c r="C201" s="63">
        <v>-13553000</v>
      </c>
    </row>
    <row r="202" spans="1:3">
      <c r="A202" s="63">
        <v>21893000</v>
      </c>
      <c r="B202" s="65" t="s">
        <v>677</v>
      </c>
      <c r="C202" s="63">
        <v>-13553000</v>
      </c>
    </row>
    <row r="203" spans="1:3">
      <c r="A203" s="63">
        <v>19436000</v>
      </c>
      <c r="B203" s="62" t="s">
        <v>574</v>
      </c>
      <c r="C203" s="63">
        <v>-14822000</v>
      </c>
    </row>
    <row r="204" spans="1:3">
      <c r="A204" s="63">
        <v>15511000</v>
      </c>
      <c r="B204" s="62" t="s">
        <v>574</v>
      </c>
      <c r="C204" s="63">
        <v>-13414000</v>
      </c>
    </row>
    <row r="205" spans="1:3">
      <c r="A205" s="63">
        <v>11680000</v>
      </c>
      <c r="B205" s="62" t="s">
        <v>574</v>
      </c>
      <c r="C205" s="63">
        <v>-17039000</v>
      </c>
    </row>
    <row r="206" spans="1:3">
      <c r="A206" s="62" t="s">
        <v>678</v>
      </c>
      <c r="B206" s="63">
        <v>14688000</v>
      </c>
      <c r="C206" s="65" t="s">
        <v>679</v>
      </c>
    </row>
    <row r="207" spans="1:3">
      <c r="A207" s="63">
        <v>368000</v>
      </c>
      <c r="B207" s="66" t="s">
        <v>680</v>
      </c>
      <c r="C207" s="63">
        <v>4881000</v>
      </c>
    </row>
    <row r="208" spans="1:3">
      <c r="A208" s="63">
        <v>368000</v>
      </c>
      <c r="B208" s="62" t="s">
        <v>574</v>
      </c>
      <c r="C208" s="63">
        <v>4881000</v>
      </c>
    </row>
    <row r="209" spans="1:3">
      <c r="A209" s="63">
        <v>483000</v>
      </c>
      <c r="B209" s="62" t="s">
        <v>574</v>
      </c>
      <c r="C209" s="63">
        <v>-1256000</v>
      </c>
    </row>
    <row r="210" spans="1:3">
      <c r="A210" s="63">
        <v>546000</v>
      </c>
      <c r="B210" s="62" t="s">
        <v>574</v>
      </c>
      <c r="C210" s="63">
        <v>1262000</v>
      </c>
    </row>
    <row r="211" spans="1:3">
      <c r="A211" s="63">
        <v>254000</v>
      </c>
      <c r="B211" s="63">
        <v>14688000</v>
      </c>
      <c r="C211" s="63">
        <v>2318000</v>
      </c>
    </row>
    <row r="212" spans="1:3">
      <c r="A212" s="62" t="s">
        <v>681</v>
      </c>
      <c r="B212" s="65" t="s">
        <v>682</v>
      </c>
      <c r="C212" s="66" t="s">
        <v>683</v>
      </c>
    </row>
    <row r="213" spans="1:3">
      <c r="A213" s="63">
        <v>2799000</v>
      </c>
      <c r="B213" s="63">
        <v>16549000</v>
      </c>
      <c r="C213" s="63">
        <v>1358000</v>
      </c>
    </row>
    <row r="214" spans="1:3">
      <c r="A214" s="63">
        <v>2799000</v>
      </c>
      <c r="B214" s="63">
        <v>14398000</v>
      </c>
      <c r="C214" s="63">
        <v>1358000</v>
      </c>
    </row>
    <row r="215" spans="1:3">
      <c r="A215" s="63">
        <v>2728000</v>
      </c>
      <c r="B215" s="63">
        <v>14629000</v>
      </c>
      <c r="C215" s="63">
        <v>-3468000</v>
      </c>
    </row>
    <row r="216" spans="1:3">
      <c r="A216" s="63">
        <v>2683000</v>
      </c>
      <c r="B216" s="63">
        <v>14688000</v>
      </c>
      <c r="C216" s="63">
        <v>750000</v>
      </c>
    </row>
    <row r="217" spans="1:3">
      <c r="A217" s="63">
        <v>2128000</v>
      </c>
      <c r="B217" s="62" t="s">
        <v>381</v>
      </c>
      <c r="C217" s="63">
        <v>2352000</v>
      </c>
    </row>
    <row r="218" spans="1:3">
      <c r="A218" s="62" t="s">
        <v>684</v>
      </c>
      <c r="B218" s="63">
        <v>106180000</v>
      </c>
      <c r="C218" s="67" t="s">
        <v>685</v>
      </c>
    </row>
    <row r="219" spans="1:3">
      <c r="A219" s="63">
        <v>-2431000</v>
      </c>
      <c r="B219" s="63">
        <v>97692000</v>
      </c>
      <c r="C219" s="63">
        <v>3983000</v>
      </c>
    </row>
    <row r="220" spans="1:3">
      <c r="A220" s="63">
        <v>-2431000</v>
      </c>
      <c r="B220" s="63">
        <v>90571000</v>
      </c>
      <c r="C220" s="63">
        <v>3983000</v>
      </c>
    </row>
    <row r="221" spans="1:3">
      <c r="A221" s="63">
        <v>-2245000</v>
      </c>
      <c r="B221" s="63">
        <v>83991000</v>
      </c>
      <c r="C221" s="62">
        <v>0</v>
      </c>
    </row>
    <row r="222" spans="1:3">
      <c r="A222" s="63">
        <v>-2137000</v>
      </c>
      <c r="B222" s="64" t="s">
        <v>686</v>
      </c>
      <c r="C222" s="63">
        <v>4967000</v>
      </c>
    </row>
    <row r="223" spans="1:3">
      <c r="A223" s="63">
        <v>-1874000</v>
      </c>
      <c r="B223" s="63">
        <v>99617000</v>
      </c>
      <c r="C223" s="63">
        <v>5041000</v>
      </c>
    </row>
    <row r="224" spans="1:3">
      <c r="A224" s="62" t="s">
        <v>687</v>
      </c>
      <c r="B224" s="63">
        <v>91013000</v>
      </c>
      <c r="C224" s="67" t="s">
        <v>688</v>
      </c>
    </row>
    <row r="225" spans="1:3">
      <c r="A225" s="63">
        <v>32268000</v>
      </c>
      <c r="B225" s="63">
        <v>83861000</v>
      </c>
      <c r="C225" s="63">
        <v>-2625000</v>
      </c>
    </row>
    <row r="226" spans="1:3">
      <c r="A226" s="63">
        <v>32268000</v>
      </c>
      <c r="B226" s="63">
        <v>76693000</v>
      </c>
      <c r="C226" s="63">
        <v>-2625000</v>
      </c>
    </row>
    <row r="227" spans="1:3">
      <c r="A227" s="63">
        <v>29037000</v>
      </c>
      <c r="B227" s="65" t="s">
        <v>689</v>
      </c>
      <c r="C227" s="63">
        <v>-3468000</v>
      </c>
    </row>
    <row r="228" spans="1:3">
      <c r="A228" s="63">
        <v>24531000</v>
      </c>
      <c r="B228" s="63">
        <v>797000</v>
      </c>
      <c r="C228" s="63">
        <v>-4217000</v>
      </c>
    </row>
    <row r="229" spans="1:3">
      <c r="A229" s="63">
        <v>19144000</v>
      </c>
      <c r="B229" s="63">
        <v>802000</v>
      </c>
      <c r="C229" s="63">
        <v>-2689000</v>
      </c>
    </row>
    <row r="230" spans="1:3">
      <c r="A230" s="62" t="s">
        <v>690</v>
      </c>
      <c r="B230" s="63">
        <v>805000</v>
      </c>
      <c r="C230" s="66" t="s">
        <v>691</v>
      </c>
    </row>
    <row r="231" spans="1:3">
      <c r="A231" s="63">
        <v>46471000</v>
      </c>
      <c r="B231" s="63">
        <v>808000</v>
      </c>
      <c r="C231" s="63">
        <v>3523000</v>
      </c>
    </row>
    <row r="232" spans="1:3">
      <c r="A232" s="63">
        <v>46471000</v>
      </c>
      <c r="B232" s="66" t="s">
        <v>692</v>
      </c>
      <c r="C232" s="63">
        <v>3523000</v>
      </c>
    </row>
    <row r="233" spans="1:3">
      <c r="A233" s="63">
        <v>42010000</v>
      </c>
      <c r="B233" s="63">
        <v>797000</v>
      </c>
      <c r="C233" s="63">
        <v>2212000</v>
      </c>
    </row>
    <row r="234" spans="1:3">
      <c r="A234" s="63">
        <v>36384000</v>
      </c>
      <c r="B234" s="63">
        <v>802000</v>
      </c>
      <c r="C234" s="63">
        <v>512000</v>
      </c>
    </row>
    <row r="235" spans="1:3">
      <c r="A235" s="63">
        <v>30089000</v>
      </c>
      <c r="B235" s="63">
        <v>805000</v>
      </c>
      <c r="C235" s="63">
        <v>-34000</v>
      </c>
    </row>
    <row r="236" spans="1:3">
      <c r="A236" s="62" t="s">
        <v>693</v>
      </c>
      <c r="B236" s="63">
        <v>808000</v>
      </c>
      <c r="C236" s="65" t="s">
        <v>694</v>
      </c>
    </row>
    <row r="237" spans="1:3">
      <c r="A237" s="63">
        <v>535395000</v>
      </c>
      <c r="B237" s="65" t="s">
        <v>695</v>
      </c>
      <c r="C237" s="63">
        <v>-8088000</v>
      </c>
    </row>
    <row r="238" spans="1:3">
      <c r="A238" s="63">
        <v>535395000</v>
      </c>
      <c r="B238" s="63">
        <v>6816000</v>
      </c>
      <c r="C238" s="63">
        <v>-8088000</v>
      </c>
    </row>
    <row r="239" spans="1:3">
      <c r="A239" s="63">
        <v>511753000</v>
      </c>
      <c r="B239" s="63">
        <v>5503000</v>
      </c>
      <c r="C239" s="63">
        <v>-4494000</v>
      </c>
    </row>
    <row r="240" spans="1:3">
      <c r="A240" s="63">
        <v>490142000</v>
      </c>
      <c r="B240" s="63">
        <v>4544000</v>
      </c>
      <c r="C240" s="63">
        <v>-2779000</v>
      </c>
    </row>
    <row r="241" spans="1:3">
      <c r="A241" s="63">
        <v>463721000</v>
      </c>
      <c r="B241" s="63">
        <v>4430000</v>
      </c>
      <c r="C241" s="63">
        <v>-9920000</v>
      </c>
    </row>
    <row r="242" spans="1:3">
      <c r="A242" s="62" t="s">
        <v>696</v>
      </c>
      <c r="B242" s="65" t="s">
        <v>697</v>
      </c>
      <c r="C242" s="66" t="s">
        <v>698</v>
      </c>
    </row>
    <row r="243" spans="1:3">
      <c r="A243" s="63">
        <v>14203000</v>
      </c>
      <c r="B243" s="63">
        <v>104774000</v>
      </c>
      <c r="C243" s="63">
        <v>-8088000</v>
      </c>
    </row>
    <row r="244" spans="1:3">
      <c r="A244" s="63">
        <v>14203000</v>
      </c>
      <c r="B244" s="63">
        <v>98313000</v>
      </c>
      <c r="C244" s="63">
        <v>-8088000</v>
      </c>
    </row>
    <row r="245" spans="1:3">
      <c r="A245" s="63">
        <v>12973000</v>
      </c>
      <c r="B245" s="63">
        <v>89814000</v>
      </c>
      <c r="C245" s="63">
        <v>-4494000</v>
      </c>
    </row>
    <row r="246" spans="1:3">
      <c r="A246" s="63">
        <v>11853000</v>
      </c>
      <c r="B246" s="63">
        <v>83135000</v>
      </c>
      <c r="C246" s="63">
        <v>-2779000</v>
      </c>
    </row>
    <row r="247" spans="1:3">
      <c r="A247" s="63">
        <v>10945000</v>
      </c>
      <c r="B247" s="65" t="s">
        <v>699</v>
      </c>
      <c r="C247" s="63">
        <v>-9920000</v>
      </c>
    </row>
    <row r="248" spans="1:3">
      <c r="A248" s="62" t="s">
        <v>700</v>
      </c>
      <c r="B248" s="63">
        <v>-12770000</v>
      </c>
      <c r="C248" s="65" t="s">
        <v>701</v>
      </c>
    </row>
    <row r="249" spans="1:3">
      <c r="A249" s="63">
        <v>21893000</v>
      </c>
      <c r="B249" s="63">
        <v>-13605000</v>
      </c>
      <c r="C249" s="63">
        <v>-7507000</v>
      </c>
    </row>
    <row r="250" spans="1:3">
      <c r="A250" s="63">
        <v>21893000</v>
      </c>
      <c r="B250" s="63">
        <v>-11302000</v>
      </c>
      <c r="C250" s="63">
        <v>-7507000</v>
      </c>
    </row>
    <row r="251" spans="1:3">
      <c r="A251" s="63">
        <v>19436000</v>
      </c>
      <c r="B251" s="63">
        <v>-11680000</v>
      </c>
      <c r="C251" s="63">
        <v>-6688000</v>
      </c>
    </row>
    <row r="252" spans="1:3">
      <c r="A252" s="63">
        <v>15511000</v>
      </c>
      <c r="B252" s="66" t="s">
        <v>702</v>
      </c>
      <c r="C252" s="63">
        <v>-6140000</v>
      </c>
    </row>
    <row r="253" spans="1:3">
      <c r="A253" s="63">
        <v>11680000</v>
      </c>
      <c r="B253" s="62" t="s">
        <v>574</v>
      </c>
      <c r="C253" s="63">
        <v>-6114000</v>
      </c>
    </row>
    <row r="254" spans="1:3">
      <c r="A254" s="62" t="s">
        <v>703</v>
      </c>
      <c r="B254" s="62" t="s">
        <v>574</v>
      </c>
      <c r="C254" s="66" t="s">
        <v>704</v>
      </c>
    </row>
    <row r="255" spans="1:3">
      <c r="A255" s="62" t="s">
        <v>574</v>
      </c>
      <c r="B255" s="63">
        <v>-18000</v>
      </c>
      <c r="C255" s="63">
        <v>-7507000</v>
      </c>
    </row>
    <row r="256" spans="1:3">
      <c r="A256" s="62" t="s">
        <v>574</v>
      </c>
      <c r="B256" s="63">
        <v>-7000</v>
      </c>
      <c r="C256" s="63">
        <v>-7507000</v>
      </c>
    </row>
    <row r="257" spans="1:3">
      <c r="A257" s="62" t="s">
        <v>574</v>
      </c>
      <c r="B257" s="66" t="s">
        <v>705</v>
      </c>
      <c r="C257" s="63">
        <v>-6688000</v>
      </c>
    </row>
    <row r="258" spans="1:3">
      <c r="A258" s="62">
        <v>0</v>
      </c>
      <c r="B258" s="62" t="s">
        <v>574</v>
      </c>
      <c r="C258" s="63">
        <v>-6140000</v>
      </c>
    </row>
    <row r="259" spans="1:3">
      <c r="A259" s="62">
        <v>0</v>
      </c>
      <c r="B259" s="63">
        <v>-12661000</v>
      </c>
      <c r="C259" s="63">
        <v>-6114000</v>
      </c>
    </row>
    <row r="260" spans="1:3">
      <c r="A260" s="62" t="s">
        <v>706</v>
      </c>
      <c r="B260" s="63">
        <v>-10407000</v>
      </c>
      <c r="C260" s="65" t="s">
        <v>707</v>
      </c>
    </row>
    <row r="261" spans="1:3">
      <c r="A261" s="62" t="s">
        <v>574</v>
      </c>
      <c r="B261" s="63">
        <v>-10816000</v>
      </c>
      <c r="C261" s="63">
        <v>-2839000</v>
      </c>
    </row>
    <row r="262" spans="1:3">
      <c r="A262" s="62" t="s">
        <v>574</v>
      </c>
      <c r="B262" s="66" t="s">
        <v>708</v>
      </c>
      <c r="C262" s="63">
        <v>-2839000</v>
      </c>
    </row>
    <row r="263" spans="1:3">
      <c r="A263" s="62" t="s">
        <v>574</v>
      </c>
      <c r="B263" s="63">
        <v>-12770000</v>
      </c>
      <c r="C263" s="63">
        <v>-2384000</v>
      </c>
    </row>
    <row r="264" spans="1:3">
      <c r="A264" s="62">
        <v>0</v>
      </c>
      <c r="B264" s="63">
        <v>-13605000</v>
      </c>
      <c r="C264" s="63">
        <v>-5757000</v>
      </c>
    </row>
    <row r="265" spans="1:3">
      <c r="A265" s="62">
        <v>0</v>
      </c>
      <c r="B265" s="63">
        <v>-895000</v>
      </c>
      <c r="C265" s="63">
        <v>-3323000</v>
      </c>
    </row>
    <row r="266" spans="1:3">
      <c r="A266" s="62" t="s">
        <v>709</v>
      </c>
      <c r="B266" s="63">
        <v>-857000</v>
      </c>
      <c r="C266" s="62" t="s">
        <v>710</v>
      </c>
    </row>
    <row r="267" spans="1:3">
      <c r="A267" s="63">
        <v>46471000</v>
      </c>
      <c r="B267" s="64" t="s">
        <v>711</v>
      </c>
      <c r="C267" s="63">
        <v>11321000</v>
      </c>
    </row>
    <row r="268" spans="1:3">
      <c r="A268" s="63">
        <v>46471000</v>
      </c>
      <c r="B268" s="63">
        <v>6563000</v>
      </c>
      <c r="C268" s="63">
        <v>11321000</v>
      </c>
    </row>
    <row r="269" spans="1:3">
      <c r="A269" s="63">
        <v>42010000</v>
      </c>
      <c r="B269" s="63">
        <v>6679000</v>
      </c>
      <c r="C269" s="63">
        <v>9536000</v>
      </c>
    </row>
    <row r="270" spans="1:3">
      <c r="A270" s="63">
        <v>36384000</v>
      </c>
      <c r="B270" s="63">
        <v>6710000</v>
      </c>
      <c r="C270" s="63">
        <v>9935000</v>
      </c>
    </row>
    <row r="271" spans="1:3">
      <c r="A271" s="63">
        <v>30089000</v>
      </c>
      <c r="B271" s="63">
        <v>7298000</v>
      </c>
      <c r="C271" s="63">
        <v>8841000</v>
      </c>
    </row>
    <row r="272" spans="1:3">
      <c r="A272" s="62" t="s">
        <v>712</v>
      </c>
      <c r="B272" s="62" t="s">
        <v>713</v>
      </c>
      <c r="C272" s="64" t="s">
        <v>714</v>
      </c>
    </row>
    <row r="273" spans="1:3">
      <c r="A273" s="62">
        <v>0</v>
      </c>
      <c r="B273" s="63">
        <v>134241000</v>
      </c>
      <c r="C273" s="63">
        <v>1662000</v>
      </c>
    </row>
    <row r="274" spans="1:3">
      <c r="A274" s="62">
        <v>0</v>
      </c>
      <c r="B274" s="63">
        <v>124414000</v>
      </c>
      <c r="C274" s="63">
        <v>1662000</v>
      </c>
    </row>
    <row r="275" spans="1:3">
      <c r="A275" s="62">
        <v>0</v>
      </c>
      <c r="B275" s="63">
        <v>119993000</v>
      </c>
      <c r="C275" s="63">
        <v>242000</v>
      </c>
    </row>
    <row r="276" spans="1:3">
      <c r="A276" s="62">
        <v>0</v>
      </c>
      <c r="B276" s="63">
        <v>111342000</v>
      </c>
      <c r="C276" s="63">
        <v>1025000</v>
      </c>
    </row>
    <row r="277" spans="1:3">
      <c r="A277" s="62">
        <v>0</v>
      </c>
      <c r="B277" s="62" t="s">
        <v>715</v>
      </c>
      <c r="C277" s="63">
        <v>-5920000</v>
      </c>
    </row>
    <row r="278" spans="1:3">
      <c r="A278" s="62" t="s">
        <v>716</v>
      </c>
      <c r="B278" s="63">
        <v>99617000</v>
      </c>
      <c r="C278" s="64" t="s">
        <v>717</v>
      </c>
    </row>
    <row r="279" spans="1:3">
      <c r="A279" s="62">
        <v>0</v>
      </c>
      <c r="B279" s="63">
        <v>91013000</v>
      </c>
      <c r="C279" s="63">
        <v>123000</v>
      </c>
    </row>
    <row r="280" spans="1:3">
      <c r="A280" s="62">
        <v>0</v>
      </c>
      <c r="B280" s="63">
        <v>83861000</v>
      </c>
      <c r="C280" s="63">
        <v>123000</v>
      </c>
    </row>
    <row r="281" spans="1:3">
      <c r="A281" s="62">
        <v>0</v>
      </c>
      <c r="B281" s="63">
        <v>76693000</v>
      </c>
      <c r="C281" s="63">
        <v>-641000</v>
      </c>
    </row>
    <row r="282" spans="1:3">
      <c r="A282" s="62">
        <v>0</v>
      </c>
      <c r="B282" s="62" t="s">
        <v>718</v>
      </c>
      <c r="C282" s="63">
        <v>69000</v>
      </c>
    </row>
    <row r="283" spans="1:3">
      <c r="A283" s="62">
        <v>0</v>
      </c>
      <c r="B283" s="63">
        <v>22333000</v>
      </c>
      <c r="C283" s="63">
        <v>-73000</v>
      </c>
    </row>
    <row r="284" spans="1:3">
      <c r="A284" s="58"/>
      <c r="B284" s="63">
        <v>21047000</v>
      </c>
      <c r="C284" s="64" t="s">
        <v>719</v>
      </c>
    </row>
    <row r="285" spans="1:3">
      <c r="A285" s="58"/>
      <c r="B285" s="63">
        <v>20864000</v>
      </c>
      <c r="C285" s="63">
        <v>9536000</v>
      </c>
    </row>
    <row r="286" spans="1:3">
      <c r="A286" s="58"/>
      <c r="B286" s="63">
        <v>19711000</v>
      </c>
      <c r="C286" s="63">
        <v>9536000</v>
      </c>
    </row>
    <row r="287" spans="1:3">
      <c r="A287" s="58"/>
      <c r="B287" s="62" t="s">
        <v>720</v>
      </c>
      <c r="C287" s="63">
        <v>9935000</v>
      </c>
    </row>
    <row r="288" spans="1:3">
      <c r="A288" s="58"/>
      <c r="B288" s="63">
        <v>70882000</v>
      </c>
      <c r="C288" s="63">
        <v>8841000</v>
      </c>
    </row>
    <row r="289" spans="1:3">
      <c r="A289" s="58"/>
      <c r="B289" s="63">
        <v>62221000</v>
      </c>
      <c r="C289" s="63">
        <v>14834000</v>
      </c>
    </row>
    <row r="290" spans="1:3">
      <c r="A290" s="58"/>
      <c r="B290" s="63">
        <v>55748000</v>
      </c>
      <c r="C290" s="64" t="s">
        <v>721</v>
      </c>
    </row>
    <row r="291" spans="1:3">
      <c r="A291" s="70"/>
      <c r="B291" s="63">
        <v>48519000</v>
      </c>
      <c r="C291" s="62" t="s">
        <v>574</v>
      </c>
    </row>
    <row r="292" spans="1:3">
      <c r="A292" s="70"/>
      <c r="B292" s="62" t="s">
        <v>722</v>
      </c>
      <c r="C292" s="62" t="s">
        <v>574</v>
      </c>
    </row>
    <row r="293" spans="1:3">
      <c r="A293" s="58"/>
      <c r="B293" s="63">
        <v>-22595000</v>
      </c>
      <c r="C293" s="62" t="s">
        <v>574</v>
      </c>
    </row>
    <row r="294" spans="1:3">
      <c r="A294" s="70"/>
      <c r="B294" s="63">
        <v>-17126000</v>
      </c>
      <c r="C294" s="62">
        <v>0</v>
      </c>
    </row>
    <row r="295" spans="1:3">
      <c r="A295" s="58"/>
      <c r="B295" s="63">
        <v>-15538000</v>
      </c>
      <c r="C295" s="62">
        <v>0</v>
      </c>
    </row>
    <row r="296" spans="1:3">
      <c r="A296" s="58"/>
      <c r="B296" s="63">
        <v>-16543000</v>
      </c>
      <c r="C296" s="62" t="s">
        <v>723</v>
      </c>
    </row>
    <row r="297" spans="1:3">
      <c r="A297" s="58"/>
      <c r="B297" s="62" t="s">
        <v>724</v>
      </c>
      <c r="C297" s="63">
        <v>5364000</v>
      </c>
    </row>
    <row r="298" spans="1:3">
      <c r="A298" s="58"/>
      <c r="B298" s="63">
        <v>144379000</v>
      </c>
      <c r="C298" s="63">
        <v>5364000</v>
      </c>
    </row>
    <row r="299" spans="1:3">
      <c r="A299" s="58"/>
      <c r="B299" s="63">
        <v>130080000</v>
      </c>
      <c r="C299" s="63">
        <v>5884000</v>
      </c>
    </row>
    <row r="300" spans="1:3">
      <c r="A300" s="58"/>
      <c r="B300" s="63">
        <v>124318000</v>
      </c>
      <c r="C300" s="63">
        <v>5879000</v>
      </c>
    </row>
    <row r="301" spans="1:3">
      <c r="A301" s="58"/>
      <c r="B301" s="63">
        <v>115905000</v>
      </c>
      <c r="C301" s="63">
        <v>3310000</v>
      </c>
    </row>
    <row r="302" spans="1:3">
      <c r="A302" s="58"/>
      <c r="B302" s="62" t="s">
        <v>725</v>
      </c>
      <c r="C302" s="62" t="s">
        <v>726</v>
      </c>
    </row>
    <row r="303" spans="1:3">
      <c r="A303" s="58"/>
      <c r="B303" s="63">
        <v>70882000</v>
      </c>
      <c r="C303" s="63">
        <v>2793000</v>
      </c>
    </row>
    <row r="304" spans="1:3">
      <c r="A304" s="58"/>
      <c r="B304" s="63">
        <v>62221000</v>
      </c>
      <c r="C304" s="63">
        <v>2793000</v>
      </c>
    </row>
    <row r="305" spans="1:3">
      <c r="A305" s="58"/>
      <c r="B305" s="63">
        <v>55748000</v>
      </c>
      <c r="C305" s="63">
        <v>2739000</v>
      </c>
    </row>
    <row r="306" spans="1:3">
      <c r="A306" s="58"/>
      <c r="B306" s="63">
        <v>48519000</v>
      </c>
      <c r="C306" s="63">
        <v>2519000</v>
      </c>
    </row>
    <row r="307" spans="1:3">
      <c r="A307" s="58"/>
      <c r="B307" s="62" t="s">
        <v>76</v>
      </c>
      <c r="C307" s="63">
        <v>2051000</v>
      </c>
    </row>
    <row r="308" spans="1:3">
      <c r="A308" s="58"/>
      <c r="B308" s="63">
        <v>67095000</v>
      </c>
      <c r="C308" s="62" t="s">
        <v>727</v>
      </c>
    </row>
    <row r="309" spans="1:3">
      <c r="A309" s="58"/>
      <c r="B309" s="63">
        <v>60114000</v>
      </c>
      <c r="C309" s="63">
        <v>-26642000</v>
      </c>
    </row>
    <row r="310" spans="1:3">
      <c r="A310" s="58"/>
      <c r="B310" s="63">
        <v>61321000</v>
      </c>
      <c r="C310" s="63">
        <v>-26642000</v>
      </c>
    </row>
    <row r="311" spans="1:3">
      <c r="A311" s="58"/>
      <c r="B311" s="63">
        <v>58923000</v>
      </c>
      <c r="C311" s="63">
        <v>-23783000</v>
      </c>
    </row>
    <row r="312" spans="1:3">
      <c r="A312" s="58"/>
      <c r="B312" s="62" t="s">
        <v>383</v>
      </c>
      <c r="C312" s="63">
        <v>-20606000</v>
      </c>
    </row>
    <row r="313" spans="1:3">
      <c r="A313" s="58"/>
      <c r="B313" s="63">
        <v>34035000</v>
      </c>
      <c r="C313" s="63">
        <v>-16857000</v>
      </c>
    </row>
    <row r="314" spans="1:3">
      <c r="A314" s="58"/>
      <c r="B314" s="63">
        <v>30030000</v>
      </c>
      <c r="C314" s="62" t="s">
        <v>728</v>
      </c>
    </row>
    <row r="315" spans="1:3">
      <c r="A315" s="58"/>
      <c r="B315" s="63">
        <v>30590000</v>
      </c>
      <c r="C315" s="63">
        <v>3983000</v>
      </c>
    </row>
    <row r="316" spans="1:3">
      <c r="A316" s="58"/>
      <c r="B316" s="63">
        <v>30587000</v>
      </c>
      <c r="C316" s="63">
        <v>3983000</v>
      </c>
    </row>
    <row r="317" spans="1:3">
      <c r="A317" s="58"/>
      <c r="B317" s="62" t="s">
        <v>729</v>
      </c>
      <c r="C317" s="62">
        <v>0</v>
      </c>
    </row>
    <row r="318" spans="1:3">
      <c r="A318" s="58"/>
      <c r="B318" s="63">
        <v>7969000</v>
      </c>
      <c r="C318" s="63">
        <v>4967000</v>
      </c>
    </row>
    <row r="319" spans="1:3">
      <c r="A319" s="58"/>
      <c r="B319" s="63">
        <v>8024000</v>
      </c>
      <c r="C319" s="63">
        <v>5041000</v>
      </c>
    </row>
    <row r="320" spans="1:3">
      <c r="A320" s="58"/>
      <c r="B320" s="63">
        <v>8054000</v>
      </c>
      <c r="C320" s="62" t="s">
        <v>730</v>
      </c>
    </row>
    <row r="321" spans="1:3">
      <c r="A321" s="58"/>
      <c r="B321" s="63">
        <v>8100000</v>
      </c>
      <c r="C321" s="63">
        <v>-2625000</v>
      </c>
    </row>
    <row r="322" spans="1:3">
      <c r="A322" s="58"/>
      <c r="B322" s="62" t="s">
        <v>731</v>
      </c>
      <c r="C322" s="63">
        <v>-2625000</v>
      </c>
    </row>
    <row r="323" spans="1:3">
      <c r="A323" s="58"/>
      <c r="B323" s="63">
        <v>7969000</v>
      </c>
      <c r="C323" s="63">
        <v>-3468000</v>
      </c>
    </row>
    <row r="324" spans="1:3">
      <c r="A324" s="58"/>
      <c r="B324" s="63">
        <v>8024000</v>
      </c>
      <c r="C324" s="63">
        <v>-4217000</v>
      </c>
    </row>
    <row r="325" spans="1:3">
      <c r="A325" s="58"/>
      <c r="B325" s="63">
        <v>8054000</v>
      </c>
      <c r="C325" s="63">
        <v>-2689000</v>
      </c>
    </row>
    <row r="326" spans="1:3">
      <c r="A326" s="58"/>
      <c r="B326" s="63">
        <v>8100000</v>
      </c>
      <c r="C326" s="62" t="s">
        <v>732</v>
      </c>
    </row>
    <row r="327" spans="1:3">
      <c r="A327" s="58"/>
      <c r="B327" s="58"/>
      <c r="C327" s="63">
        <v>-8088000</v>
      </c>
    </row>
    <row r="328" spans="1:3">
      <c r="A328" s="58"/>
      <c r="B328" s="71"/>
      <c r="C328" s="63">
        <v>-8088000</v>
      </c>
    </row>
    <row r="329" spans="1:3">
      <c r="A329" s="58"/>
      <c r="B329" s="71"/>
      <c r="C329" s="63">
        <v>-4494000</v>
      </c>
    </row>
    <row r="330" spans="1:3">
      <c r="A330" s="58"/>
      <c r="B330" s="71"/>
      <c r="C330" s="63">
        <v>-2779000</v>
      </c>
    </row>
    <row r="331" spans="1:3">
      <c r="A331" s="58"/>
      <c r="B331" s="71"/>
      <c r="C331" s="63">
        <v>-9920000</v>
      </c>
    </row>
    <row r="332" spans="1:3">
      <c r="A332" s="58"/>
      <c r="B332" s="58"/>
      <c r="C332" s="62" t="s">
        <v>733</v>
      </c>
    </row>
    <row r="333" spans="1:3">
      <c r="A333" s="58"/>
      <c r="B333" s="71"/>
      <c r="C333" s="63">
        <v>14923000</v>
      </c>
    </row>
    <row r="334" spans="1:3">
      <c r="A334" s="58"/>
      <c r="B334" s="71"/>
      <c r="C334" s="63">
        <v>14923000</v>
      </c>
    </row>
    <row r="335" spans="1:3">
      <c r="A335" s="58"/>
      <c r="B335" s="71"/>
      <c r="C335" s="63">
        <v>12660000</v>
      </c>
    </row>
    <row r="336" spans="1:3">
      <c r="A336" s="58"/>
      <c r="B336" s="71"/>
      <c r="C336" s="63">
        <v>15120000</v>
      </c>
    </row>
    <row r="337" spans="1:3">
      <c r="A337" s="58"/>
      <c r="B337" s="58"/>
      <c r="C337" s="63">
        <v>11984000</v>
      </c>
    </row>
  </sheetData>
  <mergeCells count="21">
    <mergeCell ref="F83:K83"/>
    <mergeCell ref="F74:K74"/>
    <mergeCell ref="F30:K30"/>
    <mergeCell ref="F21:K21"/>
    <mergeCell ref="F51:K51"/>
    <mergeCell ref="F5:K5"/>
    <mergeCell ref="F42:K42"/>
    <mergeCell ref="F18:K18"/>
    <mergeCell ref="F79:K79"/>
    <mergeCell ref="F70:K70"/>
    <mergeCell ref="F47:K47"/>
    <mergeCell ref="F9:K9"/>
    <mergeCell ref="F67:K67"/>
    <mergeCell ref="F58:K58"/>
    <mergeCell ref="F37:K37"/>
    <mergeCell ref="F39:K39"/>
    <mergeCell ref="F14:K14"/>
    <mergeCell ref="F63:K63"/>
    <mergeCell ref="F34:K34"/>
    <mergeCell ref="F25:K25"/>
    <mergeCell ref="F54:K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dc:creator>
  <cp:keywords/>
  <dc:description/>
  <cp:lastModifiedBy>Kevin Dang</cp:lastModifiedBy>
  <cp:revision/>
  <dcterms:created xsi:type="dcterms:W3CDTF">2015-06-05T18:17:20Z</dcterms:created>
  <dcterms:modified xsi:type="dcterms:W3CDTF">2026-04-06T15:09:02Z</dcterms:modified>
  <cp:category/>
  <cp:contentStatus/>
</cp:coreProperties>
</file>